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ilha1" sheetId="1" r:id="rId4"/>
    <sheet state="visible" name="val est cons" sheetId="2" r:id="rId5"/>
  </sheets>
  <definedNames>
    <definedName hidden="1" localSheetId="0" name="_xlnm._FilterDatabase">Planilha1!$A$1:$V$1990</definedName>
  </definedNames>
  <calcPr/>
  <extLst>
    <ext uri="GoogleSheetsCustomDataVersion2">
      <go:sheetsCustomData xmlns:go="http://customooxmlschemas.google.com/" r:id="rId6" roundtripDataChecksum="aY4VLVIq0zT2G4wy20k8bPfuW5OHIpkZW9CZu7gEvco="/>
    </ext>
  </extLst>
</workbook>
</file>

<file path=xl/sharedStrings.xml><?xml version="1.0" encoding="utf-8"?>
<sst xmlns="http://schemas.openxmlformats.org/spreadsheetml/2006/main" count="19130" uniqueCount="2016">
  <si>
    <t>Unidade</t>
  </si>
  <si>
    <t>Responsável</t>
  </si>
  <si>
    <t>Sala</t>
  </si>
  <si>
    <t>Nº Patrimônio</t>
  </si>
  <si>
    <t>Ativo</t>
  </si>
  <si>
    <t>Categoria</t>
  </si>
  <si>
    <t>DATA DE AQUISIÇÃO</t>
  </si>
  <si>
    <t xml:space="preserve">Custo de Redposição  Custo Original </t>
  </si>
  <si>
    <t>VUT Padrão (Anos)</t>
  </si>
  <si>
    <t>Estado de Conservação</t>
  </si>
  <si>
    <t>Vida Útil Decorrida (VUD) (%)</t>
  </si>
  <si>
    <t>Vida Útil Decorrida (VUD) (Anos)</t>
  </si>
  <si>
    <t>Vida Útil Remanescente (VUR)</t>
  </si>
  <si>
    <t>Depreciação Acumulada Estimada (R$)</t>
  </si>
  <si>
    <t>Valor Contábil Líquido Estimado (VCL) (R$)</t>
  </si>
  <si>
    <t>Valor Recuperável (R$)</t>
  </si>
  <si>
    <t>Perda por Impairment (R$)</t>
  </si>
  <si>
    <t>Nova Depreciação Anual (R$)</t>
  </si>
  <si>
    <t>Conclusão_Impairment</t>
  </si>
  <si>
    <t>Observação</t>
  </si>
  <si>
    <t>links</t>
  </si>
  <si>
    <t>NF</t>
  </si>
  <si>
    <t>1BPM</t>
  </si>
  <si>
    <t>Maj QOS Adriane F. M. Bittencourt</t>
  </si>
  <si>
    <t>FISIOTERAPIA</t>
  </si>
  <si>
    <t>ESTEIRA ELETRICA MOVIMENT, MOD. LX 160</t>
  </si>
  <si>
    <t>EQUIPAMENTO</t>
  </si>
  <si>
    <t>-</t>
  </si>
  <si>
    <t>BOM / REGULAR</t>
  </si>
  <si>
    <t>NÃO HA PERDA (Valor Contabil = Valor Recuperavel)</t>
  </si>
  <si>
    <t>VCL estimado por Custo de Reposição e Estado de Conservação(NBC TG 27 e NBC TG 01).</t>
  </si>
  <si>
    <t>https://www.mercadolivre.com.br/esteira-ergometrica-eletrica-gallant-elite-pro-30hp-16kmh-12-niveis-de-inclinaco120kg-gee12e30a/p/MLB26335568?pdp_filters=item_id%3AMLB3779536245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735098639&amp;matt_product_id=MLB26335568-product&amp;matt_product_partition_id=2387641794446&amp;matt_target_id=aud-1967156880386:pla-2387641794446&amp;cq_src=google_ads&amp;cq_cmp=22090193885&amp;cq_net=g&amp;cq_plt=gp&amp;cq_med=pla&amp;gad_source=4&amp;gad_campaignid=22090193885&amp;gbraid=0AAAAAD93qcDdAcBLedXcEDLKZIiJQw-3h&amp;gclid=Cj0KCQiA6NTJBhDEARIsAB7QHD2dw7DAmWkSYj3Yavd4sBUPRc1dXTmIpVW-hGLDexZdR82kdq64ZaQaAolaEALw_wcB</t>
  </si>
  <si>
    <t>MAJ QOS Fransergio M. Martinelli</t>
  </si>
  <si>
    <t>CONS. ODONTO</t>
  </si>
  <si>
    <t>APARELHO MOVEL DE RAIO-X ODONTOLOGICO DABI ATLANTE N S K01457</t>
  </si>
  <si>
    <t>https://www.dentalcremer.com.br/raio-x-timex-70e-coluna-movel-bivolt-gnatus.html?srsltid=AfmBOoqdh_RoE6ImNHB5g_13GOhXm4WjKMhPn_fMysTYKWksNilt9JTnSTQ</t>
  </si>
  <si>
    <t>BANQUETA COM ASSENTO REGULAVEL, PRETA</t>
  </si>
  <si>
    <t>MOVEIS</t>
  </si>
  <si>
    <t>REGULAR</t>
  </si>
  <si>
    <t>Banco giratório totalmente inox</t>
  </si>
  <si>
    <t>UNUDADE AUXILIAR DABI ATLANTE,(CUSPIDEIRA)</t>
  </si>
  <si>
    <t>https://www.casasbahia.com.br/unidade-agua-cuspideira-1-sugador-landus-persus-gnatus/p/1555768253?utm_medium=Cpc&amp;utm_source=google_freelisting&amp;IdSku=1555768253&amp;idLojista=12231&amp;tipoLojista=3P&amp;srsltid=AfmBOooviisaSnUtZAfRbtm4kGsPEfVnqXNoXESb8gZqeOXrwRgWqs_f6xQ</t>
  </si>
  <si>
    <t>REFLETOR DABI ATLANTE</t>
  </si>
  <si>
    <t>https://www.mercadolivre.com.br/refletor-persus-led-aliage-saevo-gnatus-dabi-atlante-d700/up/MLBU3083061603</t>
  </si>
  <si>
    <t>EQUIPO DABI ATLANTE</t>
  </si>
  <si>
    <t>Equipo Cart Odontológico (3 terminais) - Dentscler - dentomix.com.br</t>
  </si>
  <si>
    <t>ARMARIO DE PAREDE EM MDF, COM O2 PORTAS, BEGE</t>
  </si>
  <si>
    <t>Armário Aéreo Celeste Kappesberg 100% Mdf 2 Pts Branco 80cm | Parcelamento sem juros</t>
  </si>
  <si>
    <t>ARMARIO DE PAREDE EM MDF, COM 02 PORTAS, BEGE</t>
  </si>
  <si>
    <t>CADEIRA ODONTOLOGICA DABI ATLANTE, ESTOF. CINZA</t>
  </si>
  <si>
    <t>Consultório Odontológico Gnatus G1 FIT C - PVC - Gnatus - Rc Odonto | Loja Para Dentistas - Equipamentos Odontologicos</t>
  </si>
  <si>
    <t>CADEIRA MOCHO ESTOF. COURVIN CINZA COM 04 RODAS</t>
  </si>
  <si>
    <t>Cadeira Mocho Odontológico Concha Com Encosto Para Clinica Dentista Estrutura Cinza Assento Branco - Maiart | Frete grátis</t>
  </si>
  <si>
    <t>NEGATOSCOPIO DE PAREDE, BRANCO</t>
  </si>
  <si>
    <t>BOM</t>
  </si>
  <si>
    <t>Negatoscópio Slim Led Telerradiográfico Biotron | Parcelamento sem juros</t>
  </si>
  <si>
    <t>ARQUIVO EM ACO COM 02 GAVETAS CINZA PANDIN</t>
  </si>
  <si>
    <t>Arquivo De Aço 02 Gavetas Pandin Slm - Cinza Cinza Cristal | Parcelamento sem juros</t>
  </si>
  <si>
    <t>PURIFICADOR DE AGUA DE PAREDE, SOFT PLUS, CROMADO COM FRENTE PRETA</t>
  </si>
  <si>
    <t>https://www.amazon.com.br/Purificador-%C3%81gua-Gelada-Soft-Prata/dp/B0F9V8Z36B/ref=asc_df_B0F9V8Z36B?mcid=7c4f84ebfefd369dbee29ed96e53ece0&amp;tag=googleshopp00-20&amp;linkCode=df0&amp;hvadid=759181789176&amp;hvpos=&amp;hvnetw=g&amp;hvrand=14913152665125693424&amp;hvpone=&amp;hvptwo=&amp;hvqmt=&amp;hvdev=c&amp;hvdvcmdl=&amp;hvlocint=&amp;hvlocphy=9101877&amp;hvtargid=pla-2433033026796&amp;psc=1&amp;language=pt_BR&amp;gad_source=1</t>
  </si>
  <si>
    <t>SMAJ QOS Fransergio M. Martinelli</t>
  </si>
  <si>
    <t>EXPURGO</t>
  </si>
  <si>
    <t>BANCADA EM MDF, COM 8 GAVETAS, 4 PORTAS, COM PIA DE MARMORE E 2 CUBA</t>
  </si>
  <si>
    <t>REGULAR / RUIM</t>
  </si>
  <si>
    <t>Bancada Balcão/mesa de Cozinha com Adega Multimóveis Mp2144 | Amazon.com.br</t>
  </si>
  <si>
    <t>CADEIRA MOCHO ESTOF. CINZA, COM 05 RODAS</t>
  </si>
  <si>
    <t>APARELHO DE PROFILAXIA DABI ATLANTE N K 015962</t>
  </si>
  <si>
    <t>https://www.dentalspeed.com/ultrassom-jet-sonic-bp-bivolt-gnatus.html?srsltid=AfmBOoqm4PiovmI0jqWpNkLzKzinJYwsyj9r2QpmXyDg092Xwc4-k5pb8Lw</t>
  </si>
  <si>
    <t>ARMARIO EM METAL COM 02 PORTAS, BRANCO E ENVIDRACADOS</t>
  </si>
  <si>
    <t>Armário Vitrine 02 Portas | Parcelamento sem juros</t>
  </si>
  <si>
    <t>DESTILADOR DE AGUA CRISTOFOLI, BRANCO</t>
  </si>
  <si>
    <t>Destilador De Água Cristófoli 220v Autoclave 3,8l De Bancada 220v | Parcelamento sem juros</t>
  </si>
  <si>
    <t>Maj QOPM Thiago Monteiro Martins</t>
  </si>
  <si>
    <t>SALA AULA</t>
  </si>
  <si>
    <t>ARMARIO AÇO 4 GAVETAS</t>
  </si>
  <si>
    <t>https://produto.mercadolivre.com.br/MLB-5291276054-organizador-4-gavetas-gavea-com-rodizios-e-chave-_JM?matt_tool=67089616&amp;matt_internal_campaign_id=&amp;matt_word=&amp;matt_source=google&amp;matt_campaign_id=22090193651&amp;matt_ad_group_id=174661941564&amp;matt_match_type=&amp;matt_network=g&amp;matt_device=c&amp;matt_creative=727914177496&amp;matt_keyword=&amp;matt_ad_position=&amp;matt_ad_type=pla&amp;matt_merchant_id=668847494&amp;matt_product_id=MLB5291276054&amp;matt_product_partition_id=2387641942006&amp;matt_target_id=aud-1966857867496:pla-2387641942006&amp;cq_src=google_ads&amp;cq_cmp=22090193651&amp;cq_net=g&amp;cq_plt=gp&amp;cq_med=pla&amp;gad_source=4&amp;gad_campaignid=22090193651&amp;gbraid=0AAAAAD93qcDpNBuZOSvAM_pzmxkvFVQmd&amp;gclid=Cj0KCQiA6NTJBhDEARIsAB7QHD0ChuVZIPGSDpolRCReA1ybLXz7dNl-EyGxN2EGrYpli1aQX3BWacQaAgquEALw_wcB</t>
  </si>
  <si>
    <t>CADEIRA AZUL FIXA PRANCH SALA DE AULA</t>
  </si>
  <si>
    <t>Magazine Luiza | Pra você é Magalu!</t>
  </si>
  <si>
    <t>FOTOPOLIMERIZADOR SUPER LUX GNATUS</t>
  </si>
  <si>
    <t>https://www.mercadolivre.com.br/fotopolimerizador-clareador-emitter-a-fit-sem-fio-schuster/p/MLB26398123?pdp_filters=item_id%3AMLB4746198962&amp;from=gshop&amp;matt_tool=79314260&amp;matt_internal_campaign_id=&amp;matt_word=&amp;matt_source=google&amp;matt_campaign_id=22090354076&amp;matt_ad_group_id=173090536756&amp;matt_match_type=&amp;matt_network=g&amp;matt_device=c&amp;matt_creative=727882727715&amp;matt_keyword=&amp;matt_ad_position=&amp;matt_ad_type=pla&amp;matt_merchant_id=735128188&amp;matt_product_id=MLB26398123-product&amp;matt_product_partition_id=2389561187250&amp;matt_target_id=aud-1966857867496:pla-2389561187250&amp;cq_src=google_ads&amp;cq_cmp=22090354076&amp;cq_net=g&amp;cq_plt=gp&amp;cq_med=pla&amp;gad_source=4&amp;gad_campaignid=22090354076&amp;gbraid=0AAAAAD93qcAemjzIZPxV0-a9cXQBaEWFQ&amp;gclid=CjwKCAiAxc_JBhA2EiwAFVs7XFlqnc_rkEm0gEvawKPt4lq7ujklz-aLfmpPo8iLki8WcDzbqmfM1hoCR_gQAvD_BwE</t>
  </si>
  <si>
    <t>MACA STR CADILLAC AZUL MARINHO METALIFE</t>
  </si>
  <si>
    <t>ÓTIMO</t>
  </si>
  <si>
    <t>Maca Diva em Madeira com Cabeceira Regulável | Fisio Fernandes</t>
  </si>
  <si>
    <t>REFORMER AZUL MARINHO</t>
  </si>
  <si>
    <t>Aparelho de Pilates Reformer Classic Clínico - Arktus - Estofado é vendido separadamente (não acompanha o produto) | ISP Saúde</t>
  </si>
  <si>
    <t>LADDER BARREL AZUL MARINHO</t>
  </si>
  <si>
    <t>Aparelho De Pilates Ladder Barrel Classic Azul Claro Arktus | MercadoLivre</t>
  </si>
  <si>
    <t>STEP CHAIR AZUL MARINHO</t>
  </si>
  <si>
    <t>Step Chair Studio Contemporâneo Cadeira De Pilates Fisiofit Madeira | Parcelamento sem juros</t>
  </si>
  <si>
    <t>BALCAO FUNCIONAL PRETO</t>
  </si>
  <si>
    <t>Balcão Para Pia Itatiaia Diamante Com 2 Portas E 4 Gavetas Branco | Parcelamento sem juros</t>
  </si>
  <si>
    <t>CAIXA REFORMMER AZUL MARINHO</t>
  </si>
  <si>
    <t>Caixa Do Reformer - Caixa De Exercícios Do Pilates Cor Azul | Parcelamento sem juros</t>
  </si>
  <si>
    <t>DISPENSER DUO TOALHEIRO COM SABONETEIRA E ESPELHO</t>
  </si>
  <si>
    <t>Conjunto Dispenser Papel Toalha Saboneteira Consultorio Casa : Amazon.com.br: Casa</t>
  </si>
  <si>
    <t>ESCADA AUXILIAR COM 2 DESGRAU</t>
  </si>
  <si>
    <t>https://www.mercadolivre.com.br/escadinha-hospitalar-auxiliar-aco-2-degraus-emborrachada/up/MLBU1442215901?pdp_filters=item_id:MLB3403210455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5363090722&amp;matt_product_id=MLB3403210455&amp;matt_product_partition_id=2388288843281&amp;matt_target_id=aud-1966857867496:pla-2388288843281&amp;cq_src=google_ads&amp;cq_cmp=22090193723&amp;cq_net=g&amp;cq_plt=gp&amp;cq_med=pla&amp;gad_source=4&amp;gad_campaignid=22090193723&amp;gbraid=0AAAAAD93qcBdHQAN5gWeaxTeCtkKn15xV&amp;gclid=Cj0KCQiA6NTJBhDEARIsAB7QHD21UMSDSm7s47TW7u6d6WOslDrUr195DUnKDxPz1paz00xe-8g1DCgaAtNZEALw_wcB</t>
  </si>
  <si>
    <t>DISPENSER DE ACOOL GEL COM PEDAL E ESTRUTUA EM TUBO</t>
  </si>
  <si>
    <t>Totem Dispenser Em Tubo Para Álcool Em Gel Com Pedal | Parcelamento sem juros</t>
  </si>
  <si>
    <t>CEL QOPM MARIZON MENDES MARQUES</t>
  </si>
  <si>
    <t>SUBCHEFE ESTADO MAIOR</t>
  </si>
  <si>
    <t>CONDICIONADOR DE AR GREE 12000 ECO GARDEN 220V</t>
  </si>
  <si>
    <t>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</t>
  </si>
  <si>
    <t>SUPORTE PARA INFRAVERMELHO - ARKTUS</t>
  </si>
  <si>
    <t>https://produto.mercadolivre.com.br/MLB-2764481089-suporte-infravermelho-fisioterapia-c-ajuste-de-temperatura-_JM?matt_tool=83990436&amp;matt_internal_campaign_id=&amp;matt_word=&amp;matt_source=google&amp;matt_campaign_id=22090354016&amp;matt_ad_group_id=173090511276&amp;matt_match_type=&amp;matt_network=g&amp;matt_device=c&amp;matt_creative=727882726044&amp;matt_keyword=&amp;matt_ad_position=&amp;matt_ad_type=pla&amp;matt_merchant_id=484008396&amp;matt_product_id=MLB2764481089&amp;matt_product_partition_id=2388110767613&amp;matt_target_id=pla-2388110767613&amp;cq_src=google_ads&amp;cq_cmp=22090354016&amp;cq_net=g&amp;cq_plt=gp&amp;cq_med=pla&amp;gad_source=4&amp;gad_campaignid=22090354016&amp;gbraid=0AAAAAD93qcA2p7u-Pm5iV9K6vLStN0kV4&amp;gclid=Cj0KCQiA6NTJBhDEARIsAB7QHD3VADRYeypUhwZFGYQdDogbWQXB9fe2-ucSliO-rXNjy4T0F832EKAaAss0EALw_wcB</t>
  </si>
  <si>
    <t>MASSAGEADOR PORTATIL PROFISSIONAL MASSAGE GUN, AMARELO</t>
  </si>
  <si>
    <t>Smart Sport - Massageador Automático - Smart Gr | MercadoLivre</t>
  </si>
  <si>
    <t>TABUA PARA ALONGAMENTO TRICEPS SURAL</t>
  </si>
  <si>
    <t>https://www.mercadolivre.com.br/tabua-de-equilibrio-para-propriocepcao-em-fisioterapia/up/MLBU1368634686?pdp_filters=item_id:MLB3037784563&amp;matt_tool=26645653&amp;matt_internal_campaign_id=309659359&amp;matt_word=&amp;matt_source=google&amp;matt_campaign_id=22060114741&amp;matt_ad_group_id=182328299906&amp;matt_match_type=&amp;matt_network=g&amp;matt_device=c&amp;matt_creative=765287724698&amp;matt_keyword=&amp;matt_ad_position=&amp;matt_ad_type=pla&amp;matt_merchant_id=377721674&amp;matt_product_id=MLB3037784563&amp;matt_product_partition_id=2434061005191&amp;matt_target_id=aud-1967156880386:pla-2434061005191&amp;cq_src=google_ads&amp;cq_cmp=22060114741&amp;cq_net=g&amp;cq_plt=gp&amp;cq_med=pla&amp;gad_source=1&amp;gad_campaignid=22060114741&amp;gbraid=0AAAAAD93qcCRjOz_4URriztmPHOpMDFCE&amp;gclid=Cj0KCQiA6NTJBhDEARIsAB7QHD2Q3LhF1DpzyCOBll7zcfFwt86J9RouCAAluUEvRfTvo9Aw8pWe8QQaAjRzEALw_wcB</t>
  </si>
  <si>
    <t>MOBILIARIO MACA/DIVA TABLADO 00103A, PRETO - ARKTUS</t>
  </si>
  <si>
    <t>MOVEL BARRA DE LINF/ESPALDAR CLASSIC 00111B - ARKTUS *2816</t>
  </si>
  <si>
    <t>https://produto.mercadolivre.com.br/MLB-3729313778-espaldar-barra-de-ling-classic-arktus-_JM?matt_tool=45821161&amp;matt_internal_campaign_id=&amp;matt_word=&amp;matt_source=google&amp;matt_campaign_id=22090354238&amp;matt_ad_group_id=191786779601&amp;matt_match_type=&amp;matt_network=g&amp;matt_device=c&amp;matt_creative=782869962869&amp;matt_keyword=&amp;matt_ad_position=&amp;matt_ad_type=pla&amp;matt_merchant_id=5310414468&amp;matt_product_id=MLB3729313778&amp;matt_product_partition_id=2389876708948&amp;matt_target_id=aud-1967156880386:pla-2389876708948&amp;cq_src=google_ads&amp;cq_cmp=22090354238&amp;cq_net=g&amp;cq_plt=gp&amp;cq_med=pla&amp;gad_source=1&amp;gad_campaignid=22090354238&amp;gbraid=0AAAAAD93qcCAXm3J3_ndRCMimT1QMUpjK&amp;gclid=Cj0KCQiA6NTJBhDEARIsAB7QHD2FXCsWgNI_KftkAkz21UGahvjSY4lE2j7kwsmzV42TK7Jv67ZQAQkaAielEALw_wcB</t>
  </si>
  <si>
    <t>.0434</t>
  </si>
  <si>
    <t>MICRO MOTOR</t>
  </si>
  <si>
    <t>https://www.dentalmedsul.com.br/micromotor-500---kavo/p?idsku=15369&amp;srsltid=AfmBOooazl-3J0O9tTAlX-Gwb_dYPB8EGEH4u0AVlF5xF-5ujZHQus1Eci0</t>
  </si>
  <si>
    <t>.11019</t>
  </si>
  <si>
    <t>PECA RETA</t>
  </si>
  <si>
    <t>https://www.dentalmedsul.com.br/peca-de-mao-reta-rx1---gnatus/p?idsku=12108&amp;gad_source=4&amp;gad_campaignid=20898675974&amp;gbraid=0AAAAAoakH06Xpcob7hfL59iVXnmwCq-S-&amp;gclid=Cj0KCQiA6NTJBhDEARIsAB7QHD2Cvsp7_Y0d0ueLGFibeGaxioe7IQMkYfq4HKUi8k3AQ8QLtggKsmMaArGfEALw_wcB</t>
  </si>
  <si>
    <t>.B81484</t>
  </si>
  <si>
    <t>.C109575</t>
  </si>
  <si>
    <t>CONTRA ANGULO</t>
  </si>
  <si>
    <t>https://www.mercadolivre.com.br/contra-angulo-implante--kavo-koncept-201--melhor-que-nsk/up/MLBU1731387132?pdp_filters=seller_id%3A160540828#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</t>
  </si>
  <si>
    <t>.D57786</t>
  </si>
  <si>
    <t>.SN06110209</t>
  </si>
  <si>
    <t>CANETA DE ALTA</t>
  </si>
  <si>
    <t>https://www.mercadolivre.com.br/caneta-alta-rotacao-kavo-led-100-original--melhor-que-nsk/up/MLBU1920344963?matt_tool=18956390&amp;utm_source=google_shopping&amp;utm_medium=organic&amp;pdp_filters=item_id:MLB1919427553</t>
  </si>
  <si>
    <t>.SN2014184845</t>
  </si>
  <si>
    <t>IMPRESSORA MULTIFUNCIONAL HP LASERJET M 1132 SERIE BRHSF1W6P1</t>
  </si>
  <si>
    <t>IMPRESSORA</t>
  </si>
  <si>
    <t>Impressora Multifuncional HP Laser MFP 135W Monocromática USB 2.0 de alta velocidade, 802.11g/b sem fio - 110 a 127 VCA | Parcelamento sem juros</t>
  </si>
  <si>
    <t>2° BPM ARAGUAINA</t>
  </si>
  <si>
    <t>TEN CEL QOE LYVYA GOMES DO PRADO</t>
  </si>
  <si>
    <t>BASTAO DE ALONGAMENTO DE 120CM, CINZA</t>
  </si>
  <si>
    <t>Bastão Ginástica/ Fisioterapia Pvc 1,20mts Com Carga 2kg | Frete grátis</t>
  </si>
  <si>
    <t>BOLA 55 CETIMETRO VERMELHO</t>
  </si>
  <si>
    <t>https://www.amazon.com.br/Pilates-Gin%C3%A1stica-Fisioterapia-Anti-Estouro-Suporta/dp/B0DQLQX924/ref=asc_df_B0DQLQX924?mcid=ac695413d9b832588510414aed30d90c&amp;tag=googleshopp00-20&amp;linkCode=df0&amp;hvadid=709964762396&amp;hvpos=&amp;hvnetw=g&amp;hvrand=1489248477450011600&amp;hvpone=&amp;hvptwo=&amp;hvqmt=&amp;hvdev=c&amp;hvdvcmdl=&amp;hvlocint=&amp;hvlocphy=1031867&amp;hvtargid=pla-2399470274838&amp;language=pt_BR&amp;gad_source=1&amp;th=1</t>
  </si>
  <si>
    <t>BOLA 75 CETIMETRO LARANJA</t>
  </si>
  <si>
    <t>Bola de Pilates 75cm Muvin – Antiestouro – Suporta até 300kg – Com Bomba) | Amazon.com.br</t>
  </si>
  <si>
    <t xml:space="preserve">BOLA AZUL NAA 10 </t>
  </si>
  <si>
    <t>https://www.paguemenos.com.br/bola-para-exercicios-little-ball-10cm-unidade-1698d45ph5091202/p?skuId=112427&amp;srsltid=AfmBOoqXC7VaEezOcqzndZasBtSIqXzbeTnHhMWMnG0o-Nb2JoAvFlQLsl4</t>
  </si>
  <si>
    <t>BOLA P N 08 VERMELHA</t>
  </si>
  <si>
    <t>https://www.magazineluiza.com.br/bola-de-borracha-iniciacao-numero-8-silme/p/bchbhfg6h7/es/bldi/?seller_id=futebolshop&amp;srsltid=AfmBOopz71EVHkwGdQvt-uSjHpbsnk58UHC7oODLADsAHvEv82ZKcDMAjCs</t>
  </si>
  <si>
    <t>CADEIRA DE RODAS SEMI OBESO PRETA</t>
  </si>
  <si>
    <t>CAUTELADO</t>
  </si>
  <si>
    <t>Cadeira De Rodas Pneu Anti Furo Jaguaribe 1011 Semi Obeso | Frete grátis</t>
  </si>
  <si>
    <t>CONS. ODONTO 1</t>
  </si>
  <si>
    <t>CANETA DE ALTA ROTACAO N 11328</t>
  </si>
  <si>
    <t>TECNICO</t>
  </si>
  <si>
    <t>CANETA DE ALTA ROTACAO N 2009108529</t>
  </si>
  <si>
    <t>CANETA DE ALTA ROTACAO N 53118</t>
  </si>
  <si>
    <t>CONS. ODONTO 2</t>
  </si>
  <si>
    <t>CONTRA ANGULO N 2008100316</t>
  </si>
  <si>
    <t>CONTRA ANGULO N 2009 111613</t>
  </si>
  <si>
    <t>CUNHA MEDIA EM NAPA AZUL</t>
  </si>
  <si>
    <t>RUIM</t>
  </si>
  <si>
    <t>https://produto.mercadolivre.com.br/MLB-5312462126-cunha-para-encosto-fisioterapia-50x50x30-_JM?matt_tool=87924162&amp;matt_internal_campaign_id=352346755&amp;matt_word=&amp;matt_source=google&amp;matt_campaign_id=23048606139&amp;matt_ad_group_id=187066703936&amp;matt_match_type=&amp;matt_network=g&amp;matt_device=c&amp;matt_creative=777926695427&amp;matt_keyword=&amp;matt_ad_position=&amp;matt_ad_type=pla&amp;matt_merchant_id=5465799375&amp;matt_product_id=MLB5312462126&amp;matt_product_partition_id=2445403019680&amp;matt_target_id=aud-1966857867496:pla-2445403019680&amp;cq_src=google_ads&amp;cq_cmp=23048606139&amp;cq_net=g&amp;cq_plt=gp&amp;cq_med=pla&amp;gad_source=1&amp;gad_campaignid=23048606139&amp;gbraid=0AAAAAD93qcAGy9zPycILFDI_tO97Fv6pd&amp;gclid=Cj0KCQiA6NTJBhDEARIsAB7QHD0ZDyYEJE5p8HKNVfSmhjsDuMWroXYHwNamYMo4swBGU5GXi3CqRPwaAiOUEALw_wcB</t>
  </si>
  <si>
    <t>ESTETOSCOPIO PRETO</t>
  </si>
  <si>
    <t>https://www.dormed.com.br/estetoscopio-pro-lite-adulto-black-edition-spirit/p?idsku=12090&amp;utm_source=&amp;utm_medium=&amp;utm_campaign=&amp;utm_content=&amp;gad_source=1&amp;gad_campaignid=802491041&amp;gbraid=0AAAAADyu5AKZK6tdgu3UqVZHNT-9ALx1J&amp;gclid=Cj0KCQiA6NTJBhDEARIsAB7QHD07poMpB0nMnqjxnxoFT8TKVeFE2XO9S4Ba0Us2cOCUHjI0MehSw30aAuRFEALw_wcB</t>
  </si>
  <si>
    <t>HALTER DE 1 KG, AMARELO EMBORRACHADO</t>
  </si>
  <si>
    <t>https://www.amazon.com.br/Halter-Bola-Emborrachado-Cada-Preto/dp/B0D2RYJQ78/ref=asc_df_B0D2RYJQ78?mcid=324160279a0f38d7867778d64d2f4dff&amp;tag=googleshopp00-20&amp;linkCode=df0&amp;hvadid=709857070023&amp;hvpos=&amp;hvnetw=g&amp;hvrand=12655254536030517305&amp;hvpone=&amp;hvptwo=&amp;hvqmt=&amp;hvdev=c&amp;hvdvcmdl=&amp;hvlocint=&amp;hvlocphy=1031867&amp;hvtargid=pla-2321874281710&amp;psc=1&amp;language=pt_BR&amp;gad_source=1</t>
  </si>
  <si>
    <t>MEIA BOLA SUICA BALL COM ALCAS EXTENSORES E BOMBA, PILATES YOGAAZU</t>
  </si>
  <si>
    <t>amazon.com.br/Equilíbrio-Balance-Pilates-Extensores-Inflador/dp/B0CV6341P7/ref=asc_df_B0CV6341P7?mcid=c0a8e3fd729c3a2da84ca6658aad5eaa&amp;tag=googleshopp00-20&amp;linkCode=df0&amp;hvadid=709964762525&amp;hvpos=&amp;hvnetw=g&amp;hvrand=3310116500310935153&amp;hvpone=&amp;hvptwo=&amp;hvqmt=&amp;hvdev=c&amp;hvdvcmdl=&amp;hvlocint=&amp;hvlocphy=1031867&amp;hvtargid=pla-2293737069090&amp;psc=1&amp;language=pt_BR&amp;gad_source=4</t>
  </si>
  <si>
    <t>MICROMOTOR N 2008100016</t>
  </si>
  <si>
    <t>MICROMOTOR N 2009 110495</t>
  </si>
  <si>
    <t>MINI BOMBA MANUAL DISCO DE EQUILIBRIO INFLAVEL BALANCE</t>
  </si>
  <si>
    <t>https://www.amazon.com.br/Disco-Equil%C3%ADbrio-Infl%C3%A1vel-Bomba-Yangfit/dp/B07PF1FJZZ?source=ps-sl-shoppingads-lpcontext&amp;ref_=fplfs&amp;psc=1&amp;smid=A1N3NR9OBQ2BPH</t>
  </si>
  <si>
    <t xml:space="preserve">PAR DE HALTER DE 1 KG ,VERDE EMBORRACHADO </t>
  </si>
  <si>
    <t>Par Halter Bola Emborrachado 1 kg Cada Cor Preto | Amazon.com.br</t>
  </si>
  <si>
    <t>PAR DE TORNOZELEIRA DE 2KG, POLI, VERMELHA</t>
  </si>
  <si>
    <t>https://www.amazon.com.br/Acte-Sports-Para-Caneleira-T301/dp/B0BHKYRRCC?source=ps-sl-shoppingads-lpcontext&amp;ref_=fplfs&amp;psc=1&amp;smid=A1ZZFT5FULY4LN</t>
  </si>
  <si>
    <t>PAR DE TORNOZELEIRA DE 3KG, POLI, AZUL</t>
  </si>
  <si>
    <t>https://www.amazon.com.br/Acte-Sports-Para-Caneleira-T302/dp/B0BHKR7WTX/ref=asc_df_B0BHKR7WTX?mcid=125f6386aa9d35ba920f834e29beb691&amp;tag=googleshopp00-20&amp;linkCode=df0&amp;hvadid=709964762396&amp;hvpos=&amp;hvnetw=g&amp;hvrand=4149273987438899242&amp;hvpone=&amp;hvptwo=&amp;hvqmt=&amp;hvdev=c&amp;hvdvcmdl=&amp;hvlocint=&amp;hvlocphy=1031867&amp;hvtargid=pla-2200680568965&amp;psc=1&amp;language=pt_BR&amp;gad_source=1</t>
  </si>
  <si>
    <t>PAR DE TORNOZELEIRA DE 500G, CARCI, AZUL</t>
  </si>
  <si>
    <t>https://www.amazon.com.br/Caneleira-Tornozeleira-WON-Academia-Muscula%C3%A7%C3%A3o/dp/B0FLKBYDV4/ref=asc_df_B0FLKBYDV4?mcid=4d86d7090e633b72826eedaf2fd17c97&amp;tag=googleshopp00-20&amp;linkCode=df0&amp;hvadid=709857070023&amp;hvpos=&amp;hvnetw=g&amp;hvrand=4629552975652651751&amp;hvpone=&amp;hvptwo=&amp;hvqmt=&amp;hvdev=c&amp;hvdvcmdl=&amp;hvlocint=&amp;hvlocphy=1031867&amp;hvtargid=pla-2444074383504&amp;psc=1&amp;language=pt_BR&amp;gad_source=1</t>
  </si>
  <si>
    <t>PAR MULETA AXILIAR ALUMINIO MEDIA</t>
  </si>
  <si>
    <t>Par Muleta Axilar Ajustável Em Alumínio 130kg Hidrolight Cor Cinza | Frete grátis</t>
  </si>
  <si>
    <t>PAR. DE TORNOZELEIRA DE 1 KG, POLI, VERMELHA</t>
  </si>
  <si>
    <t>https://www.amazon.com.br/Caneleira-de-Peso-1kg-Par/dp/B08V6KHNWT/ref=asc_df_B08V6KHNWT?mcid=37ae2d7d95b53d548839945784eacbc1&amp;tag=googleshopp00-20&amp;linkCode=df0&amp;hvadid=709857070023&amp;hvpos=&amp;hvnetw=g&amp;hvrand=1272579740908044018&amp;hvpone=&amp;hvptwo=&amp;hvqmt=&amp;hvdev=c&amp;hvdvcmdl=&amp;hvlocint=&amp;hvlocphy=9101877&amp;hvtargid=pla-1196875770139&amp;psc=1&amp;language=pt_BR&amp;gad_source=1</t>
  </si>
  <si>
    <t>PECA RETA N SNO70069610</t>
  </si>
  <si>
    <t>ROLO DE ESPUMA G EM NAPA, PRETO</t>
  </si>
  <si>
    <t>https://www.amazon.com.br/Rolo-de-Espuma-Napa-20x60cm/dp/B0973JLY2Y?source=ps-sl-shoppingads-lpcontext&amp;ref_=fplfs&amp;psc=1&amp;smid=A297QL3Y0LRMZF</t>
  </si>
  <si>
    <t>ROLO DE ESPUMA P EM NAPA, PRETO</t>
  </si>
  <si>
    <t>https://www.santaapolonia.com.br/produtos/rolo-espuma-napa-d23-kallango-1894500</t>
  </si>
  <si>
    <t>TRAVESSEIROS AZUIS</t>
  </si>
  <si>
    <t>https://www.medsystemhospitalar.com.br/equipamentos-medicos/travesseiro-hospitalar-70x50x10-gynflex?parceiro=7129&amp;gad_source=1&amp;gad_campaignid=22155172746&amp;gbraid=0AAAAAqw-6CiRpMW7omXsLj-ocSIJSISAE&amp;gclid=Cj0KCQiA6NTJBhDEARIsAB7QHD1Z-s0Xw15ODFPJAG5o6HST8wpZIQbXegm5XIJsR79LwXWR8dFoKpkaAqBqEALw_wcB</t>
  </si>
  <si>
    <t>UNID. DE HALTER 3 KG, PRETO, EMBORRACHADO</t>
  </si>
  <si>
    <t>https://www.amazon.com.br/Halter-Peso-Emborrachado-Academia-Treino/dp/B0D3FHBGVP/ref=asc_df_B0D3FHBGVP?mcid=7f83cc7463ff35d8b4e9c2323bb06b44&amp;tag=googleshopp00-20&amp;linkCode=df0&amp;hvadid=709857070023&amp;hvpos=&amp;hvnetw=g&amp;hvrand=1252294586620229165&amp;hvpone=&amp;hvptwo=&amp;hvqmt=&amp;hvdev=c&amp;hvdvcmdl=&amp;hvlocint=&amp;hvlocphy=1031867&amp;hvtargid=pla-2337643872690&amp;psc=1&amp;language=pt_BR&amp;gad_source=1</t>
  </si>
  <si>
    <t>UNID. DE HALTER DE 500G, VERMELHO, EMBORRACHADO</t>
  </si>
  <si>
    <t>https://www.mercadolivre.com.br/par-de-halteres-de-ferro-fundido-pintado--500g/up/MLBU2190714899?matt_tool=18956390&amp;utm_source=google_shopping&amp;utm_medium=organic&amp;pdp_filters=item_id:MLB2805543129</t>
  </si>
  <si>
    <t>ENFERMAGEM</t>
  </si>
  <si>
    <t xml:space="preserve">MACA COM ESTOFADO PRETO </t>
  </si>
  <si>
    <t>Kit Estética- Maca Fixa Com Suporte E Escadinha Preto | Parcelamento sem juros</t>
  </si>
  <si>
    <t>ADM.ODONTOLOGICO</t>
  </si>
  <si>
    <t>CADEIRA FIXA COM ASSENTO E ENCOSTO EM PVC PRETO</t>
  </si>
  <si>
    <t>https://produto.mercadolivre.com.br/MLB-3832943953-cadeira-escritorio-iso-comercial-igreja-escolar-clinica-luxo-_JM?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585010779&amp;matt_product_id=MLB3832943953&amp;matt_product_partition_id=2393015049738&amp;matt_target_id=aud-1967156880386:pla-2393015049738&amp;cq_src=google_ads&amp;cq_cmp=22120855419&amp;cq_net=g&amp;cq_plt=gp&amp;cq_med=pla&amp;gad_source=4&amp;gad_campaignid=22120855419&amp;gbraid=0AAAAAD93qcCmmL3e8rYV9KXRnDHxFuiPy&amp;gclid=Cj0KCQiA6NTJBhDEARIsAB7QHD1uz_xj5aZwR0VG9cQPrA715hXlUAuu8Vsm50WPSQiY1Wn872NDxWQaAqV-EALw_wcB</t>
  </si>
  <si>
    <t>RECEPCAO DA FPTO</t>
  </si>
  <si>
    <t>PURIFICADOR DE AGUA SOFT STAR EVERESTE, FRENTE PRATA</t>
  </si>
  <si>
    <t>CONS. MEDICO 2</t>
  </si>
  <si>
    <t>CONDICIONADOR DE AR SPLIT GREE 12000 BTUS  INTERNO</t>
  </si>
  <si>
    <t>PSICOLOGIA</t>
  </si>
  <si>
    <t>CONDICIONADOR DE AR SPLIT GREE 12000 BTUS  EXTERNO</t>
  </si>
  <si>
    <t>CPU COR PRETA</t>
  </si>
  <si>
    <t>COMPUTADOR</t>
  </si>
  <si>
    <t>https://www.amazon.com.br/HOME-OFFICE-CORE-3470-240GB/dp/B0C7RQFRVQ/ref=asc_df_B0C7RQFRVQ?mcid=bcda692e548f383388d2f8129f13e1c0&amp;tag=googleshopp00-20&amp;linkCode=df0&amp;hvadid=709884378370&amp;hvpos=&amp;hvnetw=g&amp;hvrand=6529485903199104979&amp;hvpone=&amp;hvptwo=&amp;hvqmt=&amp;hvdev=c&amp;hvdvcmdl=&amp;hvlocint=&amp;hvlocphy=1031867&amp;hvtargid=pla-2202055216993&amp;psc=1&amp;language=pt_BR&amp;gad_source=4</t>
  </si>
  <si>
    <t>ARQUIVO EM ACO COM 4 GAVETAS CINZAPRETO, PANDIN</t>
  </si>
  <si>
    <t>https://www.mercadolivre.com.br/arquivo-de-aco-4-gavetas-pandin-slm-cinza/p/MLB39028635?pdp_filters=item_id%3AMLB4170804845&amp;from=gshop&amp;matt_tool=14476645&amp;matt_internal_campaign_id=&amp;matt_word=&amp;matt_source=google&amp;matt_campaign_id=22090193660&amp;matt_ad_group_id=174661938444&amp;matt_match_type=&amp;matt_network=g&amp;matt_device=c&amp;matt_creative=727914177997&amp;matt_keyword=&amp;matt_ad_position=&amp;matt_ad_type=pla&amp;matt_merchant_id=735098660&amp;matt_product_id=MLB39028635-product&amp;matt_product_partition_id=2417611461564&amp;matt_target_id=aud-1967156880386:pla-2417611461564&amp;cq_src=google_ads&amp;cq_cmp=22090193660&amp;cq_net=g&amp;cq_plt=gp&amp;cq_med=pla&amp;gad_source=4&amp;gad_campaignid=22090193660&amp;gbraid=0AAAAAD93qcACFdFYa6f583a_shI-P6kep&amp;gclid=CjwKCAiAxc_JBhA2EiwAFVs7XF9y4iXetgmxTVgoToqaETv9CD73-7VSvZjKSQmAsKddmceMdfjGdRoCzXUQAvD_BwE</t>
  </si>
  <si>
    <t>POLTRONA GIRATORIA ALTA ESTOF. EM COURVIN PRETO CAVALETTI</t>
  </si>
  <si>
    <t>https://martiflex.com.br/loja/tipo/poltronas/poltrona-giratoria-presidente-tescaro/?attribute_pa_cor=preto&amp;srsltid=AfmBOoroQ22nhVXUvhQCPUwjLrhIL8tQjW4PbPHazzaANqsY5ZTTZy25YS8</t>
  </si>
  <si>
    <t>POLTRONA GIRATORIA ALTA ESTOF. EM COURVIN PRETO COMBRACOS E RODIZIOS</t>
  </si>
  <si>
    <t>CHEFE FPTO</t>
  </si>
  <si>
    <t>MESA EM L, EM MDF COM 02 GAVETAS, MARROM</t>
  </si>
  <si>
    <t>https://www.magazineluiza.com.br/mesa-escritorio-em-l-c-gaveteiro-150x150m-work-start-nogal-sevilha-preto-21416/p/ah75da070f/mo/mses/?seller_id=pollomoveis&amp;region_id=123482&amp;utm_source=google&amp;utm_medium=cpc&amp;utm_term=69579&amp;utm_campaign=google_eco_per_ven_pla_all_sor_4p_all-products&amp;utm_content=&amp;partner_id=69579&amp;gclsrc=aw.ds&amp;gad_source=1&amp;gad_campaignid=18473140027&amp;gbraid=0AAAAAD4zZmStzxp8KohbZCSLAmfnLr-Rt&amp;gclid=Cj0KCQiA6NTJBhDEARIsAB7QHD3Yz5GqJvteanynWe0ChJzoVaE0LoiB1uRJJxRawYBa5eD5Ey4lTacaAm9nEALw_wcB</t>
  </si>
  <si>
    <t>POLTRONA FIXA EM METAL CROMADO ESTOF. EM COURVIN BEGE</t>
  </si>
  <si>
    <t>https://produto.mercadolivre.com.br/MLB-1849291129-poltrona-p-sala-de-espera-curvin-bracos-cromado-luxo-ps-ac-_JM</t>
  </si>
  <si>
    <t>POLTRONA FIXA EM METAL CROMADO ESTOF. EM COURVIM BEGE</t>
  </si>
  <si>
    <t xml:space="preserve">MONITOR LCD AOC 15 POLEGADAS. PRETO N S </t>
  </si>
  <si>
    <t>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</t>
  </si>
  <si>
    <t>POLTRONA GIRATORIA ALTA ESTOF. EM COURVIN BEGE E RODIZIOS</t>
  </si>
  <si>
    <t>https://martiflex.com.br/loja/tipo/poltronas/poltrona-giratoria-presidente-infinity-4/?attribute_pa_cor=branco&amp;srsltid=AfmBOorM0nUjNKMQRKIhVM6BUU7BVoxEZavJ3OLqQW5Uj0tIYAugcLDSMcc</t>
  </si>
  <si>
    <t>CONDICIONADOR DE AR SPLIT GREE 9000 BTUS  INTERNO</t>
  </si>
  <si>
    <t>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</t>
  </si>
  <si>
    <t>CONDICIONADOR DE AR SPLIT GREE 9000 BTUS  EXTERNO</t>
  </si>
  <si>
    <t>CADEIRA FIXA ESTOF. EM TECIDO MARRROM</t>
  </si>
  <si>
    <t>https://www.cadeirabrasil.com.br/cadeira-executiva-fixa-4-pes-sem-bracos-ravan-rve30-cadeira-brasil?utm_source=Site&amp;utm_medium=GoogleMerchant&amp;utm_campaign=GoogleMerchant&amp;sku=RVE30C058&amp;srsltid=AfmBOorC1Vh35aJfzYVruIzQpu-imIJT3bDUzvBqPDqmomPigYULwXODE8k</t>
  </si>
  <si>
    <t>ALMOX</t>
  </si>
  <si>
    <t>POLTRONA GIRATORIA ALTA ESTOF. EM TECIDO CINZA, REALME</t>
  </si>
  <si>
    <t>ARQUIVO EM ACO COM 4 GAVETAS, CINZA, PANDIN</t>
  </si>
  <si>
    <t>CONSUTORIO</t>
  </si>
  <si>
    <t>ARMARIO EM ACO COM 02 PORTAS, CINZA, PANDIN</t>
  </si>
  <si>
    <t>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</t>
  </si>
  <si>
    <t>RECEPCAO</t>
  </si>
  <si>
    <t>CONDICIONADOR DE AR SPLIT GREE 18000 BTUS INTERNO</t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</si>
  <si>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4</t>
  </si>
  <si>
    <t>CONDICIONADOR DE AR SPLIT GREE 18000 BTUS  EXTERNO</t>
  </si>
  <si>
    <t>CADEIRA FIXA COM APOIO DE BRACO, ESTOF. EM TECIDO BEGE</t>
  </si>
  <si>
    <t>https://www.kabum.com.br/produto/697299/cadeira-de-escritorio-home-office-colsultorio-big-fixa-preto-confortavel?srsltid=AfmBOoqZptqX7QTAp0iVFrimLcKG68WQTqM_HD6ODvQK82jdRF0SjyB6tOs</t>
  </si>
  <si>
    <t>CONS. MEDICO 1</t>
  </si>
  <si>
    <t>CONS. PSICOLOGICO</t>
  </si>
  <si>
    <t>CONDICIONADOR DE AR SPLIT ELETROLUX 12000 BTUS  INTERNO</t>
  </si>
  <si>
    <t>CONDICIONADOR DE AR SPLIT ELETROLUX 12000 BTUS  EXTERNO</t>
  </si>
  <si>
    <t>CADEIRA FIXA ESTOF.  COR MARROM</t>
  </si>
  <si>
    <t>TABUA DE EQUILIBRIO G RETANGULAR EM MADEIRA, EMBORRACHADA</t>
  </si>
  <si>
    <t>TABUA DE EQUILIBRIO REDONDA EM MADEIRA, EMBORRACHADA</t>
  </si>
  <si>
    <t>https://www.amazon.com.br/T%C3%A1bua-de-Madeira-Proprioceptiva-Redonda/dp/B0B6RXR28W?source=ps-sl-shoppingads-lpcontext&amp;ref_=fplfs&amp;psc=1&amp;smid=A3L2MV640VF0B8</t>
  </si>
  <si>
    <t>RAMPA PARA ALONGAMENTO EM MADEIRA, EMBORRACHADA</t>
  </si>
  <si>
    <t>https://produto.mercadolivre.com.br/MLB-1837343011-rampa-de-alongamento-para-fisioterapia-_JM?matt_tool=18956390&amp;utm_source=google_shopping&amp;utm_medium=organic</t>
  </si>
  <si>
    <t>BALANCINHO EM METAL, BRANCO</t>
  </si>
  <si>
    <t>https://www.mafraespecialidades.com.br/produto/balancim-aco-pintado-/5344959?srsltid=AfmBOoqVhz5UHKplbaphW6gEBy5H5GIGUO3rOrdFki_SQ8P9q4CJxFzc0ow</t>
  </si>
  <si>
    <t>BICICLETA ERGOMETRICA MOVIMENT CLASSIC N SAA 011322B6</t>
  </si>
  <si>
    <t>https://www.amazon.com.br/Bicicleta-Ergom%C3%A9trica-Horizontal-Gallant-gbev05hmgapt/dp/B0DS6BBG4G/ref=asc_df_B0DS6BBG4G?mcid=56426ecb6a993a259d24a17797772b77&amp;tag=googleshopp00-20&amp;linkCode=df0&amp;hvadid=709857069984&amp;hvpos=&amp;hvnetw=g&amp;hvrand=7950289601565453516&amp;hvpone=&amp;hvptwo=&amp;hvqmt=&amp;hvdev=c&amp;hvdvcmdl=&amp;hvlocint=&amp;hvlocphy=1031867&amp;hvtargid=pla-2396446930978&amp;psc=1&amp;language=pt_BR&amp;gad_source=4</t>
  </si>
  <si>
    <t>CAMA ELASTICA AZULPRETO</t>
  </si>
  <si>
    <t>Jump Mini Cama Elastica Profissional Academia 150 Kg Cor Azul | Frete grátis</t>
  </si>
  <si>
    <t>ESTEIRA ELETRICA MOVIMENT MOD. LX 160</t>
  </si>
  <si>
    <t>COPA</t>
  </si>
  <si>
    <t>REFRIGERADOR CONSUL 280 LITROS, BRANCA</t>
  </si>
  <si>
    <t>amazon.com.br/Refrigerador-Degelo-Prático-Defrost-Electrolux/dp/B076BDR1P7?source=ps-sl-shoppingads-lpcontext&amp;ref_=fplfs&amp;psc=1&amp;smid=A2Z9Y2YRGUMIKC</t>
  </si>
  <si>
    <t>MESA EM FORMICA COM 02 GAVETAS, CINZA, INFORLINE</t>
  </si>
  <si>
    <t>https://www.mercadolivre.com.br/mesa-escritorio-160x60-cor-cinza-cristal-com-2-gavetas/up/MLBU3339034214?pdp_filters=item_id:MLB5534483786&amp;matt_tool=87728839&amp;matt_internal_campaign_id=&amp;matt_word=&amp;matt_source=google&amp;matt_campaign_id=22090193711&amp;matt_ad_group_id=174661959564&amp;matt_match_type=&amp;matt_network=g&amp;matt_device=c&amp;matt_creative=727914179260&amp;matt_keyword=&amp;matt_ad_position=&amp;matt_ad_type=pla&amp;matt_merchant_id=144571315&amp;matt_product_id=MLB5534483786&amp;matt_product_partition_id=2388009794826&amp;matt_target_id=aud-1966857867496:pla-2388009794826&amp;cq_src=google_ads&amp;cq_cmp=22090193711&amp;cq_net=g&amp;cq_plt=gp&amp;cq_med=pla&amp;gad_source=4&amp;gad_campaignid=22090193711&amp;gbraid=0AAAAAD93qcDncUzizB4kaKH-1xFC8kqqU&amp;gclid=Cj0KCQiA6NTJBhDEARIsAB7QHD2lQ4ObssOg-eUH7TBWDeuDQY5VBLqiUaZGMhxB7dk-CCNepbYKwXQaAoUsEALw_wcB</t>
  </si>
  <si>
    <t>INFRAVERMELHO COM PEDESTAL E RODIZIOS, CINZA, INFRATERM</t>
  </si>
  <si>
    <t>THERMOWAVE TENS FES, 6010, BIOSET NEURODYN PORTATIL  IMBRAMED</t>
  </si>
  <si>
    <t>https://www.ibramedsp.com.br/fisioterapia/neurodyn-esthetic-aparelho-de-multicorrentes-e-alta-frequencia-06-canais-ibramed?parceiro=4937</t>
  </si>
  <si>
    <t>INFRAVERMELHO DE BANCADA, PHILIPS</t>
  </si>
  <si>
    <t>https://www.mercadolivre.com.br/suporte-de-mesa-com-lampada-infravermelho-150w-220v--jpn/up/MLBU1408898132?matt_tool=18956390&amp;utm_source=google_shopping&amp;utm_medium=organic&amp;pdp_filters=item_id:MLB1684059615</t>
  </si>
  <si>
    <t>ULTRASSOM SONOPULSE N 27278</t>
  </si>
  <si>
    <t>https://imperiomed.com.br/produto/sonopulse-compact-1-mhz-ibramed/</t>
  </si>
  <si>
    <t>ESCADA DE DOIS DEGRAUS EM MADEIRA, BASE EMBORRACHADA</t>
  </si>
  <si>
    <t>https://www.mercadolivre.com.br/escada-auxiliar-bella-2-degraus-marrom-escuro-arktus/up/MLBU3191362256?matt_tool=18956390&amp;utm_source=google_shopping&amp;utm_medium=organic&amp;pdp_filters=item_id:MLB5398958026</t>
  </si>
  <si>
    <t>MASSAGEADOR PORTATIL TECHLINE MI3000, BRANCO</t>
  </si>
  <si>
    <t>https://www.mercadolivre.com.br/massageador-eletrico-com-infravermelho-6-em-1-cor-brancoazul-g-tech/p/MLB14984887?pdp_filters=item_id%3AMLB5431289896&amp;from=gshop&amp;matt_tool=79314260&amp;matt_internal_campaign_id=&amp;matt_word=&amp;matt_source=google&amp;matt_campaign_id=22090354076&amp;matt_ad_group_id=173090537276&amp;matt_match_type=&amp;matt_network=g&amp;matt_device=c&amp;matt_creative=727882727736&amp;matt_keyword=&amp;matt_ad_position=&amp;matt_ad_type=pla&amp;matt_merchant_id=735128761&amp;matt_product_id=MLB14984887-product&amp;matt_product_partition_id=2388009203226&amp;matt_target_id=aud-1967156880386:pla-2388009203226&amp;cq_src=google_ads&amp;cq_cmp=22090354076&amp;cq_net=g&amp;cq_plt=gp&amp;cq_med=pla&amp;gad_source=4&amp;gad_campaignid=22090354076&amp;gbraid=0AAAAAD93qcAscxb6MSiSTVdwgeSNMuGjz&amp;gclid=Cj0KCQiA6NTJBhDEARIsAB7QHD1EpvIwG1ZObpuAOEBjtyBuU8uW_SSBLqTGH1BrS8xUKQlzhi_h5KQaAqvTEALw_wcB</t>
  </si>
  <si>
    <t>MESA SECRETARIA EM MDF COM 02 GAVETAS, PRETO</t>
  </si>
  <si>
    <t>https://www.mercadolivre.com.br/mesa-para-escritorio-reta-com-2-gavetas-120-x-60-preta/up/MLBU1168772359?pdp_filters=item_id:MLB948975768&amp;matt_tool=40300352&amp;matt_internal_campaign_id=&amp;matt_word=&amp;matt_source=google&amp;matt_campaign_id=22090354013&amp;matt_ad_group_id=191786746761&amp;matt_match_type=&amp;matt_network=g&amp;matt_device=c&amp;matt_creative=782869960688&amp;matt_keyword=&amp;matt_ad_position=&amp;matt_ad_type=pla&amp;matt_merchant_id=341803707&amp;matt_product_id=MLB948975768&amp;matt_product_partition_id=2388364059839&amp;matt_target_id=aud-1966857867496:pla-2388364059839&amp;cq_src=google_ads&amp;cq_cmp=22090354013&amp;cq_net=g&amp;cq_plt=gp&amp;cq_med=pla&amp;gad_source=4&amp;gad_campaignid=22090354013&amp;gbraid=0AAAAAD93qcCQJU46mzvrnA0nknvansqw8&amp;gclid=Cj0KCQiA6NTJBhDEARIsAB7QHD1uueKAl62AVnaE23ictJ25qyeNKjqGzwPEXkL82l7He8E0FGnEDjIaAhSgEALw_wcB</t>
  </si>
  <si>
    <t>POLTRONA GIRATORIA ALTA ESTOF. TECIDO PRETO, INFORMOVEIS</t>
  </si>
  <si>
    <t>APARELHO DE RAIO X ODONTOLOGICO DABI ATLANTE N S  002734</t>
  </si>
  <si>
    <t>CON+B85:D92S. ODONTO 2</t>
  </si>
  <si>
    <t>RACK EM METAL BRANCO COM 4 PRATELEIRAS E RODIZIOS</t>
  </si>
  <si>
    <t>https://www.mercadolivre.com.br/mesa-auxiliar-carrinho-arktus-tipo-z-c-3-prateleiras/p/MLB28334254?matt_tool=18956390&amp;utm_source=google_shopping&amp;utm_medium=organic&amp;pdp_filters=item_id%3AMLB4239945372&amp;from=gshop</t>
  </si>
  <si>
    <t>CADEIRA MOCHO GNATUS ESTOF. VERDE, COM RODIZIOS</t>
  </si>
  <si>
    <t>CADEIRA MOCHO GNATUS ESTOF. BEGE, COM RODIZIOS</t>
  </si>
  <si>
    <t>EQUIPO GNATUS</t>
  </si>
  <si>
    <t>REFLETOR GNATUS</t>
  </si>
  <si>
    <t>CADEIRA ODONTOLOGICA COM ESTOF. BEGE, GNATUS</t>
  </si>
  <si>
    <t>UNIDADE AUXILIAR GNATUS, (CUSPIDEIRA)</t>
  </si>
  <si>
    <t>ESTERELIZACAO</t>
  </si>
  <si>
    <t>ARMARIO EM MDF BRANCO COM 4 GAVETAS E 02 PORTAS</t>
  </si>
  <si>
    <t>https://www.amazon.com.br/Balc%C3%A3o-Madesa-Acordes-Portas-Gavetas/dp/B07Z85R11P/ref=asc_df_B07Z85R11P?mcid=3779e027258a357b90fc20e0b33e68fc&amp;tag=googleshopp00-20&amp;linkCode=df0&amp;hvadid=709968340942&amp;hvpos=&amp;hvnetw=g&amp;hvrand=9662733963274615161&amp;hvpone=&amp;hvptwo=&amp;hvqmt=&amp;hvdev=c&amp;hvdvcmdl=&amp;hvlocint=&amp;hvlocphy=1031867&amp;hvtargid=pla-851033710238&amp;language=pt_BR&amp;gad_source=1&amp;th=1</t>
  </si>
  <si>
    <t>CONDICIONADOR DE AR SPLIT GREE 13000 BTUS  INTERNO</t>
  </si>
  <si>
    <t>CONDICIONADOR DE AR SPLIT GREE 13000 BTUS  EXTERNO</t>
  </si>
  <si>
    <t>RECEPÇÃO</t>
  </si>
  <si>
    <t>MICROSSISTEM SEMIVX COM CD, RADIO E TAPE, PRETO</t>
  </si>
  <si>
    <t>INSERVIVEL</t>
  </si>
  <si>
    <t>Mini System LG Bluetooth 2350W USB XBOOM CL87 - Mini System - Magazine Luiza</t>
  </si>
  <si>
    <t>NEGATOSCOPIO DE 1 CORPO, BRANCO</t>
  </si>
  <si>
    <t>https://www.mercadolivre.com.br/negatoscopio-de-1-corpo-visualizador-de-raio-x/up/MLBU1398365303?pdp_filters=item_id%3AMLB1170992059&amp;gclid=Cj0KCQiA6NTJBhDEARIsAB7QHD0dVLZ9IPnsICizAtktK_DW03n_u_xNDexFtMQ34fRmvpRh7vzeJXsaAvkLEALw_wcB&amp;matt_campaign_id=22120855434&amp;matt_target_id=pla-2392431398095&amp;matt_tool=33369853&amp;matt_source=google&amp;gbraid=0AAAAAD93qcC7xqU6LSu1gidQdTkRxHcBl</t>
  </si>
  <si>
    <t>ARMARIO EM ACO COM 02 PORTAS, CINZA, NOBRE</t>
  </si>
  <si>
    <t>AMOX</t>
  </si>
  <si>
    <t>POLTRONA GIRATORIA ALTA COM APOIO DE BRACO ESTOF. TECIDO VERMELHO</t>
  </si>
  <si>
    <t>MACA FIXA EM METAL BRANCO, ESTOF. EM NAPA CINZA</t>
  </si>
  <si>
    <t>BIOMBO DE 3 CORPOS EM METAL, BRANCO</t>
  </si>
  <si>
    <t>https://www.mercadolivre.com.br/biombo-divisoria-hospitalar-em-algodao-tamanho-triplo/up/MLBU1974785207?pdp_filters=item_id:MLB3571263828&amp;matt_tool=73328821&amp;matt_internal_campaign_id=&amp;matt_word=&amp;matt_source=google&amp;matt_campaign_id=22090354061&amp;matt_ad_group_id=191786766201&amp;matt_match_type=&amp;matt_network=g&amp;matt_device=c&amp;matt_creative=782869961888&amp;matt_keyword=&amp;matt_ad_position=&amp;matt_ad_type=pla&amp;matt_merchant_id=355781770&amp;matt_product_id=MLB3571263828&amp;matt_product_partition_id=2389877290228&amp;matt_target_id=aud-1967156880386:pla-2389877290228&amp;cq_src=google_ads&amp;cq_cmp=22090354061&amp;cq_net=g&amp;cq_plt=gp&amp;cq_med=pla&amp;gad_source=4&amp;gad_campaignid=22090354061&amp;gbraid=0AAAAAD93qcDur-BIQlERD9ruOK-9b21zJ&amp;gclid=Cj0KCQiA6NTJBhDEARIsAB7QHD2z8ihYOEDNSDFiBs78pkur4bUXQw5j8tb4mw3iQ-yUiTNFiKFhU2kaAhmnEALw_wcB</t>
  </si>
  <si>
    <t>ESTANTE EM ACO COM 6 PRATELEIRAS, CINZA</t>
  </si>
  <si>
    <t>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</t>
  </si>
  <si>
    <t>BALANCA 150 KG BRANCA, WELMY</t>
  </si>
  <si>
    <t>https://www.amazon.com.br/Corporal-Academia-Banheiro-MM-House/dp/B0CXV2TKYB/ref=asc_df_B0CXV2TKYB?mcid=b52f724684033cdc8e147d56c688eeb3&amp;tag=googleshopp00-20&amp;linkCode=df0&amp;hvadid=709857204930&amp;hvpos=&amp;hvnetw=g&amp;hvrand=10167310376965265560&amp;hvpone=&amp;hvptwo=&amp;hvqmt=&amp;hvdev=c&amp;hvdvcmdl=&amp;hvlocint=&amp;hvlocphy=1031867&amp;hvtargid=pla-2401256405655&amp;psc=1&amp;language=pt_BR&amp;gad_source=1</t>
  </si>
  <si>
    <t>SUPORTE MOVEL PARA VACINA</t>
  </si>
  <si>
    <t>https://www.claramed.com.br/hospitalar/mobiliario-hospitalar/apoio-de-braco-inox-claramed-hospitalar?srsltid=AfmBOoqwiZvdhWWD-p0yO-YM-xzdVQl5oJ5GOp5vi0VYEmr9V49jVy5oKM0</t>
  </si>
  <si>
    <t>MONITOR LCD AOC 15 POLEGADAS. N SAA CZG32IA004000</t>
  </si>
  <si>
    <t>IMPRESSORA HP LASER JET M 1132  MFP N SAA BRJSF8G6KB</t>
  </si>
  <si>
    <t>NOBREAK SMS PRETO N S  162160125329</t>
  </si>
  <si>
    <t>https://www.amazon.com.br/ESTABILIZADOR-SMS-PROGRESSIVE-ENTRADA-BIVOLT/dp/B074JDKV5B?source=ps-sl-shoppingads-lpcontext&amp;ref_=fplfs&amp;psc=1&amp;smid=A1ZZFT5FULY4LN</t>
  </si>
  <si>
    <t>CONDICIONADOR DE AR SPLIT ELETROLUX 7000 BTUS  INTERNO</t>
  </si>
  <si>
    <t>CONDICIONADOR DE AR SPLIT ELETROLUX 7000 BTUS  EXTERNO</t>
  </si>
  <si>
    <t>AUTOCLAVE CRISTOFOLI VITALE 21 LITROS, BRANCO</t>
  </si>
  <si>
    <t>https://www.mercadolivre.com.br/autoclave-21-litros-vitale-class-cristofoli-aco-inox/p/MLB26915288?pdp_filters=item_id%3AMLB4390518612&amp;from=gshop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735125422&amp;matt_product_id=MLB26915288-product&amp;matt_product_partition_id=2388288843321&amp;matt_target_id=pla-2388288843321&amp;cq_src=google_ads&amp;cq_cmp=22090193723&amp;cq_net=g&amp;cq_plt=gp&amp;cq_med=pla&amp;gad_source=4&amp;gad_campaignid=22090193723&amp;gbraid=0AAAAAD93qcBdHQAN5gWeaxTeCtkKn15xV&amp;gclid=CjwKCAiAxc_JBhA2EiwAFVs7XFxDgE_AYQjx3-c1gSD0nAmQAwA1JVbu25NZhQFwxRc4m6aWyIpRaxoCo88QAvD_BwE</t>
  </si>
  <si>
    <t>REFRIGERADOR CONSUL 280 MARROM</t>
  </si>
  <si>
    <t>ARQUIVO EM ACO COM 4 PORTAS CINZAAZUL</t>
  </si>
  <si>
    <t>ARMARIO EM ACO COM 4 GAVETAS, ITATIAIA, 90CM ALTURA, BRANCO</t>
  </si>
  <si>
    <t>amazon.com.br/Gaveteiro-Gavetas-Branco-24880001-Politorno/dp/B01IQXZITU/ref=asc_df_B01IQXZITU?mcid=9b734531077432c18178c649cfa161b9&amp;tag=googleshopp00-20&amp;linkCode=df0&amp;hvadid=709968340957&amp;hvpos=&amp;hvnetw=g&amp;hvrand=18317701422888935215&amp;hvpone=&amp;hvptwo=&amp;hvqmt=&amp;hvdev=c&amp;hvdvcmdl=&amp;hvlocint=&amp;hvlocphy=9101877&amp;hvtargid=pla-1407410168122&amp;psc=1&amp;language=pt_BR&amp;gad_source=4</t>
  </si>
  <si>
    <t>CADEIRA FIXA ESTOF. TECIDO MOSTARDA</t>
  </si>
  <si>
    <t>CADEIRA MOCHO ESTOF. CINZA COM RODIZIOS</t>
  </si>
  <si>
    <t>ESTANTE EM ACO PEQUENA COM 3 PRATELEIRAS, BRANCA</t>
  </si>
  <si>
    <t>https://www.stilosmoveiscorporativos.com.br/produto/estante-de-aco-mini-com-3-prateleiras-45x27cm-45kg-coluna-bipartida-para-escritorio-branca.html?srsltid=AfmBOord4gwHLVUm5SWs5zfzsFWGhYCeOOLVk_QVxKkghlVjyhbNobTNLn0</t>
  </si>
  <si>
    <t>ARQUIVO EM ACO COM 4 GAVETAS, CINZA, W3</t>
  </si>
  <si>
    <t>CADEIRA MOCHO ESTOF. CINZA, DABI ATLANTE COM RODIZIOS</t>
  </si>
  <si>
    <t>CADEIRA MOCHO ESTOF.VERDE COM RODIZIOS</t>
  </si>
  <si>
    <t>ARMARIO EM ACO, BRANCO PARA INTRUMENTAIS COM 7 GAVETAS E RODIZIOS</t>
  </si>
  <si>
    <t>https://www.mercadolivre.com.br/com-7-gavetas-carrinho-movel-gaveteiro-odontologico-clinico/up/MLBU1966414244?matt_tool=18956390&amp;utm_source=google_shopping&amp;utm_medium=organic&amp;pdp_filters=item_id:MLB1547592754</t>
  </si>
  <si>
    <t>APARELHO DE PROFILAXIA JET SONIC GNATUS N S  4847072037</t>
  </si>
  <si>
    <t>EQUIPO COM BASE MOVEL, RODIZIOS, CINZA, GNATUS (PRODUTO NAO LOCALIZADO PARA COMPRA)</t>
  </si>
  <si>
    <t>CADEIRA ODONTOLOGICA ESTOF. BEGE, GNATUS</t>
  </si>
  <si>
    <t>UNIDADE AUXILIAR, GNATUS (CUSPIDEIRA)</t>
  </si>
  <si>
    <t>CONDICIONADOR DE AR SPLIT ELETROLUX 13000 BTUS  INTERNO</t>
  </si>
  <si>
    <t>CONDICIONADOR DE AR SPLIT ELETROLUX 13000 BTUS  EXTERNO</t>
  </si>
  <si>
    <t>BOMBA A VACUO BIO VAC IV N S  4445777005</t>
  </si>
  <si>
    <t>https://www.dentalcremer.com.br/bomba-de-vacuo-bio-vac-iv-gnatus.html?gad_source=4&amp;gad_campaignid=23260606740&amp;gbraid=0AAAAADg0b6h-N99ClxA5Syii_eoq2YIxr&amp;gclid=Cj0KCQiA6NTJBhDEARIsAB7QHD3lBZo-nxr3YqpZBUEy4Hh7D5fjXQ92QVpZ3rpBWh_L0rdamvBjOMYaAnkhEALw_wcB</t>
  </si>
  <si>
    <t>ESTABILIZADOR PROTETOR 300V</t>
  </si>
  <si>
    <t>https://www.amazon.com.br/Estabilizador-Revolution-Speedy300S-SMS-16520/dp/B0755K3ZNZ/ref=asc_df_B0755K3ZNZ?mcid=1e12a1f459893318a9a77f1c075824f5&amp;tag=googleshopp00-20&amp;linkCode=df0&amp;hvadid=709884378157&amp;hvpos=&amp;hvnetw=g&amp;hvrand=8314495616823259269&amp;hvpone=&amp;hvptwo=&amp;hvqmt=&amp;hvdev=c&amp;hvdvcmdl=&amp;hvlocint=&amp;hvlocphy=1031867&amp;hvtargid=pla-840178902124&amp;psc=1&amp;language=pt_BR&amp;gad_source=1</t>
  </si>
  <si>
    <t>CONDICIONADOR DE AR SAMSUMG 18000BTS INTERNO</t>
  </si>
  <si>
    <t>CORTINA DE AR VIX 1,20M</t>
  </si>
  <si>
    <t>https://www.mercadolivre.com.br/cortina-de-ar-120m-branca-vix-cor-branco/p/MLB44622659?pdp_filters=item_id%3AMLB4035361961&amp;from=gshop&amp;matt_tool=80764878&amp;matt_internal_campaign_id=&amp;matt_word=&amp;matt_source=google&amp;matt_campaign_id=22090354211&amp;matt_ad_group_id=173090539636&amp;matt_match_type=&amp;matt_network=g&amp;matt_device=c&amp;matt_creative=727882727943&amp;matt_keyword=&amp;matt_ad_position=&amp;matt_ad_type=pla&amp;matt_merchant_id=735098660&amp;matt_product_id=MLB44622659-product&amp;matt_product_partition_id=2390507332958&amp;matt_target_id=aud-1966857867496:pla-2390507332958&amp;cq_src=google_ads&amp;cq_cmp=22090354211&amp;cq_net=g&amp;cq_plt=gp&amp;cq_med=pla&amp;gad_source=1&amp;gad_campaignid=22090354211&amp;gbraid=0AAAAAD93qcAm4QJIla_GZ5iDw1Ps8En5E&amp;gclid=Cj0KCQiA6NTJBhDEARIsAB7QHD1WcFLWjMrNAYF1ymsZBSmO1Vrowl7_fqRq6s4Tny5Y19PrrfyHixUaAoNhEALw_wcB</t>
  </si>
  <si>
    <t xml:space="preserve">ESPALDAR EM MADEIRA </t>
  </si>
  <si>
    <t>ARMARIO EM MDF C 4 GAVETAS</t>
  </si>
  <si>
    <t>ARMARIO EM MDF 02 PORTAS E 4 GAVETAS COM RODIZIOS</t>
  </si>
  <si>
    <t>https://www.casasbahia.com.br/comoda-geval-encanto-com-04-gavetas-02-portas-e-rodizios-branco-cor-branco/p/1559647959?utm_medium=Cpc&amp;utm_source=google_freelisting&amp;IdSku=1559647959&amp;idLojista=11121&amp;tipoLojista=3P&amp;srsltid=AfmBOoo_EWjMwAJSpw9p9KAQs0n0UOA3ul6eb8SQskUUxH16-dOmzjMSCXM</t>
  </si>
  <si>
    <t>CAMARA ESCURA VH COR BRANCA</t>
  </si>
  <si>
    <t>Câmara Escura Branca Com Iluminação Gold Line Vh | Frete grátis</t>
  </si>
  <si>
    <t>ARMARIO EM MDF 4 PORTAS E 4 GAVETAS</t>
  </si>
  <si>
    <t>https://www.mercadolivre.com.br/balco-para-pia-de-cozinha-200cm-4-portas-3-gavetas-ih/p/MLB57061346?pdp_filters=item_id%3AMLB4214349965&amp;from=gshop&amp;matt_tool=87728839&amp;matt_internal_campaign_id=&amp;matt_word=&amp;matt_source=google&amp;matt_campaign_id=22090193711&amp;matt_ad_group_id=174661959004&amp;matt_match_type=&amp;matt_network=g&amp;matt_device=c&amp;matt_creative=727914179236&amp;matt_keyword=&amp;matt_ad_position=&amp;matt_ad_type=pla&amp;matt_merchant_id=735125422&amp;matt_product_id=MLB57061346-product&amp;matt_product_partition_id=2392712829581&amp;matt_target_id=aud-1966857867496:pla-2392712829581&amp;cq_src=google_ads&amp;cq_cmp=22090193711&amp;cq_net=g&amp;cq_plt=gp&amp;cq_med=pla&amp;gad_source=4&amp;gad_campaignid=22090193711&amp;gbraid=0AAAAAD93qcD1J3fpAK1exw2qbNtdtNZEU&amp;gclid=Cj0KCQiA6NTJBhDEARIsAB7QHD0fg6rqMDIERsLZEFFYQszmipr2lKBD10n8ok2CEL1ABvsoOWWxYoYaAk6nEALw_wcB</t>
  </si>
  <si>
    <t>CADEIRA GIRATORIA COM APOIO DE BRACO, EST. PRESIDENTE, BEGE, CAVALET</t>
  </si>
  <si>
    <t>ESTANTE COMTRES PRATELEIRAS EM ALUMINIO</t>
  </si>
  <si>
    <t>https://produto.mercadolivre.com.br/MLB-3358902405-estante-de-aco-3-prateleiras-regulaveis-25cm-multiuso-cinza-_JM?matt_tool=29425971&amp;matt_internal_campaign_id=&amp;matt_word=&amp;matt_source=google&amp;matt_campaign_id=22090354064&amp;matt_ad_group_id=173090530996&amp;matt_match_type=&amp;matt_network=g&amp;matt_device=c&amp;matt_creative=727882727256&amp;matt_keyword=&amp;matt_ad_position=&amp;matt_ad_type=pla&amp;matt_merchant_id=5549888061&amp;matt_product_id=MLB3358902405&amp;matt_product_partition_id=2388009760746&amp;matt_target_id=aud-1967156880386:pla-2388009760746&amp;cq_src=google_ads&amp;cq_cmp=22090354064&amp;cq_net=g&amp;cq_plt=gp&amp;cq_med=pla&amp;gad_source=4&amp;gad_campaignid=22090354064&amp;gbraid=0AAAAAD93qcCK9yNNnq6DAaJJbAA37LH7H&amp;gclid=Cj0KCQiA6NTJBhDEARIsAB7QHD1Fi5UojonNP-nO_sEnW-Qrj8JxHRMmMr5WvUO5O5etjdlZo-FQXl0aAu0cEALw_wcB</t>
  </si>
  <si>
    <t>ESCADA EM METAL BRANCO COM DOIS DEGRAUS</t>
  </si>
  <si>
    <t>CONDICIONADOR DE AR SPLIT 12000BTS ELETROLUX EXTERNO</t>
  </si>
  <si>
    <t>CONDICIONADOR DE AR SPLIT 12000BTS ELETROLUX INTERNO</t>
  </si>
  <si>
    <t>MESA AUX SEM SUP C PINTURA BRANCA2515 PERFIL 50X30 MM PADRAO</t>
  </si>
  <si>
    <t>https://www.bcmed.com.br/mesa-z-metalica-a-3-prateleiras-salus-brasil?srsltid=AfmBOoqHcTHatiQb7VLa94ADDk-PxEQnuwTNZ5yLPRIy_aCUsMJjkU0u5CM</t>
  </si>
  <si>
    <t xml:space="preserve">COMPUTADOR CORE I3 4GB 1TBW10 COR BRANCO </t>
  </si>
  <si>
    <t>Computador All in One 23.8" Full HD Intel Core i7-6600U, SSD M.2 512GB, 16GB RAM, Wi-Fi Dual Band, Saídas HDMI/VGA, Alto-Falantes e Webcam Integrados com Teclado e Mouse | Amazon.com.br</t>
  </si>
  <si>
    <t xml:space="preserve"> JET SONIC GNATUS</t>
  </si>
  <si>
    <t>FOTOPOLIMERIZADOR SCHUSTER EMITTER</t>
  </si>
  <si>
    <t>GABINETE MULTILASER CPU</t>
  </si>
  <si>
    <t xml:space="preserve">COMPRESSOR DE AR SCHUZ 100 LITROS COR PRETO </t>
  </si>
  <si>
    <t>https://www.magazineluiza.com.br/compressor-schulz-csl-10-bravo-100-litros-140-libras-2-cv-monofasico/p/ef9gb2ja84/fs/cdar/?&amp;seller_id=tecnoarcompressores1&amp;utm_source=google&amp;utm_medium=cpc&amp;utm_term=82423&amp;utm_campaign=google_eco_per_ven_pla_ca_sor_3p_fs&amp;utm_content=&amp;partner_id=82423&amp;gclsrc=aw.ds&amp;gad_source=1&amp;gad_campaignid=23196970758&amp;gbraid=0AAAAAD4zZmSqmIONIKLO8m3ZQmjniPLbd&amp;gclid=Cj0KCQiA6NTJBhDEARIsAB7QHD0JQorzZGvc3AvtHmwiN5SIG2RX7fg1RB7WuTPpAer3RF2he765-Z8aAriLEALw_wcB</t>
  </si>
  <si>
    <t xml:space="preserve">MESA MDF MARROM 2 GAVETAS </t>
  </si>
  <si>
    <t xml:space="preserve">MESA MDF MARROM SEM GAVETA </t>
  </si>
  <si>
    <t>ARQUIVO ACO 4 GAV.</t>
  </si>
  <si>
    <t>ESTANTE DE ACO</t>
  </si>
  <si>
    <t>https://www.amazon.com.br/Estante-prateleiras-regul%C3%A1veis-cinza-multiuso/dp/B0F19G3YYC/ref=asc_df_B0F19G3YYC?mcid=bd7cc301a1ab33f3b1d9a333a8f180b6&amp;tag=googleshopp00-20&amp;linkCode=df0&amp;hvadid=709968340957&amp;hvpos=&amp;hvnetw=g&amp;hvrand=1903770595014569830&amp;hvpone=&amp;hvptwo=&amp;hvqmt=&amp;hvdev=c&amp;hvdvcmdl=&amp;hvlocint=&amp;hvlocphy=1031867&amp;hvtargid=pla-2418873625146&amp;psc=1&amp;language=pt_BR&amp;gad_source=4</t>
  </si>
  <si>
    <t>CONDICIONADOR DE AR SAMSUMG 18000 BTUS EXTRNO</t>
  </si>
  <si>
    <t>CONDICIONADOR DE AR SPLIT 9000 BTUS EXTRNO</t>
  </si>
  <si>
    <t xml:space="preserve">CADEIRA DE RODA DE BANHO DOBRAVEL </t>
  </si>
  <si>
    <t>Cadeira De Banho Higienica Aluminio Dobravél 140kg Supermedy | Parcelamento sem juros</t>
  </si>
  <si>
    <t>ANDADOR ALUMINIO ART DOBR D10</t>
  </si>
  <si>
    <t>Andador Idoso Adulto Articulado Fixo Dobrável em Alumínio 3 Barras Hidrolight | Amazon.com.br</t>
  </si>
  <si>
    <t xml:space="preserve">MULETA AUXILAR DE ALUMINIO D7  M (G) </t>
  </si>
  <si>
    <t>https://produto.mercadolivre.com.br/MLB-5537796930-muleta-axilar-universal-com-ajustes-134-a-193m-dellamed-_JM?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5562092234&amp;matt_product_id=MLB5537796930&amp;matt_product_partition_id=2424443219726&amp;matt_target_id=pla-2424443219726&amp;cq_src=google_ads&amp;cq_cmp=22603531562&amp;cq_net=g&amp;cq_plt=gp&amp;cq_med=pla&amp;gad_source=1&amp;gad_campaignid=22603531562&amp;gbraid=0AAAAAD93qcDRceWVGhjBQuZNWL5guisK3&amp;gclid=Cj0KCQiA6NTJBhDEARIsAB7QHD0iapXSfToIjrg8suFifO6XnPpflu0JQ4VdlfxAV__RnDV46g6aQRgaAu1sEALw_wcB</t>
  </si>
  <si>
    <t xml:space="preserve">MULETA AUXILAR DE ALUMINIO D7  M (I) </t>
  </si>
  <si>
    <t>MULETA AUXILAR DE ALUMINIO D7 M (J)</t>
  </si>
  <si>
    <t>MULETA AUXILAR DE ALUMINIO D7 M (K)</t>
  </si>
  <si>
    <t>CADEIRA DE RODA OTTOBOCK MOD S1 TAM 45,5</t>
  </si>
  <si>
    <t>Cadeira De Rodas Alumínio 120kg T48 D600 - Dellamed</t>
  </si>
  <si>
    <t>MULETA AUXILAR DE ALUMINIO D7 M (L)</t>
  </si>
  <si>
    <t xml:space="preserve">SELADORA 30CM VIBOLT COR BRANCO </t>
  </si>
  <si>
    <t>Seladora Bivolt 30cm - Cristofoli: Equipamento Odontológico para Selagem de Embalagens - Dental Odonthomaz | Dental Online de Produtos Odontológicos</t>
  </si>
  <si>
    <t>NOTEBOOK DEL INSPIRON 15</t>
  </si>
  <si>
    <t>BOMBOX</t>
  </si>
  <si>
    <t>https://www.amazon.com.br/JBL-Multi-Room-Chromecast-integrado-Bluetooth/dp/B0C9FNGL2F/ref=asc_df_B0C9FNGL2F?mcid=5d775801a7293772a964c3b6f0330578&amp;tag=googleshopp00-20&amp;linkCode=df0&amp;hvadid=709964503124&amp;hvpos=&amp;hvnetw=g&amp;hvrand=11179163484969012672&amp;hvpone=&amp;hvptwo=&amp;hvqmt=&amp;hvdev=c&amp;hvdvcmdl=&amp;hvlocint=&amp;hvlocphy=1031867&amp;hvtargid=pla-2203525748836&amp;psc=1&amp;language=pt_BR&amp;gad_source=1</t>
  </si>
  <si>
    <t xml:space="preserve">BALANCA DIGITAL </t>
  </si>
  <si>
    <t>1421 - 2902</t>
  </si>
  <si>
    <t>ESTANTE EM MDF COM 02 PORTAS E 02 PRATELEIRAS, CINZA, WORKFEX</t>
  </si>
  <si>
    <t>https://www.leroymerlin.com.br/armario-baixo-p25-pandin-80-cm--largura--em-mdp-cor-castanheira-natural-com-2-portas-1-e-prateleira_1572464121?region=outros</t>
  </si>
  <si>
    <t>1473-3154</t>
  </si>
  <si>
    <t>TENS PORTATIL NEURODYN N 99477</t>
  </si>
  <si>
    <t>https://www.amazon.com.br/Neurodyn-Portable-TENS-Eletroestimulador-Port%C3%A1til/dp/B0BW4KB5RG/ref=asc_df_B0BW4KB5RG?mcid=3dd55051e9b832e09af0144914cc1463&amp;tag=googleshopp00-20&amp;linkCode=df0&amp;hvadid=709963977587&amp;hvpos=&amp;hvnetw=g&amp;hvrand=7971005047193275122&amp;hvpone=&amp;hvptwo=&amp;hvqmt=&amp;hvdev=c&amp;hvdvcmdl=&amp;hvlocint=&amp;hvlocphy=1031867&amp;hvtargid=pla-1967127243533&amp;psc=1&amp;language=pt_BR&amp;gad_source=4</t>
  </si>
  <si>
    <t>1485 - 3152</t>
  </si>
  <si>
    <t>ARMARIO EM METAL BRANCO PARA INSTRUMENTAIS COM 7 GAVETAS</t>
  </si>
  <si>
    <t>1551-3153</t>
  </si>
  <si>
    <t xml:space="preserve">RACK EM METAL BRANCO COM 4 PRATELEIRAS </t>
  </si>
  <si>
    <t>3 BPM PEDRO AFONSO</t>
  </si>
  <si>
    <t>2 TEN QOA ADELVANIO C. ROCHA</t>
  </si>
  <si>
    <t>CANETA DE ALTA ROTACAO N 14670</t>
  </si>
  <si>
    <t>CANETA DE ALTA ROTACAO N 15988</t>
  </si>
  <si>
    <t>CANETA DE ALTA ROTACAO NAA 500000849570</t>
  </si>
  <si>
    <t>CONTRA ANGULO N 09025</t>
  </si>
  <si>
    <t>ESTABILIZADOR PARA COMPUTADOR COR PRETA</t>
  </si>
  <si>
    <t>MICROMOTOR N 08121</t>
  </si>
  <si>
    <t>PECA RETA N 07122</t>
  </si>
  <si>
    <t>AUTOCLAVE CRISTOFOLI VITALE 12 LITROS, BRANCO</t>
  </si>
  <si>
    <t>CADEIRA MOCHO ESTOF. VERDE COM 5 RODAS</t>
  </si>
  <si>
    <t>NEGATOSCOPIO VH SOFT LINE, BRANCO</t>
  </si>
  <si>
    <t>ARMARIO EM ACO COM 7 GAVETAS, PARA INSTRUMENTAIS COM 4 RODAS</t>
  </si>
  <si>
    <t>RACK EM METAL BRANCO COM 3 GAVETAS, 3 PRATELEIRAS E 4 RODAS</t>
  </si>
  <si>
    <t>Carrinho Odontológico com Gaveta - Aklimper</t>
  </si>
  <si>
    <t>UNIDADE AUXILIAR GNATUS (CUSPIDEIRA)</t>
  </si>
  <si>
    <t>REFLETOR GNATUS, BEGE</t>
  </si>
  <si>
    <t>EQUIPO NA COR BEGE</t>
  </si>
  <si>
    <t>CADEIRA ODONTOLOGICA GNATUS ESTOF. VERDE</t>
  </si>
  <si>
    <t>APARELHO RAIO A X ODONTOLOGICO GNATUS</t>
  </si>
  <si>
    <t>REFRIGERADOR CONSUL 320 LITROS, BRANCO</t>
  </si>
  <si>
    <t>REFRIGERADOR CONSUL FROST FREE 300 LITROS BRANCO CRB36AB | Amazon.com.br</t>
  </si>
  <si>
    <t>ARMARIO DE PAREDE EM ACO COM 3 PORTAS ENVIDRACADAS, BERTOLINI</t>
  </si>
  <si>
    <t>Armário aéreo de cozinha cor branco aço 3 portas Rose Itatiaia | Frete grátis</t>
  </si>
  <si>
    <t>BALCAO EM ACO COM PIA EM MARMORE COM 4 GAVETAS E 02 PORTAS, BEGE</t>
  </si>
  <si>
    <t>COMPRESSOR DE AR ODONTOLOGICO, SCHULZ, AZUL</t>
  </si>
  <si>
    <t>Compressor de ar elétrico portátil Motomil CMO-8/50 BR 50L 2hp | Frete grátis</t>
  </si>
  <si>
    <t>BOMBA A VACUO BIOVAC II, GNATUS</t>
  </si>
  <si>
    <t>IMPRESSORA MEP M125A</t>
  </si>
  <si>
    <t>CADEIRA MOCHO ESTOF. CINZA COM 5 RODAS</t>
  </si>
  <si>
    <t>CAMARA ESCURA PARA REVELAR BRANCA</t>
  </si>
  <si>
    <t>APARELHO ULTRASSOM E JATO JET SONIC GNATUS</t>
  </si>
  <si>
    <t>CONDICIONADOR DE AR INTERNO EXTERNO 12 BTU GREE</t>
  </si>
  <si>
    <t>ALL IN ONE ULTRA BRANCO</t>
  </si>
  <si>
    <t>FOTOPOLIMERIZADOR PORTATIL RADII CAL CX</t>
  </si>
  <si>
    <t>3°CIPM COLINAS</t>
  </si>
  <si>
    <t>NUCLEO DE SAUDE</t>
  </si>
  <si>
    <t>CANETA DE ALTA ROTACAO SN 060046808</t>
  </si>
  <si>
    <t>CONTRA ANGULO SN 60061187</t>
  </si>
  <si>
    <t>MICROMOTOR  SN 6  0057635</t>
  </si>
  <si>
    <t xml:space="preserve">MONITOR LCD 18 POLEGADAS. SAMSUNG POINT </t>
  </si>
  <si>
    <t>Monitor PC LG 19.5'' 20MK400H-B LED HD HDMI VGA (D-Sub) 75Hz 2ms(GtG) Ajuste de Inclinação Reader Mode | Frete grátis</t>
  </si>
  <si>
    <t>ARQUIVO EM ACO COR CINZA 4 GAVETAS</t>
  </si>
  <si>
    <t>CADEIRA MOCHO COM 5 RODAS</t>
  </si>
  <si>
    <t>CADEIRA ODONTOLOGICA, GNATUS, BEGE</t>
  </si>
  <si>
    <t>EQUIPO GNATUS, BEGE (PRODUTO NAO LOCALIZADO PARA COMPRA)</t>
  </si>
  <si>
    <t>RACK COM 3 PRATELEIRAS, 1 GAVETA E 4 RODAS</t>
  </si>
  <si>
    <t>UNIDADE AUXILIAR GNATUS, BEGE</t>
  </si>
  <si>
    <t>APARELHO DE RAIO X ODONTOLOGICO, GNATUS</t>
  </si>
  <si>
    <t>GELADEIRA CONSUL 280 LITROS, BRANCA</t>
  </si>
  <si>
    <t>MAQUINA SELADORA SELA MULT 300MM</t>
  </si>
  <si>
    <t>https://www.isamaqseladora.com.br/seladoras-comerciais/seladora-de-pedal/seladora-para-selar-sacos-plasticos-pedal-30cm-127220v?parceiro=4741&amp;srsltid=AfmBOoq5fQhA6LXpE795KReTFxdb4D7jDljzfVgUDYO5e4ubDRj28dirO8M</t>
  </si>
  <si>
    <t>ARMARIO EM ACO PARA INSTRUMENTAL COM 7 GAVETAS E 4 RODAS</t>
  </si>
  <si>
    <t>APARELHO DE PROFILAXIA, GNATUS</t>
  </si>
  <si>
    <t>AMALGAMADOR AMALGA MIX, GNATUS</t>
  </si>
  <si>
    <t>https://www.odontoatual.com.br/equipamentos-protese/amalgamador-vibramat-capsular-speed-ii-schuster?parceiro=5577&amp;srsltid=AfmBOorP6XgvlePK0F8cWmpIkVxuZBHA7l-QfRVJdcmUvTKa7neNWiLBtJ4</t>
  </si>
  <si>
    <t>AUTOCLAVE CRISTOFOLI VITALLE 12 LITROS, BRANCO</t>
  </si>
  <si>
    <t>ARMARIO DE PAREDE COM 3 PORTAS, BRANCO</t>
  </si>
  <si>
    <t>MESA PARA COMPUTADOR, CINZA</t>
  </si>
  <si>
    <t>Mesa Retangular Pé Aço 120x60 P/escritório Cor Cinza | Parcelamento sem juros</t>
  </si>
  <si>
    <t>MACA PARA EXAMES CLINICOS, BRANCA COM ESTOFAMENTO PRETO</t>
  </si>
  <si>
    <t>ARMARIO EM ACO COM 02 PORTAS, PANDIN</t>
  </si>
  <si>
    <t>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-1966857867496:pla-2417611461324&amp;cq_src=google_ads&amp;cq_cmp=22090354013&amp;cq_net=g&amp;cq_plt=gp&amp;cq_med=pla&amp;gad_source=4&amp;gad_campaignid=22090354013&amp;gbraid=0AAAAAD93qcCQJU46mzvrnA0nknvansqw8&amp;gclid=CjwKCAiAxc_JBhA2EiwAFVs7XM8Zkt0FhbyartDP4phJ288UVA7-OE4in_b42SIeJ0bXrkOV3Dm1MxoCWokQAvD_BwE</t>
  </si>
  <si>
    <t>ARQUIVO EM ACO COM 4 GAVETAS, PANDIN</t>
  </si>
  <si>
    <t>CONDICIONADOR DE AR SPLIT, LG, 9000 BTUS  INTERNO</t>
  </si>
  <si>
    <t>CONDICIONADOR DE AR SPLIT, GREE, 9000 BTUS  INTERNO</t>
  </si>
  <si>
    <t>COMPRESSOR ODONTOLOGICO SCHULZ (FORA DE USO, ENTRAR EM CONTATO COM CEL LIVIA PARA DEVOLVER A FPTO)</t>
  </si>
  <si>
    <t>https://www.lojadomecanico.com.br/produto/77848/21/159/compressor-de-ar-odontologico-silencioso-1hp-5-pes-30l-220v-schulz-csd-530/153/?utm_source=google&amp;utm_medium=cpc&amp;utm_campaign=MONKS_GG_F_PMAX_Sazonal&amp;utm_content=Fim_de_semana_premiado&amp;utm_source=google&amp;utm_medium=cpc&amp;utm_campaign=MONKS_GG_F_PMAX_Sazonal&amp;utm_content=Fim_de_semana_premiado&amp;gad_source=4&amp;gad_campaignid=21470818203&amp;gbraid=0AAAAADsnw5b4VbrMXWKiRUBdYPr6DB39s&amp;gclid=CjwKCAiAxc_JBhA2EiwAFVs7XGlEYoautenZE5VgPZ9dVeMMUCUmSXJIaBGe3Pr6Qfgqma_Q-x_F-hoCtAgQAvD_BwE</t>
  </si>
  <si>
    <t xml:space="preserve">SUPORTE P MEDIA PRESSAO </t>
  </si>
  <si>
    <t>FOTOPOLIMERIZADOR SCHUSTER</t>
  </si>
  <si>
    <t xml:space="preserve">CAMARA ESCURA </t>
  </si>
  <si>
    <t>SN</t>
  </si>
  <si>
    <t>COMPRESSOR ODONTOLOGICO MOTOMIL 50 LITROS</t>
  </si>
  <si>
    <t>4° BPM GURUPI</t>
  </si>
  <si>
    <t>CEL POTENCIO</t>
  </si>
  <si>
    <t xml:space="preserve">ANDADOR </t>
  </si>
  <si>
    <t>BOLA AZUL 95 CM, PHYSIOGIMNIC</t>
  </si>
  <si>
    <t>Tamanhos De Bola De Ioga 45-95cm | Frete grátis</t>
  </si>
  <si>
    <t>BOLA FEIJAO 90 X 45CM  LIVEUP</t>
  </si>
  <si>
    <t>Bola Feijao Liveup 90x45cm liveup sports | Frete grátis</t>
  </si>
  <si>
    <t>BOLA LARANJA DE 75CM, GYNASTIC BALL</t>
  </si>
  <si>
    <t>BOLA VERMELHA DE 55CM, GYNASTIC BALL</t>
  </si>
  <si>
    <t>CANETA DE ALTA ROTACAO 29421</t>
  </si>
  <si>
    <t>CANETA DE ALTA ROTACAO 56495</t>
  </si>
  <si>
    <t>CANETA DE ALTA ROTACAO N2008105466</t>
  </si>
  <si>
    <t>CANETA DE ALTA ROTACAO NAA SN  46818</t>
  </si>
  <si>
    <t>CANETA DE ALTA ROTACAO SN 4963036109</t>
  </si>
  <si>
    <t>CONTRA ANGULO N 2068 (NAO LOCALIZADO</t>
  </si>
  <si>
    <t>CONTRA ANGULO N1245</t>
  </si>
  <si>
    <t>CONTRA ANGULO N14427</t>
  </si>
  <si>
    <t>CONTRA ANGULO NAA SN 4661019043</t>
  </si>
  <si>
    <t>CONTRA ANGULO NAASAA 2015 157864</t>
  </si>
  <si>
    <t>CONTRA ANGULO NSN070088854</t>
  </si>
  <si>
    <t>MICROMOTOR N12795</t>
  </si>
  <si>
    <t>MICROMOTOR N36607</t>
  </si>
  <si>
    <t xml:space="preserve">MICROMOTOR NAASAA 2014 135529 </t>
  </si>
  <si>
    <t>MICROMOTOR NAASAA SN 4961013020</t>
  </si>
  <si>
    <t>MICROMOTOR NS070083498</t>
  </si>
  <si>
    <t>PAR DE HALTER DE 1 KG VERDE</t>
  </si>
  <si>
    <t>PAR DE HALTER DE 2 KG AZUL</t>
  </si>
  <si>
    <t>Halter Emborrachado 1 Kg - Cinza | Frete grátis</t>
  </si>
  <si>
    <t>PAR DE HALTERS DE 5KG PRETO</t>
  </si>
  <si>
    <t xml:space="preserve">PAR DE MULETAS </t>
  </si>
  <si>
    <t>PAR DE MULETAS COM APOIO DE BRACO</t>
  </si>
  <si>
    <t>PAR DE TORNOZELEIRA 1 KG CARCI</t>
  </si>
  <si>
    <t>Tornozeleira Par Arktus 1KG AZUL 00516A37</t>
  </si>
  <si>
    <t>PAR DE TORNOZELEIRA 500G CARCI</t>
  </si>
  <si>
    <t xml:space="preserve">PARES DE MULETAS MARCA INDAIA </t>
  </si>
  <si>
    <t xml:space="preserve">PECA RETA N 11609 </t>
  </si>
  <si>
    <t>PECA RETA NAASAA SN 4963041004</t>
  </si>
  <si>
    <t>REVELADOR DE RAIO X ODONTOLOGICO BRANCA (CAMARA ESCURA)</t>
  </si>
  <si>
    <t>RODA DE EXERCICIOS PLUS  LIVEUP</t>
  </si>
  <si>
    <t>Roda Exercício Abdominal Lombar Exercise Whell Liveup -cinza | Frete grátis</t>
  </si>
  <si>
    <t>ROLO DE POSICIONAMENTO GRANDE EM NAPA PRETO</t>
  </si>
  <si>
    <t>ROLO DE POSICIONAMENTO MEDIO EM NAPA, PRETO</t>
  </si>
  <si>
    <t>TORNOZELEIRA NYLON, COM PESO, PAR, 2KG  ARKTUS</t>
  </si>
  <si>
    <t>Tornozeleira Par Arktus 2KG AZUL 00516A39</t>
  </si>
  <si>
    <t>TORNOZELEIRA NYLON, COM PESO, PAR, 3KG  ARKTUS</t>
  </si>
  <si>
    <t>Tornozeleira Par Arktus 3KG AZUL 00516A41</t>
  </si>
  <si>
    <t>TORNOZELEIRA NYLON, COM PESO, PAR, 4KG  ARKTUS</t>
  </si>
  <si>
    <t>Tornozeleira Par Arktus 4KG AZUL 00516A43</t>
  </si>
  <si>
    <t>UMA UNID DE HALTER DE 500G VERMELHO</t>
  </si>
  <si>
    <t>Halter 1/2 Kg 500gramas Pesinho Unidade Preto | MercadoLivre</t>
  </si>
  <si>
    <t>MAQUINA SELADORA DE BANCADA, CINZA, ARAUJO</t>
  </si>
  <si>
    <t>Seladora Odontologica Selamaxx Vh Bivolt C/ Guilhotina - DENTAL STILO</t>
  </si>
  <si>
    <t>CADEIRA MOCHO ESTOF. CINZA E RODIZIOS</t>
  </si>
  <si>
    <t>CADEIRA MOCHO ESTOF. VERDE E RODIZIOS</t>
  </si>
  <si>
    <t>REFLETOR BEGE, GNATUS</t>
  </si>
  <si>
    <t>CADEIRA ODONTOLOGICA GNATUS, ESTOF. VERDE</t>
  </si>
  <si>
    <t xml:space="preserve">CADEIRA GIRATORIA ESTOFADO AZUL </t>
  </si>
  <si>
    <t>Banco Cadeira Secretária S/braços Consultório, Dentistas | Frete grátis</t>
  </si>
  <si>
    <t>ARQUIVO</t>
  </si>
  <si>
    <t>ARQUIVO EM ACO COM O4 GAVETAS, CINZA, NOBRE</t>
  </si>
  <si>
    <t>ARMARIO EM ACO COM 02 PORTAS, CINZA</t>
  </si>
  <si>
    <t>BALANCA DIGITAL 180 KG, VITALLYS</t>
  </si>
  <si>
    <t>LONGARINA 3 LUGARES ESTOF. TECIDO AZUL</t>
  </si>
  <si>
    <t>Longarina Secretária 3 Lugares Tecido Preto | MercadoLivre</t>
  </si>
  <si>
    <t>GAB MEDICO</t>
  </si>
  <si>
    <t>REFLETOR ODONTOLOGICO</t>
  </si>
  <si>
    <t>EQUIPO BEGE , GNATUS</t>
  </si>
  <si>
    <t>CADEIRA ODONTOLOGICA GNATUS, ESTOF. BEGE</t>
  </si>
  <si>
    <t>CADEIRA MOCHO BEGE</t>
  </si>
  <si>
    <t>ADMINISTRACAO</t>
  </si>
  <si>
    <t>REFRIGERADOR CONSUL 340 LITROS, BRANCA</t>
  </si>
  <si>
    <t>ESCADA DE DOIS DEGRAUS EM ACO BRANCO</t>
  </si>
  <si>
    <t>MEDICO</t>
  </si>
  <si>
    <t>SUPORTE PARA SORO</t>
  </si>
  <si>
    <t>Suporte De Soro - Aço Carbono | Parcelamento sem juros</t>
  </si>
  <si>
    <t>POLTRONA GIRATORIA ESTOF. TECIDO VERMELHO COM RODIZIOS, ESPALDAR</t>
  </si>
  <si>
    <t>Cadeira de Escritório Presidente Giratória Ergonômica Preta com Espuma Injetada, Alta Resistência e Conforto Profissional - Home Gourmet : Amazon.com.br: Casa</t>
  </si>
  <si>
    <t>CADEIRA FIXA ESTOF. TECIDO AZUL</t>
  </si>
  <si>
    <t>ARQUIVO EM ACO COM 4 GAV. CINZA, PANDIN</t>
  </si>
  <si>
    <t>ARMARIO EM ACO COM 02 PORTAS CINZA, W3</t>
  </si>
  <si>
    <t>CONDICONADOR DE AR SPLIT ELETROLUX 12000 BTUS  INTERNO</t>
  </si>
  <si>
    <t>POLTRONA GIRATORIA ESTOF. TECIDO VERMELHO, ESPALDAR, COM RODIZIOS</t>
  </si>
  <si>
    <t>MESA EM FORMICA SEM GAVETAS, ESTRUTURA EMETAL, AZUL</t>
  </si>
  <si>
    <t>REFRIGERADOR CONSUL 300 LITROS, BRANCO</t>
  </si>
  <si>
    <t>ARMARIO EM MDEIRACOM 02 PORTAS DE CORRER, BRANCO</t>
  </si>
  <si>
    <t>Armario Baixo Maxxi 2 Portas 68x89x38 Cinza Tranca Pandin Cinza | Parcelamento sem juros</t>
  </si>
  <si>
    <t>MESA EM FORMICA COM 02 GAVETAS, CINZA</t>
  </si>
  <si>
    <t>CADEIRA GIRATORIA ESTOF. TECIDO AZUL COM RODIZIOS</t>
  </si>
  <si>
    <t>CADEIRA DE RODAS COR PRETA</t>
  </si>
  <si>
    <t>Cadeira De Rodas Aço 120kg Assento 48cm T48 D400 - Dellamed</t>
  </si>
  <si>
    <t>CADEIRA DE RODAS DE BANHO POP SANITARIO</t>
  </si>
  <si>
    <t>RACK EM METAL BRANCO COM 02 PRATELEIRAS E RODIZIOS</t>
  </si>
  <si>
    <t>MESA DE CANAVEL</t>
  </si>
  <si>
    <t>Mesa de Kanavel - ref. 352.2 por R$1.800,00</t>
  </si>
  <si>
    <t>ESPALDAR EM MADEIRA</t>
  </si>
  <si>
    <t>BIOMBO DE 3 CORPOS EM METAL BRANCO</t>
  </si>
  <si>
    <t>ESTEIRA ELETRICA MOD. LX 160, MOVIMENT</t>
  </si>
  <si>
    <t>TABUA DE EQUILIBRIO GRANDE EM MADEIRA, RETANGULAR</t>
  </si>
  <si>
    <t>TABUA DE EQUILIBRIO MEDIA EM MADEIRA, RETANGULAR</t>
  </si>
  <si>
    <t>TABUA DE EQUILIBRIO EM MADEIRA, REDONDA</t>
  </si>
  <si>
    <t>RAMPA DE ALONGAMENTO EM MADEIRA</t>
  </si>
  <si>
    <t>BALANCO EM ACO</t>
  </si>
  <si>
    <t>Balanço Balancim Proprioceptivo Fisioterapia - Physio Top | Frete grátis</t>
  </si>
  <si>
    <t>BANQUETA EM METAL BRANCO COM ASSENTO REGULAVEL E ESTOF. AZUL</t>
  </si>
  <si>
    <t>MACA EM MADEIRA ESTOF. EM NAPA AZUL</t>
  </si>
  <si>
    <t>Maca Fixa Em Madeira Para Massagem Com Orifício Facial Cor Preto | MercadoLivre</t>
  </si>
  <si>
    <t>ESCADA DE DOIS DEGRAUS EM MADEIRA, EMBORRACHADA</t>
  </si>
  <si>
    <t>SONOPULSE III</t>
  </si>
  <si>
    <t>FESMED CARCI NEURODYN</t>
  </si>
  <si>
    <t>BANQUETA BRANCA COM ASSENTO GIRATORIO E RODIZIOS</t>
  </si>
  <si>
    <t>ESCADA EM METAL BRANCO DE DOIS DEGRAUS</t>
  </si>
  <si>
    <t>MACA DE RPG EM METAL BRANCO</t>
  </si>
  <si>
    <t>Maca Fixa Para Rpg - Arktus Preto | MercadoLivre</t>
  </si>
  <si>
    <t>EXPOSITOR DE HALTER, CINZA</t>
  </si>
  <si>
    <t>Torre Expositor Suporte Para Halteres Estante Sala Fitness MegaGym Equipamentos Fitness | Frete grátis</t>
  </si>
  <si>
    <t>INFRAVERMELHO PEDESTAL COM RODIZIOS</t>
  </si>
  <si>
    <t>REFRIGERADOR CONSUL 240 LITROS, BRANCO</t>
  </si>
  <si>
    <t>ARQUIVO EM ACO COM 4 GAV. CINZA, NOBRE</t>
  </si>
  <si>
    <t>DEPOSITO</t>
  </si>
  <si>
    <t>ARMARIO EM ACO COM 02 PORTAS, CINZA, W3</t>
  </si>
  <si>
    <t>MACA EM MADEIRA COM 1 GAVETA</t>
  </si>
  <si>
    <t>MONITOR AOC 15 POLEGADAS</t>
  </si>
  <si>
    <t>CPU INTEL COR PRETA</t>
  </si>
  <si>
    <t>ESTABILIZADOR COR PRETA</t>
  </si>
  <si>
    <t xml:space="preserve">IMPRESSORA DCP BROTHER </t>
  </si>
  <si>
    <t xml:space="preserve">CONDICIONADOR DE AR 12000 BTUS SPRINGER EXTERNO </t>
  </si>
  <si>
    <t xml:space="preserve">CONDICONADOR DE AR SPRINGER 12000 BTU EXTERNO </t>
  </si>
  <si>
    <t>CONDICIONADOR DE AR 12000 BTU PHILCO INTERNO</t>
  </si>
  <si>
    <t>CONDICIONADOR DE AR 12000 BTU PHILCO EXTERNO</t>
  </si>
  <si>
    <t xml:space="preserve">CON SPRINGER 12000 BTU INTERNO </t>
  </si>
  <si>
    <t>LIXEIRA HOSPITALAR COM TAMPA, EM METAL, BRANCA</t>
  </si>
  <si>
    <t>Descarte De Lixo Infectante Contêiner 165l Preto | Parcelamento sem juros</t>
  </si>
  <si>
    <t>CPU INTEL I5 6GB DE RAM HD 500GB</t>
  </si>
  <si>
    <t xml:space="preserve">FOTOPOLINERIZADOR SERVO </t>
  </si>
  <si>
    <t xml:space="preserve">ARMARIO EM MDF COR BRANCA C 2 PORTAS </t>
  </si>
  <si>
    <t>CONDICIONADOR DE AR 12000 BTUS INTERNO SPRINGER</t>
  </si>
  <si>
    <t>ARMARIO EM MDF DUAS PORTAS E 8 GAVETAS</t>
  </si>
  <si>
    <t xml:space="preserve">CONDICIONADOR DE AR 12000 BTU SPRINGER INTERNO </t>
  </si>
  <si>
    <t xml:space="preserve">ARMARIO EM MDF NA COR MARROM COM 02 PORTAS E 08 GAVETAS </t>
  </si>
  <si>
    <t xml:space="preserve">ARMARIO DE PAREDE EM MDF COM 3 PORTAS </t>
  </si>
  <si>
    <t>Armário Aéreo Cozinha Planejada Lux 120cm 100%mdf 03 Portas Branco | Parcelamento sem juros</t>
  </si>
  <si>
    <t xml:space="preserve">NOBREAK </t>
  </si>
  <si>
    <t xml:space="preserve">MESA EM L DE MDF NA COR MARROM COM 4 GAVETAS </t>
  </si>
  <si>
    <t xml:space="preserve">PRATELEIRA EM MDF NA COR BRANCA </t>
  </si>
  <si>
    <t>https://www.amazon.com.br/Prateleira-Retangular-Branca-100-cm-BEMFIXA-9690/dp/B0777TN5L1/ref=asc_df_B0777TN5L1?mcid=80f4f5ea605135f692f418cfff16aa8e&amp;tag=googleshopp00-20&amp;linkCode=df0&amp;hvadid=709968341176&amp;hvpos=&amp;hvnetw=g&amp;hvrand=16985922898679122492&amp;hvpone=&amp;hvptwo=&amp;hvqmt=&amp;hvdev=c&amp;hvdvcmdl=&amp;hvlocint=&amp;hvlocphy=1031867&amp;hvtargid=pla-919968877100&amp;language=pt_BR&amp;gad_source=1&amp;th=1</t>
  </si>
  <si>
    <t xml:space="preserve">ARMARIO EM MDF NA COR MARROM 02 PORTAS E 08 GAVETAS </t>
  </si>
  <si>
    <t xml:space="preserve">ARMARIO EM MDF COR MARROM COM 3 GAVETAS </t>
  </si>
  <si>
    <t>Gaveteiro Para Escritório 3 Gavetas Com Rodízios Cáli Branco | Parcelamento sem juros</t>
  </si>
  <si>
    <t>ESTETOSCOPIO CLASSIC C. APARELHO DE PRESSAO ESFIGMOMANOMETRO</t>
  </si>
  <si>
    <t xml:space="preserve">NEURODYN III AMETIIIST 2 CANAIS </t>
  </si>
  <si>
    <t>Kit Neurodyn III TENS, FES e Burst Ibramed Com Eletrodos e Gel : Amazon.com.br: Indústria e Comércio</t>
  </si>
  <si>
    <t>LASERPULSE L42 BIVOLT IBRAMED</t>
  </si>
  <si>
    <t>Aparelho De Laserterapia + Caneta 904nm Laserpulse Ibramed</t>
  </si>
  <si>
    <t>CANETA LASER C904,IBRAMED</t>
  </si>
  <si>
    <t>Aplicador Probe P4 808nm Caneta Laser p/ Laserpulse Ibramed | BCMED</t>
  </si>
  <si>
    <t xml:space="preserve">MULETA AUXILAR DE ALUMINIO D7  M (C) </t>
  </si>
  <si>
    <t>FINANCEIRO</t>
  </si>
  <si>
    <t xml:space="preserve">MULETA AUXILAR DE ALUMINIO D7  M (D) </t>
  </si>
  <si>
    <t xml:space="preserve">MULETA AUXILAR DE ALUMINIO D7  M (E) </t>
  </si>
  <si>
    <t xml:space="preserve">NEURODYN 3 AMETHIST TENS </t>
  </si>
  <si>
    <t>NEURODYN 3 AMETHIST TENS</t>
  </si>
  <si>
    <t>AR CONDICIONADO EXTERNO ( DESCOBRIR )</t>
  </si>
  <si>
    <t>PURIFICADOR DE AGUA COLORMAQ  BRANCO</t>
  </si>
  <si>
    <t>POLTRONA GIRATORIA PRETO COM APOIO DE BRACO</t>
  </si>
  <si>
    <t>POLTRONA GIRATORIA PRETO EM CORIN COM APOIO DE BRACO</t>
  </si>
  <si>
    <t>Cadeira California Preto Fratini : Amazon.com.br: Casa</t>
  </si>
  <si>
    <t>EQUIPO CINZA, GNATUS ANTIGA PA 873</t>
  </si>
  <si>
    <t xml:space="preserve">FOTOPOLINERIZADOR RADII  CALL </t>
  </si>
  <si>
    <t>AUTOCLAVE</t>
  </si>
  <si>
    <t xml:space="preserve">RAIO X </t>
  </si>
  <si>
    <t>REVELADOR DE RAIO X ODONTOLOGICO PRETO (CAMARA ESCURA)</t>
  </si>
  <si>
    <t>5 CIPM TOCANTINOPOLIS</t>
  </si>
  <si>
    <t>MAJ QOPM JOSE LUIS C. COELHO</t>
  </si>
  <si>
    <t>CANETA DE ALTA ROTACAO SN2020230160</t>
  </si>
  <si>
    <t>CONTRA ANGULO 2010140469</t>
  </si>
  <si>
    <t>MICRO MOTOR 210135946</t>
  </si>
  <si>
    <t xml:space="preserve">NEGATOSCOPIO  SLIM </t>
  </si>
  <si>
    <t>PECA RETA 2010 127720</t>
  </si>
  <si>
    <t>ARMARIO EM ACO COM 02 PORTAS COR CINZA</t>
  </si>
  <si>
    <t>ARMARIO COM 7 GAVETAS COR CINZA</t>
  </si>
  <si>
    <t>RAIO X ODONTOLOGICO GNATUS</t>
  </si>
  <si>
    <t>APARELHO DE ULTRASSOM GNATUS, BEGE</t>
  </si>
  <si>
    <t>CONJ ODONTO GNATUS, CONTEM 1 CADEIRA ODONTO, ESTOF. VERDE, 1</t>
  </si>
  <si>
    <t>LIXEIRA EM ALUMINIO COM PEDAL</t>
  </si>
  <si>
    <t>Lixeira Inox 12 Litros Com Pedal E Cesto Removível | Frete grátis</t>
  </si>
  <si>
    <t>CADEIRA COM 5 RODAS, ESTOFADO EM TECIDO VERDE MOCHO</t>
  </si>
  <si>
    <t>CADEIRA FIXA ESTOFADO COM AZUL</t>
  </si>
  <si>
    <t>ARMARIO EMBUTIDO BRANCO COM 6 GAVETAS E 02 PORTAS DE CORRER</t>
  </si>
  <si>
    <t>Balcão Cozinhas Itatiaia Luce - 3 Portas e 2 Gavetas - Branco : Amazon.com.br: Casa</t>
  </si>
  <si>
    <t>SELADORA GOLD LINE, BEGE</t>
  </si>
  <si>
    <t>Seladora Para Sacos Plásticos Bivolt Sela E Corta Manual 50cm Isamaq | Frete grátis</t>
  </si>
  <si>
    <t>REFRIGERADOR ELETROLUX 262 LITROS, BRANCA</t>
  </si>
  <si>
    <t>AMALGAMADOR GNATUS BEGE</t>
  </si>
  <si>
    <t>CAMARA ESCURA ORTOPLUS, BRANCA</t>
  </si>
  <si>
    <t>CADEIRA COM 5 RODAS, ESTOFADO EM TECIDO COR AZUL</t>
  </si>
  <si>
    <t>Cadeira Secretaria Giratória Azul-royal Direto De Fábrica Azul Tecido | Parcelamento sem juros</t>
  </si>
  <si>
    <t>CADEIRA FIXA ESTOF. EM TECIDO COR AZUL</t>
  </si>
  <si>
    <t>ARMARIO EM METAL BRANCO, ENVIDRACADO</t>
  </si>
  <si>
    <t>BALANCA DIGITAL, 180KG COM ESTRUTURA EM VIDRO</t>
  </si>
  <si>
    <t>MACA FIXA EM METAL, BRANCA</t>
  </si>
  <si>
    <t>CONDICIONADOR DE AR SPLIT 7500 BTUS, ELETROLUX  INTERNO</t>
  </si>
  <si>
    <t>CONDICIONADOR DE AR SPLIT 7500 BTUS, ELETROLUX  EXTERNO</t>
  </si>
  <si>
    <t>ARQUIVO EM ACO COM 4 GAVETAS PANDIN, CINZA</t>
  </si>
  <si>
    <t>MESA SECRETARIA EM L COM GAVETAS, CINZA</t>
  </si>
  <si>
    <t>Mesa 1.20x1.20 Delta Para Escritório, Várias Cores | Parcelamento sem juros</t>
  </si>
  <si>
    <t>ARMARIO EM ACO COM 02 PORTAS</t>
  </si>
  <si>
    <t>CADEIRA COM 5 RODAS COR VERDE</t>
  </si>
  <si>
    <t>CADEIRA FIXA EM ESTOFADO COR AZUL</t>
  </si>
  <si>
    <t>PURIFICADOR DE AGUA (BEBEDOURO) ACQUAICE PARA GALAO, BRANCOAZUL</t>
  </si>
  <si>
    <t>Purificador De Água Everest Slim Branco | Parcelamento sem juros</t>
  </si>
  <si>
    <t>LONGARINA 3 LUGARES, ESTOFADO COR AZUL</t>
  </si>
  <si>
    <t>CONDICIONADOR DE AR SPLIT 12000 BTUS, ELETROLUX  INTERNO</t>
  </si>
  <si>
    <t>Ar-condicionado Split Inverter 12000 Btus Gree G-top Auto Connection High Wall Só Frio Gwc12atc-d6dna1a/gwc12atc-d6dna1a 220v | Amazon.com.br</t>
  </si>
  <si>
    <t>CONDICIONADOR DE AR SPLIT 12000 BTUS  EXTERNO</t>
  </si>
  <si>
    <t>COMPRESSOR CRISTOFOLI, BRANCO N S  23725</t>
  </si>
  <si>
    <t xml:space="preserve">FOTOPORIZADOR GNATUS </t>
  </si>
  <si>
    <t xml:space="preserve">MULETA AUXILAR DE ALUMINIO D7  M (H) </t>
  </si>
  <si>
    <t>6BPM</t>
  </si>
  <si>
    <t>LASER FLASH, LASE III, N S S30672</t>
  </si>
  <si>
    <t>Aparelho De Laserterapia Laserpulse Ibramed + Caneta 660nm | Frete grátis</t>
  </si>
  <si>
    <t>MAJOR QOS FLAVIA OLIVEIRA PRADO</t>
  </si>
  <si>
    <t>APARELHO DE RAIO-X ODONTOLOGICO BRANCO GNATUS</t>
  </si>
  <si>
    <t>EQUIPO BEGE, GNATUS</t>
  </si>
  <si>
    <t>CADEIRA ODONTOLOGICA, GNATUS</t>
  </si>
  <si>
    <t>UNIDADE AUXILIAR BEGE, GNATUS (CUSPIDEIRA)</t>
  </si>
  <si>
    <t>CADEIRA MOCHO ESTOF. AZUL COM RODIZIOS, GNATUS</t>
  </si>
  <si>
    <t>TC QOS ANA PAULA DE T MARTINS</t>
  </si>
  <si>
    <t>CADEIRA MOCHO ESTOF. AZUL COM 05 RODAS</t>
  </si>
  <si>
    <t>AUTOCLAVE CRISTOFOLI VITALE 12 LTS, BRANCO</t>
  </si>
  <si>
    <t>AMALGAMADOR AMALGA MIX II, GNATUS</t>
  </si>
  <si>
    <t>https://www.odontoatual.com.br/equipamentos-protese/amalgamador-vibramat-capsular-speed-ii-schuster?parceiro=5577&amp;srsltid=AfmBOorP6XgvlePK0F8cWmpIkVxuZBHA7l-QfRVJdcmUvTKa7neNWiLBtJ5</t>
  </si>
  <si>
    <t>NEGATOSCOPIO PORTATIL, VH SOFT LINE, BRANCO</t>
  </si>
  <si>
    <t>CADEIRA MOCHO ESTOF. AZUL COM RODIZIOS</t>
  </si>
  <si>
    <t>CONDICIONADOR DE AR SPLIT RHEEM 9000 BTUS - INTERNO</t>
  </si>
  <si>
    <t>EQUIPO GNATUS, CINZA</t>
  </si>
  <si>
    <t>CADEIRA ODONTOLOGICA GNATUS, ESTOFAMENTO AZUL</t>
  </si>
  <si>
    <t>ARQUIVO EM ACO COM 04 GAVETAS CINZA PANDIN</t>
  </si>
  <si>
    <t>Arquivo De Aço 4 Gavetas Pandin Slm - Cinza | MercadoLivre</t>
  </si>
  <si>
    <t>CONS. MEDICO</t>
  </si>
  <si>
    <t>MACA FIXA EM METAL BRANCO ESTOF. CINZA</t>
  </si>
  <si>
    <t>ESCADA DE DOIS DEGRAUS EM FORMICA COM BASE EMBORRACHADA</t>
  </si>
  <si>
    <t>ARQUIVO EM ACO COM 04 GAVETAS CINZA, PANDIN</t>
  </si>
  <si>
    <t>CADEIRA FIXA ESTOF. TECIDO PRETO</t>
  </si>
  <si>
    <t>BALANCA ANTROPOMETRICA 150KG BRANCA, WELMY</t>
  </si>
  <si>
    <t>SUPORTE DE BRACO PARA VACINA, BRANCO</t>
  </si>
  <si>
    <t>https://www.claramed.com.br/hospitalar/mobiliario-hospitalar/apoio-de-braco-inox-claramed-hospitalar?srsltid=AfmBOoqwiZvdhWWD-p0yO-YM-xzdVQl5oJ5GOp5vi0VYEmr9V49jVy5oKM1</t>
  </si>
  <si>
    <t>SUPORTE MOVEL PARA SORO, BRANCO</t>
  </si>
  <si>
    <t>MESA MAYO BRANCA COM BANDEJA INOX</t>
  </si>
  <si>
    <t>MONITOR DE LED 15 POL. PRETO, DUEX</t>
  </si>
  <si>
    <t>IMPRESSORA HP LASERJET M 1132 PRETA â€“ BRJSG6K67S</t>
  </si>
  <si>
    <t>RAK EM METAL BRANCO COM 04 PRATELEIRAS E RODIZIOS</t>
  </si>
  <si>
    <t>SONIC COMPACT PULSE 13 MHZ</t>
  </si>
  <si>
    <t>NEURODYN II TENS FENS 4 CANAIS</t>
  </si>
  <si>
    <t>CAMA ELASTICA POLIMET</t>
  </si>
  <si>
    <t>MACA DIVA BAIXO 1,86X1,35X0,44 COR AZUL</t>
  </si>
  <si>
    <t>ESPALDAR FIXO COR MARROM</t>
  </si>
  <si>
    <t>BANCO ASSENTO ESTOFADO GIRATORIO</t>
  </si>
  <si>
    <t>Banqueta Mocho Elidy Home Decor Madeira Compensada Preto Metal Cromado Giratória | MercadoLivre</t>
  </si>
  <si>
    <t>MAJOR PM DALMIR TOBIAS VIANA</t>
  </si>
  <si>
    <t>ESCADA COM 02 DEGRAUS EM ALUMINIO COR BRANCA</t>
  </si>
  <si>
    <t>BANCO GIRATORIO COM RODIZIO</t>
  </si>
  <si>
    <t>CAMERA ESCURA P/ REVELACAO RX</t>
  </si>
  <si>
    <t>RAMPA DE EQUILIBRIO</t>
  </si>
  <si>
    <t>Rampa De Alongamento - De Panturrilha Para Fisioterapia | Parcelamento sem juros</t>
  </si>
  <si>
    <t>TABUA MECANOT. PROPRIOCEPTIVA RETANGULAR ARKTUS</t>
  </si>
  <si>
    <t>BEBEDOURO SOFT PLUS EVEREST</t>
  </si>
  <si>
    <t>ESCADA DOIS DEGRAUS</t>
  </si>
  <si>
    <t>SUPORTE PARA INFRAVEMELHO - ARKTUS</t>
  </si>
  <si>
    <t>NEURODYN 2 BIVOLT- IBRAMED</t>
  </si>
  <si>
    <t>BALANÃ‡O PROPRIOCEPTIVO PARA MECANOTERAPIA</t>
  </si>
  <si>
    <t>MASSAGEADOR MANUAL ELETRICO TH</t>
  </si>
  <si>
    <t>ULTRASSOM SONIC COMPACT</t>
  </si>
  <si>
    <t>MOVEL MESA AUXILIAR 3 PRATELEIRA METAL</t>
  </si>
  <si>
    <t>SELADORA SELAMAXX 30CM BIVOLT</t>
  </si>
  <si>
    <t>7° GUARAI</t>
  </si>
  <si>
    <t>1 Ten QOA Paulo Rodrigues Santos</t>
  </si>
  <si>
    <t>CANETA DE ALTA ROTACAO N 20784</t>
  </si>
  <si>
    <t>2 Ten QOA Paulo Rodrigues Santos</t>
  </si>
  <si>
    <t xml:space="preserve">CANETA DE ALTA ROTACAO N 26013 TA COM ELIAS </t>
  </si>
  <si>
    <t>3 Ten QOA Paulo Rodrigues Santos</t>
  </si>
  <si>
    <t>CANETA DE ALTA ROTACAO NAA 500000849573</t>
  </si>
  <si>
    <t>4 Ten QOA Paulo Rodrigues Santos</t>
  </si>
  <si>
    <t>CONTRA AASNGULO N SN08  0105067</t>
  </si>
  <si>
    <t>5 Ten QOA Paulo Rodrigues Santos</t>
  </si>
  <si>
    <t>CONTRA ANGULO  NAA 2010140471</t>
  </si>
  <si>
    <t>6 Ten QOA Paulo Rodrigues Santos</t>
  </si>
  <si>
    <t>CONTRA ANGULO NAA 2015157865</t>
  </si>
  <si>
    <t>7 Ten QOA Paulo Rodrigues Santos</t>
  </si>
  <si>
    <t xml:space="preserve">MICROMOTOR N 2010134959 MARCA KAVO </t>
  </si>
  <si>
    <t>8 Ten QOA Paulo Rodrigues Santos</t>
  </si>
  <si>
    <t xml:space="preserve">MICROMOTOR N 31345 MARCA GNATUS </t>
  </si>
  <si>
    <t>9 Ten QOA Paulo Rodrigues Santos</t>
  </si>
  <si>
    <t>REVELADOR DE RAIO X ODONTOLOGICO EM ACRILICO VERMELHO</t>
  </si>
  <si>
    <t>10 Ten QOA Paulo Rodrigues Santos</t>
  </si>
  <si>
    <t>MONITOR LCD AOC 15 POLEGADAS. PRETO N S AASAA GBP371A005146</t>
  </si>
  <si>
    <t>11 Ten QOA Paulo Rodrigues Santos</t>
  </si>
  <si>
    <t>COMPRESSOR ODONTOLOGICO SCHUS 30 LITROS</t>
  </si>
  <si>
    <t>Compressor de Ar Odontológico 220V - SCHULZ-CSD-5/30</t>
  </si>
  <si>
    <t>12 Ten QOA Paulo Rodrigues Santos</t>
  </si>
  <si>
    <t>ARMARIO EM ACO 2 PORTAS</t>
  </si>
  <si>
    <t>13 Ten QOA Paulo Rodrigues Santos</t>
  </si>
  <si>
    <t>APARELHO MOVEL DE RAIO AASAA X ODONTOLOGICO, PROCIO</t>
  </si>
  <si>
    <t>14 Ten QOA Paulo Rodrigues Santos</t>
  </si>
  <si>
    <t>MACA FIXA EM METAL BRANCO ESTOF. PRETO</t>
  </si>
  <si>
    <t>15 Ten QOA Paulo Rodrigues Santos</t>
  </si>
  <si>
    <t>BALANCA 150KG BRANCA, WELMY</t>
  </si>
  <si>
    <t>16 Ten QOA Paulo Rodrigues Santos</t>
  </si>
  <si>
    <t>SUPORTE MOVEL PARA SORO COM RODIZIOS</t>
  </si>
  <si>
    <t>17 Ten QOA Paulo Rodrigues Santos</t>
  </si>
  <si>
    <t>SUPORTE DE BRACO PARA VACINA</t>
  </si>
  <si>
    <t>18 Ten QOA Paulo Rodrigues Santos</t>
  </si>
  <si>
    <t>ARMARIO EM MDF COM 4 GAVETAS TAMPO EM VIDRO E RODIZIOS</t>
  </si>
  <si>
    <t>19 Ten QOA Paulo Rodrigues Santos</t>
  </si>
  <si>
    <t>MESA EM MDF BRANCO COM TAMPO EM VIDRO</t>
  </si>
  <si>
    <t>Mesa Escritório Escrivaninha 150x60 Tampo De 40 Mm +2 Gaveta Marrom | Parcelamento sem juros</t>
  </si>
  <si>
    <t>20 Ten QOA Paulo Rodrigues Santos</t>
  </si>
  <si>
    <t>CADEIRA FIXA ESTOF. PRETO</t>
  </si>
  <si>
    <t>Cadeira Executiva Fixa 4 Pés Sem Braços Ravan | Cadeira Brasil - Cadeira Brasil - A maior loja de cadeiras para escritório do Brasil há 9 anos!</t>
  </si>
  <si>
    <t>21 Ten QOA Paulo Rodrigues Santos</t>
  </si>
  <si>
    <t>CADEIRA MEDIA GIRATORIA ESTOF. TECIDO AZUL COM RODIZIOS</t>
  </si>
  <si>
    <t>22 Ten QOA Paulo Rodrigues Santos</t>
  </si>
  <si>
    <t>ARMARIO COMODA EM MDF COM 6 GAVETAS E 02 PORTAS</t>
  </si>
  <si>
    <t>23 Ten QOA Paulo Rodrigues Santos</t>
  </si>
  <si>
    <t>NEGASTOCOPIO VH SOFTLINE, BRANCO</t>
  </si>
  <si>
    <t>24 Ten QOA Paulo Rodrigues Santos</t>
  </si>
  <si>
    <t>CADEIRA GIRATORIA ESTOF. TECIDO AZUL, COM RODIZIOS</t>
  </si>
  <si>
    <t>25 Ten QOA Paulo Rodrigues Santos</t>
  </si>
  <si>
    <t>ARMARIO EM MDF BRANCO COM 08 GAVETAS, 5 PORTAS COM PIA DE MARMORE</t>
  </si>
  <si>
    <t>26 Ten QOA Paulo Rodrigues Santos</t>
  </si>
  <si>
    <t>27 Ten QOA Paulo Rodrigues Santos</t>
  </si>
  <si>
    <t>EQUIPO NA COR BEGE GNATUS</t>
  </si>
  <si>
    <t>28 Ten QOA Paulo Rodrigues Santos</t>
  </si>
  <si>
    <t>CADEIRA ODONTOLOGICA GNATUS COM ESTOF. VERDE</t>
  </si>
  <si>
    <t>29 Ten QOA Paulo Rodrigues Santos</t>
  </si>
  <si>
    <t>30 Ten QOA Paulo Rodrigues Santos</t>
  </si>
  <si>
    <t>31 Ten QOA Paulo Rodrigues Santos</t>
  </si>
  <si>
    <t>CADEIRA FIXA ESTOF. VERMELHO ESCURO</t>
  </si>
  <si>
    <t>32 Ten QOA Paulo Rodrigues Santos</t>
  </si>
  <si>
    <t>CONDICIONADOR DE AR SPLIT, ELETROLUX 12000 BTUS  INTERNO</t>
  </si>
  <si>
    <t>33 Ten QOA Paulo Rodrigues Santos</t>
  </si>
  <si>
    <t>CONDICIONADOR DE AR SPLIT, ELETROLUX 12000 BTUS  EXTERNO</t>
  </si>
  <si>
    <t>34 Ten QOA Paulo Rodrigues Santos</t>
  </si>
  <si>
    <t>REFRIGERADOR ELETRULUX 02 PORTAS 350 LITROS, BRANCO</t>
  </si>
  <si>
    <t>35 Ten QOA Paulo Rodrigues Santos</t>
  </si>
  <si>
    <t>ARMARIO EM MDF BRANCO COM 6 PORTAS, 4 GAVETAS E PIA DE MARMORE</t>
  </si>
  <si>
    <t>36 Ten QOA Paulo Rodrigues Santos</t>
  </si>
  <si>
    <t>AMALGAMADOR MIXALOY RHOS, BRANCO</t>
  </si>
  <si>
    <t>37 Ten QOA Paulo Rodrigues Santos</t>
  </si>
  <si>
    <t>ARMARIO MDF BRANCO, 6 PORTAS 4 GAVETAS E PIA DE MARMORE COM 02 CUBA</t>
  </si>
  <si>
    <t>38 Ten QOA Paulo Rodrigues Santos</t>
  </si>
  <si>
    <t>ARMARIO ARQUIVO EM MDF COM 12 GAVETAS, AMADEIRADO</t>
  </si>
  <si>
    <t>39 Ten QOA Paulo Rodrigues Santos</t>
  </si>
  <si>
    <t>MESA EM MDF, COR AMADEIRADOMARROM</t>
  </si>
  <si>
    <t>40 Ten QOA Paulo Rodrigues Santos</t>
  </si>
  <si>
    <t>CPU COR PRETO, MULTILASER</t>
  </si>
  <si>
    <t>41 Ten QOA Paulo Rodrigues Santos</t>
  </si>
  <si>
    <t>42 Ten QOA Paulo Rodrigues Santos</t>
  </si>
  <si>
    <t>BEBEDOURO LATINA, AQUAICE PARA GALAO DE 20 LITROS.</t>
  </si>
  <si>
    <t>Bebedouro Electrolux de mesa bancada de Água Gelada Fria e Natural Elétrico Eletronico placa para galao garrafão com perfurador lacre Bivolt Cinza BE11X : Amazon.com.br: Cozinha</t>
  </si>
  <si>
    <t>43 Ten QOA Paulo Rodrigues Santos</t>
  </si>
  <si>
    <t>PUF EM MDF AMADEIRADOMARROM ESTOF. EM NAPA</t>
  </si>
  <si>
    <t>Puff Quadrado Cubo Banqueta Decorativo Utilize - Marrom - Amadeus.Market - Puffs - Magazine Luiza</t>
  </si>
  <si>
    <t>44 Ten QOA Paulo Rodrigues Santos</t>
  </si>
  <si>
    <t>45 Ten QOA Paulo Rodrigues Santos</t>
  </si>
  <si>
    <t>46 Ten QOA Paulo Rodrigues Santos</t>
  </si>
  <si>
    <t>47 Ten QOA Paulo Rodrigues Santos</t>
  </si>
  <si>
    <t>CONDICIONADOR DE AR SPLIT ELETROLUX 18000 BTUS  INTERNO</t>
  </si>
  <si>
    <t>48 Ten QOA Paulo Rodrigues Santos</t>
  </si>
  <si>
    <t>CONDICIONADOR DE AR SPLIT ELETROLUX 18000 BTUS  EXTERNO</t>
  </si>
  <si>
    <t>49 Ten QOA Paulo Rodrigues Santos</t>
  </si>
  <si>
    <t>FOTOPOLIMERIZADOR PORTATIL SCHUSTER EMITER C</t>
  </si>
  <si>
    <t>50 Ten QOA Paulo Rodrigues Santos</t>
  </si>
  <si>
    <t>ARMARIO EM METAL BRANCO PARA AMBULATORIO, 02 PORTAS ENVIDRACADAS</t>
  </si>
  <si>
    <t>51 Ten QOA Paulo Rodrigues Santos</t>
  </si>
  <si>
    <t>TRANSPORTE</t>
  </si>
  <si>
    <t>52 Ten QOA Paulo Rodrigues Santos</t>
  </si>
  <si>
    <t>ARQUIVO EM ACO COM 4 GAVETAS</t>
  </si>
  <si>
    <t>53 Ten QOA Paulo Rodrigues Santos</t>
  </si>
  <si>
    <t>CADEIRA FIXA ESTOF. TECIDO AZUL, NOBRE</t>
  </si>
  <si>
    <t>54 Ten QOA Paulo Rodrigues Santos</t>
  </si>
  <si>
    <t>NOBREAK SMS PRETO</t>
  </si>
  <si>
    <t>55 Ten QOA Paulo Rodrigues Santos</t>
  </si>
  <si>
    <t>AUTOCLAVE CRISTOFOLI</t>
  </si>
  <si>
    <t>56 Ten QOA Paulo Rodrigues Santos</t>
  </si>
  <si>
    <t>CADEIRA MEDIA GIRATORIO EST. TECIDO AZUL COM RODIZIOS</t>
  </si>
  <si>
    <t>57 Ten QOA Paulo Rodrigues Santos</t>
  </si>
  <si>
    <t xml:space="preserve">IMPRESSORA HP M125A LASER MONO              </t>
  </si>
  <si>
    <t>58 Ten QOA Paulo Rodrigues Santos</t>
  </si>
  <si>
    <t xml:space="preserve">BALANA DIGITAL </t>
  </si>
  <si>
    <t>59 Ten QOA Paulo Rodrigues Santos</t>
  </si>
  <si>
    <t>SUPORTE EM MDF P BEBEDOURO</t>
  </si>
  <si>
    <t>Armário Suporte Balcão com Gaveta para Bebedouro de Cozinha (Branco) : Amazon.com.br: Casa</t>
  </si>
  <si>
    <t>60 Ten QOA Paulo Rodrigues Santos</t>
  </si>
  <si>
    <t xml:space="preserve">JET SONIC DUO 127220 V </t>
  </si>
  <si>
    <t>61 Ten QOA Paulo Rodrigues Santos</t>
  </si>
  <si>
    <t>2849 - 2852</t>
  </si>
  <si>
    <t>CONDICIONADOR DE AR SPLIT AGRATTO 12000 BTUS  INTERNO EXTERNO</t>
  </si>
  <si>
    <t>9 BPM ARAGUATINS</t>
  </si>
  <si>
    <t>TEM CEL ANTONIO ALBERTO LEMOS SODRE</t>
  </si>
  <si>
    <t>ANEL TONIFICADOR DE PILATES 38 CM ACTE SPORTS</t>
  </si>
  <si>
    <t>Anel Pilates Tonificador Flexível Ring Supermedy | Parcelamento sem juros</t>
  </si>
  <si>
    <t>BASTAO DE COR PRETA MED. 1 MT X 3CM</t>
  </si>
  <si>
    <t>BOLA PARA PILATES COR CINZA DE 75 CM DE DIAMETRO</t>
  </si>
  <si>
    <t>BOLA PARA PILATES COR PRETO DE 85 CM DE DIAMETRO</t>
  </si>
  <si>
    <t>Bola de Pilates 85cm Muvin – Antiestouro – Suporta até 300kg – Com Bomba – Ginástica – Fitness – Pilates – Yoga – Fisioterapia – Flexibilidade – Fortalecimento – Tonificação – Fácil Limpeza - Azul | Frete grátis</t>
  </si>
  <si>
    <t>BOLA PARA PILATES COR ROXO ARKUS</t>
  </si>
  <si>
    <t>Bola Pilates Suiça Yoga Abdominal Ginástica 65 Cm Cor Roxo Arktus | Parcelamento sem juros</t>
  </si>
  <si>
    <t>CANETA DE ALTA 2010142196</t>
  </si>
  <si>
    <t>CANETA DE ALTA ROTACAO N SN08  0152898</t>
  </si>
  <si>
    <t>CANETA DE ALTA SN 080152898</t>
  </si>
  <si>
    <t>CANETA DE ALTA SN 2019629858</t>
  </si>
  <si>
    <t>CONTRA ANGULO 0825</t>
  </si>
  <si>
    <t>CONTRA ANGULO SN 2020003189</t>
  </si>
  <si>
    <t xml:space="preserve">DISCO DE EQUILIBRIO FLEXIVEL AZUL COM BOMBA DE AR </t>
  </si>
  <si>
    <t>Disco De Equilibrio Balance Cushion 33cm Yoga Cor Azul | Frete grátis</t>
  </si>
  <si>
    <t xml:space="preserve">FAIXA THERABAND ( VERDE, LARANJA,CINZA) </t>
  </si>
  <si>
    <t>Kit 5 Faixas Elásticas Thera Band Com 5 Níveis Fisioterapia | MercadoLivre</t>
  </si>
  <si>
    <t>HALTER BOLA 1KG COR AZUL</t>
  </si>
  <si>
    <t>Halter Peso Bola Emborrachado de 1kg Musculação Academia - 1Fit - Halteres - Magazine Luiza</t>
  </si>
  <si>
    <t>HALTER BOLA 2GK COR CINZA</t>
  </si>
  <si>
    <t>HALTER BOLA 500G COR VERMELHA</t>
  </si>
  <si>
    <t>MICROMOTOR SN 2020650064</t>
  </si>
  <si>
    <t>PAR DE TORNOZELEIRAS PESO FIXO 1 KG COR AZUL, RMC</t>
  </si>
  <si>
    <t>PAR DE TORNOZELEIRAS PESO FIXO 2 KG COR PRETA, RMC</t>
  </si>
  <si>
    <t>PAR TORNOZELERA 1KG ARKUS</t>
  </si>
  <si>
    <t>PAR TORNOZELERA 2KG ARKUS</t>
  </si>
  <si>
    <t>PAR TORNOZELERA 3KG ARKUS</t>
  </si>
  <si>
    <t>PAR TORNOZELERA 4KG ARKUS</t>
  </si>
  <si>
    <t>PAR TORNOZELERA 5KG ARKUS</t>
  </si>
  <si>
    <t>Tornozeleira Par Arktus 5KG AZUL 00516A45</t>
  </si>
  <si>
    <t>TATAME E.V.A ( AZUL E VERDE )</t>
  </si>
  <si>
    <t>Tatame Tapete Eva 100x100x1cm 1x1 Metro 10mm | MercadoLivre</t>
  </si>
  <si>
    <t>TORNOZELEIRA 5 KG PARE</t>
  </si>
  <si>
    <t>CAMA ELASTICA 90CM COM ESTRUTURA EM ALUMINIO</t>
  </si>
  <si>
    <t>MESA AUXILIAR EM METAL COM 4 RODAS, BRANCA</t>
  </si>
  <si>
    <t>Mesa Auxiliar Pintada 50x40x80cm (cxlxa) Com Rodinhas | Parcelamento sem juros</t>
  </si>
  <si>
    <t>ESCADA 02 DEGRAUS EM METAL, BRANCA</t>
  </si>
  <si>
    <t>ESPALDAR SEM REGULAGEM EM MADEIRA</t>
  </si>
  <si>
    <t>CAMA ELASTICA POLIMET COR LARANJA</t>
  </si>
  <si>
    <t>APARELHO DE INFRA VERMELHO PEDESTAL 220 VOLTS COM 4 RODAS CINZA</t>
  </si>
  <si>
    <t>MACA DOBRAVEL, EM METAL, BRANCA COM ESTOFAMENTO PRETO</t>
  </si>
  <si>
    <t>LONGARINA 3 LUGARES ASSENTO EM PLASTICO VERDE</t>
  </si>
  <si>
    <t>Cadeira Iso Rp Longarina Polipropileno 3 Lugares Colorida Estrutura Verde Assentos Verde | MercadoLivre</t>
  </si>
  <si>
    <t>CONDICIONADOR DE AR SPLIT, GREE 9000 BTUS  INTERNO</t>
  </si>
  <si>
    <t>CONDICIONADOR DE AR SPLIT, GREE 9000 BTUS  EXTERNO</t>
  </si>
  <si>
    <t>ARMARIO EM ACO O2 PORTAS, CINZA</t>
  </si>
  <si>
    <t>MESA PARA COMPUTADOR, AZUL</t>
  </si>
  <si>
    <t>PURIFICADOR DE AGUA SOFT, BRANCO</t>
  </si>
  <si>
    <t>ARQUIVO EM ACO COM 4 GAVETAS, CINZA</t>
  </si>
  <si>
    <t>MESA SEM GAVETAS COR BEGE</t>
  </si>
  <si>
    <t>ARMARIO EM ACO COM 02 PORTAS, CINZAPRETO</t>
  </si>
  <si>
    <t>CONDICIONADOR DE AR SPLIT GREE 9000 BTUS AAASAASAA INTERNO</t>
  </si>
  <si>
    <t>COMPRESSOR ODONTOLOGICO SCHULZ DENTAL, BRANCO</t>
  </si>
  <si>
    <t>UNIDADE AUXILIAR GNATUS BEGE (CUSPIDEIRA)</t>
  </si>
  <si>
    <t>CADEIRA ODONTOLOGICA GNATUS, VERDE (SEM FOTO</t>
  </si>
  <si>
    <t>APARELHO DE RAIO X ODONTOLOGICO GNATUS, BRANCO</t>
  </si>
  <si>
    <t>CADEIRA MOCHO COM 5 RODAS, CINZA</t>
  </si>
  <si>
    <t>CADEIRA MOCHO COM 5 RODAS,VERDE</t>
  </si>
  <si>
    <t>CADEIRA FIXA COR AZUL</t>
  </si>
  <si>
    <t>ARMARIO EM FORMICA ITATIAIA COM 02 GAVETAS E 3 PORTAS, BRANCO</t>
  </si>
  <si>
    <t>ARMARIO EM ACO COM 7 GAVETAS PARA INSTRUMENTAL, 4 RODAS</t>
  </si>
  <si>
    <t>RACK EM METAL COM 3 PRATELEIRAS E 1 GAVETA</t>
  </si>
  <si>
    <t>ARMARIO EM ACO COM 02 PORTAS, CINZAPRETO, PANDIN</t>
  </si>
  <si>
    <t>APARELHO DE PROFILAXIA JET SONIC</t>
  </si>
  <si>
    <t>AUTOCLAVE CRISTOFOLI VITALE, 12 LITROS, BRANCO</t>
  </si>
  <si>
    <t>ARQUIVO EM ACO COM 4 GAVETAS, CINZAPRETO, PANDIN</t>
  </si>
  <si>
    <t>REFRIGERADOR CONSUL 280 LITROS</t>
  </si>
  <si>
    <t>TENS FES NEURODIN II IMBRAMED</t>
  </si>
  <si>
    <t>MACAS EM MADEIRA COM ESTOFAMENTO BRANCO</t>
  </si>
  <si>
    <t>BIOMBO TRIPLO RODIZIO ESMALTADA</t>
  </si>
  <si>
    <t xml:space="preserve">BALANCO BRANCO </t>
  </si>
  <si>
    <t xml:space="preserve">MICROONDAS ELECTROLUX BRANCO </t>
  </si>
  <si>
    <t>Micro-ondas Electrolux 20L Prata Espelhado com Função Tira Odor (MT30S)</t>
  </si>
  <si>
    <t xml:space="preserve">REFRIGERADOR CONSUL BRANCO </t>
  </si>
  <si>
    <t>MESA PARA COMPUTADOR COM DEGRAU, BEGE</t>
  </si>
  <si>
    <t>SONOPULSE LLL 10 E 3M0 MHZ N NFE 000001236</t>
  </si>
  <si>
    <t>APARELHO DE FOTOTERAPIA FLUENCE HTM</t>
  </si>
  <si>
    <t>Aparelho Laserterapia Led E Laser Fluence Ilib Htm | Parcelamento sem juros</t>
  </si>
  <si>
    <t xml:space="preserve">EQUIPO GNATUS BEGE </t>
  </si>
  <si>
    <t xml:space="preserve">NEGATOSCOPIO NEGATO SLIM LED  BIOTRON </t>
  </si>
  <si>
    <t>CAMARA REVELACAO CLASSIC BLACK BIOTRON</t>
  </si>
  <si>
    <t xml:space="preserve">MONITOR BPC LED 19 POLEGADA COR PRETA </t>
  </si>
  <si>
    <t xml:space="preserve">FOTOPOLIMERIZADOR SCHUSTER EMITTER </t>
  </si>
  <si>
    <t xml:space="preserve">IMPRESSORA EPSON MULTIFUNCIONAL </t>
  </si>
  <si>
    <t>MOTOR ENDODONTICO COM CONTRA ANGULO E LOCALIZADOR</t>
  </si>
  <si>
    <t>ODONTOLOGICO</t>
  </si>
  <si>
    <t>SELADORA CRISTÓFOLI</t>
  </si>
  <si>
    <r>
      <rPr>
        <color rgb="FF1155CC"/>
        <u/>
      </rPr>
      <t>Seladora Cristófoli 30cm Bivolt Bivolt Branco | Parcelamento sem juros</t>
    </r>
  </si>
  <si>
    <t>APMT</t>
  </si>
  <si>
    <t>TEN QOA LOURENSO OLIVEIRA SOUSA</t>
  </si>
  <si>
    <t>SERV. SAUDE</t>
  </si>
  <si>
    <t>BIOMBO DE 03 CORPOS EM METAL, BRANCO</t>
  </si>
  <si>
    <t>MACA FIXA EM METAL BRANCO COM ESTOF. CINZA</t>
  </si>
  <si>
    <t>ESCADA DE DOIS DEGRAUS BRANCA COM BASE EMBORRACHADA</t>
  </si>
  <si>
    <t>ALOJAMENTO FEMININO</t>
  </si>
  <si>
    <t>CONDICIONADOR DE AR SPLIT RHEEM DE 12000 BTUS - INTERNO</t>
  </si>
  <si>
    <t>CONDICIONADOR DE AR SPLIT RHEEM DE 12000 BTUS - EXTERNO</t>
  </si>
  <si>
    <t>MACA FIXA EM METAL, BRANCA COM ESTOF. PRETO</t>
  </si>
  <si>
    <t>SUPORTE MOVEL PARA SORO COM 03 RODAS</t>
  </si>
  <si>
    <t>SUPORTE PARA VACINA EM METAL BRANCO</t>
  </si>
  <si>
    <t>BALANCA EM METAL, BRANCA, 150 KG, WELMY</t>
  </si>
  <si>
    <t>Balança Mecânica Antropométrica Cauduro 160 Kg Ler Descrição Branco | Parcelamento sem juros</t>
  </si>
  <si>
    <t>ALOJAMENTO MASCULINO</t>
  </si>
  <si>
    <t>CONDICIONADOR DE AR SPLIT GREE 18000 BTUS - INTERNO</t>
  </si>
  <si>
    <t>CONDICIONADOR DE AR SPLIT GREE 18000 BTUS - EXTERNO</t>
  </si>
  <si>
    <t>ARRAIAS</t>
  </si>
  <si>
    <t>TC QOS FERNANDO A. M. CAMPOS</t>
  </si>
  <si>
    <t>CANETA DE ALTA ROTACAO NAASAA E53335</t>
  </si>
  <si>
    <t>CANETA DE ALTA ROTACAO NAASAA SN08 0152900</t>
  </si>
  <si>
    <t>CANETA DE ALTA SCHUSTER SN 06204669</t>
  </si>
  <si>
    <t xml:space="preserve">CANETA DE BAIXA ROTACAO (CONTRA ANGULO) N C 88675 </t>
  </si>
  <si>
    <t xml:space="preserve">LIXEIRA EM METAL (12 LITROS) MARCA MOR </t>
  </si>
  <si>
    <t xml:space="preserve">LIXEIRA EM METAL(20 LITROS) MARCA MOR </t>
  </si>
  <si>
    <t>Lixeira com Pedal em Aço Acabamento Polido Tramontina Inox 20Litros | Amazon.com.br</t>
  </si>
  <si>
    <t>MICROMOTOR SN 2019635930</t>
  </si>
  <si>
    <t>GAB ODONTO</t>
  </si>
  <si>
    <t>PECA RETA NAA  2008100316</t>
  </si>
  <si>
    <t>PECA RETA SCHUSTER SN 06930101</t>
  </si>
  <si>
    <t>P3</t>
  </si>
  <si>
    <t>MESA SECRETARIA COM 02 GAVETAS COR AMADEIRADO COM ESTRUT METAL</t>
  </si>
  <si>
    <t>CADEIRA MOCHO COM 5 RODAS, AMARELA</t>
  </si>
  <si>
    <t>CADEIRA ODONTOLOGICA GNATUS, BEGEAMARELA.</t>
  </si>
  <si>
    <t>EQUIPO GNATUS, BEGE</t>
  </si>
  <si>
    <t>RACK COM 3 PRATELEIRAS E 1 GAVETA, BRANCO</t>
  </si>
  <si>
    <t>AMALGAMADOR MIXALLOY</t>
  </si>
  <si>
    <t>APARELHO DE PROFILAXIA, GNATUS, JET SANIC</t>
  </si>
  <si>
    <t>NEGATOSCOPIO VH SOFT  LINE, BRANCO</t>
  </si>
  <si>
    <t>APARELHO DE RAIO X ODONTOLOGICO GNATUS, N S  4463567052</t>
  </si>
  <si>
    <t>AUTOCLAVE CRISTOFOLI VITALE 12 LITROS BRANCO</t>
  </si>
  <si>
    <t>MESA AUXILIAR EM METAL, BRANCA</t>
  </si>
  <si>
    <t>REFRIGERADOR ELETROLUX R 260, BRANCO</t>
  </si>
  <si>
    <t>IMPRESSORA MULTFUNCIONAL SAMSUNG BRANCA, NAA Z6Y1BQHC802335A</t>
  </si>
  <si>
    <t>CONDICIONADOR DE AR SPLIT MIDEA, 9000 BTUS  INTERNO</t>
  </si>
  <si>
    <t>CONDICIONADOR DE AR SPLIT MIDEA, 9000 BTUS  EXTERNO</t>
  </si>
  <si>
    <t>ESTANTE EM ACO COM 5 PRATELEIRAS, CINZA</t>
  </si>
  <si>
    <t>ESTANTE EM ACO COM O5 PRATELEIRAS, CINZA</t>
  </si>
  <si>
    <t>TRIPE</t>
  </si>
  <si>
    <t>Tripé De Iluminação Greika Fc-s288l 2,80m Aço Inox Env Hoje | Frete grátis</t>
  </si>
  <si>
    <t>SELADORA ELETRONICA BRANCA</t>
  </si>
  <si>
    <t>REVELADOR DE RAIO X EM ACRILICO BRANCO. (CAMARA ESCURA)</t>
  </si>
  <si>
    <t>ARMARIO EM ACO COLRMAQ 3 PORTAS BRANCO</t>
  </si>
  <si>
    <t>Armário Aéreo Triplo Itatiaia Luce com 3 Portas | Casas Bahia</t>
  </si>
  <si>
    <t>MESA PARA COMPUTADOR DUFT GAVETAS COR CINZA</t>
  </si>
  <si>
    <t>BOMBA VACUO ALT 34</t>
  </si>
  <si>
    <t xml:space="preserve">ARMARIO EM MDF NA COR AREIA COM 02 PORTAS E 12 GAVETAS </t>
  </si>
  <si>
    <t>ARMARIO EM MDF COM 02 PORTAS E 10 GAVETAS NA COR AREIA</t>
  </si>
  <si>
    <t>APARELHO DE SOLDA BOCAS ORTODONTIA SOLDAMAXX</t>
  </si>
  <si>
    <t>Soldador Ponto Soldamaxx Basic - Essence Dental</t>
  </si>
  <si>
    <t xml:space="preserve">ARMARIO EM MDF COM 6  GAVETAS E 3 PORTAS </t>
  </si>
  <si>
    <t xml:space="preserve">COMPRESSOR 30L COR BRANCO </t>
  </si>
  <si>
    <t>CAISPM</t>
  </si>
  <si>
    <t>TEN QOA FREDERICO COSTA NETO</t>
  </si>
  <si>
    <t>SALA GRUPO</t>
  </si>
  <si>
    <t>CADEIRAS PLASTICAS, BRANCA</t>
  </si>
  <si>
    <r>
      <rPr>
        <color rgb="FF1155CC"/>
        <u/>
      </rPr>
      <t>Kit com 12 Cadeiras com Braços Bertioga Basic Branca - TRAMONTINA-K7364</t>
    </r>
  </si>
  <si>
    <t>MILLENA AIRES BARROS</t>
  </si>
  <si>
    <t>CENTRAL DE PABX INTELBRAS DE COR CINZA</t>
  </si>
  <si>
    <t>Central Telefonica Digital Impacta 68i Pabx hibrida Intelbras | Frete grátis</t>
  </si>
  <si>
    <t>CLAYTON PINHEIRO DO AMARAL</t>
  </si>
  <si>
    <t>CONDICIONADOR DE AR SPLIT GREE 24000 BTUS - INTERNO</t>
  </si>
  <si>
    <t>Ar Condicionado 24000 Btus Split Hi Wall Inverter Midea Frio Ai Ecomaster 220v | Amazon.com.br</t>
  </si>
  <si>
    <t>CONDICIONADOR DE AR SPLIT GREE 24000 BTUS - EXTERNO</t>
  </si>
  <si>
    <t>CONDICIONADOR DE AR SPLIT GREE 9000 BTUS - INTERNO</t>
  </si>
  <si>
    <t>MARA MOTA DE SOUZA</t>
  </si>
  <si>
    <t>CADASTRO</t>
  </si>
  <si>
    <t>CONDICIONADOR DE AR SPLIT ELETROLUX 9000 BTUS - EXTERNO</t>
  </si>
  <si>
    <t>CONDICIONADOR DE AR SPLIT ELETROLUX 9000 BTUS - INTERNO</t>
  </si>
  <si>
    <t>TC QOPM RICARDO C. S. CAVALCANTE</t>
  </si>
  <si>
    <t>ARMARIO EM ACO COM 02 PORTAS COR CINZA ALT 180CM</t>
  </si>
  <si>
    <t>SALA DO CHEFE</t>
  </si>
  <si>
    <t>CONDICIONADOR DE AR ELETROLUX 12000 BTUS NS Ã‚â€“ 32302333 INTERNO</t>
  </si>
  <si>
    <t>PATRIMONIO</t>
  </si>
  <si>
    <t>MESA EM MDF AMADEIRADO COM 02 GAVETAS</t>
  </si>
  <si>
    <t>Escrivaninha Londres 118cm 2 Gavetas Corrediça Telescópica MDF MDP Mesa Para Computador Home Office Cor Canela | MercadoLivre</t>
  </si>
  <si>
    <t>TEN CEL MARCILIO BARBOSA MENDES</t>
  </si>
  <si>
    <t>MACA GINECOLOGICA FIXA, EM METAL BRANCO COM ESTOF. PRETO</t>
  </si>
  <si>
    <t>Mesa Poltrona Maca Exame Ginecológico Hospitalar Go Branca | Parcelamento sem juros</t>
  </si>
  <si>
    <t>CADEIRA GIRATORIA ESTOF. PRETO COM 05 RODAS, CAVALETTI</t>
  </si>
  <si>
    <t>NUTRICAO</t>
  </si>
  <si>
    <t>CADEIRA FIXA ESTOF. AZUL, ARTVIVA</t>
  </si>
  <si>
    <t>CADEIRA FIXA ESTOF. PRETO, CAVALETTI</t>
  </si>
  <si>
    <t>CADEIRA FIXA ESTOF. AZUL, ARTVIVA/ AUDITORIO</t>
  </si>
  <si>
    <t>CADEIRA GIRATORIA ESTOF. AZUL, 05 RODAS, CAVALETTI</t>
  </si>
  <si>
    <t>CADEIRA FIXA ESTOF. AZUL, CAVALETTI</t>
  </si>
  <si>
    <t>MESA EM MELANICOSEM GAVETAS, AZUL, MED. 60CM X 8OCM</t>
  </si>
  <si>
    <t>Suporte Para Impressora Com Rodinhas E Gaveta Em Mdf | Parcelamento sem juros</t>
  </si>
  <si>
    <t>REFRIGERADOR CONSUL 280 LTS, BRANCO</t>
  </si>
  <si>
    <t>ARMARIO VERTICAL EM ACO COM 04 PORTAS, CORES CINZA/AZUL, PANDIN</t>
  </si>
  <si>
    <t>ARMARIO EM ACO COM 02 PORTAS, PANDI</t>
  </si>
  <si>
    <t>SERV SOCIAL</t>
  </si>
  <si>
    <t>CADEIRA GIRATORIA ESTOF. AZUL COM 05 RODAS, CAVALETTI</t>
  </si>
  <si>
    <t>ARMARIO EM ACO COM 02 PORTAS CINZA, PANDIN</t>
  </si>
  <si>
    <t>MESA EM MELANICO, OVAL, COR AZUL</t>
  </si>
  <si>
    <t>CADEIRA FIXA ESTOF. AZUL, ARTVIVA / AUDITORIO</t>
  </si>
  <si>
    <t>ESTANTE EM FORMICA COM 02 GAVETAS, AZUL</t>
  </si>
  <si>
    <t>ARQUIVO EM FORMICA COM 04 GAVETAS, AZUL</t>
  </si>
  <si>
    <t>BALANCA DIGITAL MAGNA, 150 KG</t>
  </si>
  <si>
    <t>KELDIMAR RODRIGUES ROCHA</t>
  </si>
  <si>
    <t>COPA2</t>
  </si>
  <si>
    <t>ARMARIO DE PIA, MDF, AMADEIRADO</t>
  </si>
  <si>
    <t>Balcão Gabinete de Pia Madesa Acordes 100% | Casas Bahia</t>
  </si>
  <si>
    <t>COBRANCAS</t>
  </si>
  <si>
    <t>MESA DE MDF COR AMARELA COM BASE DE METAL PARA REUNIAO</t>
  </si>
  <si>
    <t>CPU COMPRETA COR PRETA VAIP C/FONTE 400W</t>
  </si>
  <si>
    <t>Maj Stela Regina Costa Celeste</t>
  </si>
  <si>
    <t>COORDENACAO</t>
  </si>
  <si>
    <t>AR CONDICIONADO SPLIT EPRINGER HIWALL 12000B CONDESADOR INTERNO</t>
  </si>
  <si>
    <t>ESTABILIZADOR FORCE LINE 300 VA 4 TOMADAS BIVOLT</t>
  </si>
  <si>
    <t>MESA DIRETOR C/PE METAL TECA ITALIA</t>
  </si>
  <si>
    <t>PURIFICADOR AGUA SOFT 60 HZ BRANCO</t>
  </si>
  <si>
    <t>CONDICIONADOR DE AR GREE 12000 ECO GARDEN 220V INTERNO</t>
  </si>
  <si>
    <t>TC QOBM/E ABADIA DE C AMORIM</t>
  </si>
  <si>
    <t>COMPRAS</t>
  </si>
  <si>
    <t>MESA COR BEGE COM DUAS GAVETAS</t>
  </si>
  <si>
    <t>ST Ronaldo P. Miranda</t>
  </si>
  <si>
    <t>INFORMATICA</t>
  </si>
  <si>
    <t>CADEIRA SKY PRESIDENTECIAL COR PRETA</t>
  </si>
  <si>
    <t>Cadeira Para Escritório Presidente Giratória Ergonômica ANM312 P : Amazon.com.br: Casa</t>
  </si>
  <si>
    <t>CONDICIONADOR DE AR MARCA MIDEIA INTERNO</t>
  </si>
  <si>
    <t>TC RR ADILSON CASTRO DA SILVA</t>
  </si>
  <si>
    <t>DIR. ADMINISTRATIVA</t>
  </si>
  <si>
    <t>CADEIRA OFFICE COR PRETA GIRATORIA</t>
  </si>
  <si>
    <t>CAROLINA ROCHA PAES</t>
  </si>
  <si>
    <t>ASCOM</t>
  </si>
  <si>
    <t>CONDICIONADOR DE AR HW FR AGRATTO INTERNO E EXTERNO</t>
  </si>
  <si>
    <t>MARIA LUZINEIDE GOMES DA SILVA</t>
  </si>
  <si>
    <t>VENTILADOR DE PAREDE OSCILANTE 60 CM</t>
  </si>
  <si>
    <t>Ventilador De Parede Ventisol Oscilante 60cm Preto | Frete grátis</t>
  </si>
  <si>
    <t>FLIP CHART COMPACT LINE MARRROM STALO</t>
  </si>
  <si>
    <t>Flip Chart Retrátil STALO, 173x60 : Amazon.com.br: Papelaria e Escritório</t>
  </si>
  <si>
    <t>Suporte Para Soro Com Regulagem De Altura E Rodizio</t>
  </si>
  <si>
    <t>CONDICIONADOR DE AR 12000 BTUS GARDEN 220V INTERNO</t>
  </si>
  <si>
    <t>AR CONDICIONADOR GREE G-TOP 22000 BTU</t>
  </si>
  <si>
    <t>Ar Condicionado Split Hi Wall Inverter Gree G-Top Auto 24000 BTU/h Frio CB574N10500 – 220 Volts | Amazon.com.br</t>
  </si>
  <si>
    <t>CIRR</t>
  </si>
  <si>
    <t>LUCEMIR DE OLIVEIRA PEREIRA</t>
  </si>
  <si>
    <t>SALA REUNIAO</t>
  </si>
  <si>
    <t>CONDICIONADOR DE AR KOMECO DE 24000 BTUs INTERNO</t>
  </si>
  <si>
    <t>CONDICIONADOR DE AR KOMECO DE 24000 BTUs EXTERNO</t>
  </si>
  <si>
    <t>CONSULTORIO</t>
  </si>
  <si>
    <t>BALANCA WELMY, 150KG, MOD. R-110, BRANCA</t>
  </si>
  <si>
    <t>GELADEIRA ESMALTEC MODELO ROC 31</t>
  </si>
  <si>
    <t>ARMARIO DE FERRO COM 2 PORTAS</t>
  </si>
  <si>
    <t>Armário Elite Aço EA301 Fechadura 4 Prateleiras Cor Cinza | MercadoLivre</t>
  </si>
  <si>
    <t>AR CONDICIONADO SPLIT EPRINGER HIWALL 12000B CONDESADOR EXTERNO</t>
  </si>
  <si>
    <t>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5</t>
  </si>
  <si>
    <t>AVALIACAO SAUDE</t>
  </si>
  <si>
    <t>AR CONDICIONADO SPLIT EPRINGER HIWALL 9000B EVAPORADORA INTERNO</t>
  </si>
  <si>
    <t>AR CONDICIONADO SPLIT EPRINGER HIWALL 9000B CONDESADOR EXTERNO</t>
  </si>
  <si>
    <t>COORDENAÇÃO</t>
  </si>
  <si>
    <t>PURIFICADOR DE AGUA SOFT PLUS BRANCO</t>
  </si>
  <si>
    <t>JUNTA MEDICA</t>
  </si>
  <si>
    <t>MULTIPROFISSIONAL</t>
  </si>
  <si>
    <t>AR CONDICIONADO SPLIT EPRINGER HIWALL 12000B EVAPORADORA INTERNO</t>
  </si>
  <si>
    <t>DIANOPOLIS</t>
  </si>
  <si>
    <t>QOS TC RITA DE CASSIA M. DA SILVA</t>
  </si>
  <si>
    <t>CANETA BAIXA (CONTRA ANGULO) C101975</t>
  </si>
  <si>
    <t>CANETA DE ALTA ROTACAO N 52740</t>
  </si>
  <si>
    <t>CANETA DE ALTA ROTACAO N 52930</t>
  </si>
  <si>
    <t>CANETA DE ALTA SN 2015152589</t>
  </si>
  <si>
    <t>CONTRA ANGULO SN 2015160337</t>
  </si>
  <si>
    <t>MICROMOTOR SN2015155596</t>
  </si>
  <si>
    <t>PECA RETA SN030016743</t>
  </si>
  <si>
    <t>REVELADOR DE RAIO X ODONTOLOGICO COR BRANCA (CAMARA ESCURA)</t>
  </si>
  <si>
    <t>REVELADOR DE RAIO X UNEMOL (CAMARA ESCURA)</t>
  </si>
  <si>
    <t>CONDICIONADOR DE AR GREE</t>
  </si>
  <si>
    <t>COMPRESSOR DE AR 30L SCHULZ</t>
  </si>
  <si>
    <t>FOTOPOLIMERIZADOR GNATUS, N S  0841917114</t>
  </si>
  <si>
    <t>APARELHO DE RAIO X ODONTOLOGICO GNATUS XR6010 N S  257817</t>
  </si>
  <si>
    <t>ARMARIO EM ACO COM 7 GAVETAS INSTRUMENTAL 4 RODAS, BRANCO</t>
  </si>
  <si>
    <t>REFRIGERADOR CONSUL BEGE MOD. R22 ESSENCIAL</t>
  </si>
  <si>
    <t>AUTOCLAVE CRISTOFOLI 12 LITROS BRANCO</t>
  </si>
  <si>
    <t>APARELHO DE PROFILAXIA DABIATLANTE BRANCO</t>
  </si>
  <si>
    <t>ARMARIO  AMBULATORIO, ESTRUT. METAL, BRANCA, 3 PRATELEIRAS</t>
  </si>
  <si>
    <t>RACK PRATELEIRA EM METAL COM 3 BANDEJAS, 1 GAVETA E 4 RODAS</t>
  </si>
  <si>
    <t xml:space="preserve">CADEIRA MOCHO COM 5 RODAS COR VERDE </t>
  </si>
  <si>
    <t xml:space="preserve">CADEIRA MOCHO COM 5 RODAS, COR CINZA </t>
  </si>
  <si>
    <t>UNIDADE AUXILIAR GNATUS, BRANCA (CUSPIDEIRA)</t>
  </si>
  <si>
    <t>REFLETOR GNATUS BRANCO</t>
  </si>
  <si>
    <t>EQUIPO GNATUS, BRANCO</t>
  </si>
  <si>
    <t>CADEIRA ODONTOLOGICA GNATUS ESTRUT. VERDE</t>
  </si>
  <si>
    <t>EMPRESTADO</t>
  </si>
  <si>
    <t>BEBEDOURO MG 50, 50 LT INOX (ESTAVA EMPRESTADO)</t>
  </si>
  <si>
    <t>Bebedouro De Água 50l Inox 2 Torneiras 1 Gelada/1 Natural | Frete grátis</t>
  </si>
  <si>
    <t xml:space="preserve">ARMARIO EM ACO COM2 CINZA </t>
  </si>
  <si>
    <t>ARMARIO EM ACO COM4 GAVETA VERDE</t>
  </si>
  <si>
    <t>CONDICIONADOR DE AR 9000 BTUS GREE INTERNO</t>
  </si>
  <si>
    <t>NATIVIDADE</t>
  </si>
  <si>
    <t>BEBEDOURO IND 200 LITROS C 4 TORNEIRAS  MAX GEL  ESTA NA NATIVIDADE</t>
  </si>
  <si>
    <t>Bebedouro Industrial Água 200 Litros Coluna Inox + Filtro | Parcelamento sem juros</t>
  </si>
  <si>
    <t xml:space="preserve">ARMARIO EM ACO COM02 PORTAS DE VIDRO E 02 PRATELEIRAS COR BRANCA </t>
  </si>
  <si>
    <t xml:space="preserve">ARMARIO EM MDF 1 PORTA E 08 GAVETAS COR BRANCA </t>
  </si>
  <si>
    <t xml:space="preserve">ARMARIO MDF 7 PORTAS, 7 GAVETAS E 1 ESCRIVANINHA EM L, BRANCA </t>
  </si>
  <si>
    <t xml:space="preserve">CONDICIONADOR DE AR CORRIE 12000 BTU INTERNO </t>
  </si>
  <si>
    <t>SONIC DUO</t>
  </si>
  <si>
    <r>
      <rPr>
        <rFont val="Arial, sans-serif"/>
        <b/>
        <color rgb="FF1155CC"/>
        <u/>
      </rPr>
      <t>https://www.dentalspeed.com/ultrassom-jet-sonic-bp-bivolt-gnatus.html?srsltid=AfmBOoqm4PiovmI0jqWpNkLzKzinJYwsyj9r2QpmXyDg092Xwc4-k5pb8Lw</t>
    </r>
  </si>
  <si>
    <t>2857 - 2858</t>
  </si>
  <si>
    <t>CONDICIONADOR DE AR SPLIT TCL, 12000 BTUS  INTERNO EXTERNO</t>
  </si>
  <si>
    <t>FPTO</t>
  </si>
  <si>
    <t>LUCAS LIRA MENDES</t>
  </si>
  <si>
    <t>JURIDICO</t>
  </si>
  <si>
    <t>POLTRONA MEDIA FIXA PRETA</t>
  </si>
  <si>
    <t>Cadeira Secretária Estofada Em Preto Confortável Zy03-3b | Parcelamento sem juros</t>
  </si>
  <si>
    <t>SALA DE REUNIÃO</t>
  </si>
  <si>
    <t>LONGARINA 03 LUGARES COR PRETA</t>
  </si>
  <si>
    <t>AUDITORIO</t>
  </si>
  <si>
    <t>CADEIRA MEDIA GIRATORIA</t>
  </si>
  <si>
    <t>POLTRONA FIXA</t>
  </si>
  <si>
    <t>Maj QOA. Delva</t>
  </si>
  <si>
    <t>ARMARIO EM MDF MARFIN LINHEIRO COM 02 PORTAS</t>
  </si>
  <si>
    <t>CEL RR LUIZ CLAUDIO G BENICIO</t>
  </si>
  <si>
    <t>DIR. PRESIDENTE</t>
  </si>
  <si>
    <t xml:space="preserve">IMPRESSORA MULTIFUNCIONAL HP MOD M1132 </t>
  </si>
  <si>
    <t>ARMARIO EM MDF MARFIN LINHEIRO 02 PORTAS</t>
  </si>
  <si>
    <t>1SGT Fernandes Neto</t>
  </si>
  <si>
    <t>POLTRONA MEDIA GIRATORIA PRETA</t>
  </si>
  <si>
    <t>Cadeira Escritório Confortável, Giratória E Ajustável | Frete grátis</t>
  </si>
  <si>
    <t>TC JOSE DOMINGOS A. FILHO</t>
  </si>
  <si>
    <t>MESA DE COR MARROM COM 03 GAVETAS</t>
  </si>
  <si>
    <t xml:space="preserve">MESA EM GRANITO </t>
  </si>
  <si>
    <t>POLTROA FIXA PRETA</t>
  </si>
  <si>
    <t>LUZILEIDE DE FRANCA MACEDO</t>
  </si>
  <si>
    <t>SERVIÇO SOCIAL</t>
  </si>
  <si>
    <t>ARMARIO EM MDF COM 02 PORTAS NA COR BEGE MED 90 CM ALTURA</t>
  </si>
  <si>
    <t>Armário Alto Fechado 1.60x80x42 F.15mm | MercadoLivre</t>
  </si>
  <si>
    <t>MONITOR AOC 15 POL</t>
  </si>
  <si>
    <t>CADEIRA GIR. PRETA</t>
  </si>
  <si>
    <t>CADEIRA MEDIA FIXA ASSENTO DE PVC</t>
  </si>
  <si>
    <t>MONITOR LCD AOC 15 POL</t>
  </si>
  <si>
    <t xml:space="preserve">POLTRONA ALTA EXECUTIVA GIRATORIA COR PRETA </t>
  </si>
  <si>
    <t>LONGARINA 3 LUGARES</t>
  </si>
  <si>
    <t>ADMIVAIR SILVA BORGES</t>
  </si>
  <si>
    <t>IMPRESSORA HP MULTIFUNCIONAL MOD M1132 DE COR PRETA</t>
  </si>
  <si>
    <t>ARMARIO EM MDF PARA ARQUIVO COM 02 PORTAS COR AMADEIRADO</t>
  </si>
  <si>
    <t xml:space="preserve">LONGARINA 2 LUGARES </t>
  </si>
  <si>
    <t>Cadeira Iso Rp Longarina Polipropileno 2 Lugares Preta | MercadoLivre</t>
  </si>
  <si>
    <t>AMOX REC.</t>
  </si>
  <si>
    <t>REFRIGERADOR CONSUL 240 LTS DE COR BRANCA</t>
  </si>
  <si>
    <t>PROJETOS</t>
  </si>
  <si>
    <t>Joao Gabriel</t>
  </si>
  <si>
    <t>MESA EM MELANINO PARA TELEFONE / IMPRESSORA COM 04 RODAS</t>
  </si>
  <si>
    <t>SGT QPPM MEIRE G DA CUNHA</t>
  </si>
  <si>
    <t>PEDIATRA</t>
  </si>
  <si>
    <t>IMPRESSORA MULTIFUNCIONAL HP MOD M 1132 PRETA N BRJSF8G6KH</t>
  </si>
  <si>
    <t>RH</t>
  </si>
  <si>
    <t>MESA EM MELANICO PARA TELEFONE MARFIN COM 04 RODAS</t>
  </si>
  <si>
    <t xml:space="preserve">LONGARINA 2 LUGARE </t>
  </si>
  <si>
    <t>ARMARIO MDF COM 2 POTAS</t>
  </si>
  <si>
    <t>Armário Para Escritório Alto Fechado 1.60x80x42 F.15mm | Parcelamento sem juros</t>
  </si>
  <si>
    <t>Patiane</t>
  </si>
  <si>
    <t>ESTANTE EM ACO COM 03 PRATELEIRAS</t>
  </si>
  <si>
    <t>Estante Aço Multi-uso 40cm 3 Prateleiras Cinza | Frete grátis</t>
  </si>
  <si>
    <t>CADEIRA GIR. COM APOIO DE BRAÇO</t>
  </si>
  <si>
    <t>JOAO GABRIEL SILVA MENDES</t>
  </si>
  <si>
    <t xml:space="preserve">NOTEBOOK LENOVO NS PE00BRTB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</si>
  <si>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Notebook Lenovo IdeaPad 1 15IRU7 Intel Core i3-1315U 8GB 256GB SSD Windows 11 15.6" - 83QJ0001BO Cloud Grey | Amazon.com.br</t>
  </si>
  <si>
    <t>ESTANTE EM ACO COM 05 PRATELEIRAS</t>
  </si>
  <si>
    <t>Estante Aço 5 Prateleiras 175x92x30 25kg Reforçado Pandin | MercadoLivre</t>
  </si>
  <si>
    <t>Mateus</t>
  </si>
  <si>
    <t>IMPRESSORA HP LASERJET MOD M 1132 MFP NS BRJSF7S6HD</t>
  </si>
  <si>
    <t>ESTANTE EM ACO COM 05 PRATELEIRAS CINZA</t>
  </si>
  <si>
    <t>BANCADA EM MDF MARFIN LINHEIRO COM 02 GAVETAS E 02 PORTAS</t>
  </si>
  <si>
    <t>ESCADA EM METAL 02 DEGRAUS BRANCA</t>
  </si>
  <si>
    <t>CARRINHO DE CARGA CINZA</t>
  </si>
  <si>
    <t>Carro de Mão Esfera PCI 200 Capacidade 200 Kg Aço Rodas Borracha | MercadoLivre</t>
  </si>
  <si>
    <t>ESTANTE EM ACO COM 06 PRATELEIRAS CINZA ELITE</t>
  </si>
  <si>
    <t>RAK PARA SERVIDORES DE COR PRETA 190 MT ALTURA</t>
  </si>
  <si>
    <t>Rack Servidor Fechado 32u X 870mm Piso Rackfort Padrão 19 Preto | MercadoLivre</t>
  </si>
  <si>
    <t>BANCADA EM MDF MARFIN LINHEIRO COM 01 GAVETA E 01 PORTA</t>
  </si>
  <si>
    <t>SERVIDOR DE BANCOS DE DADOS N S 11CDSS1</t>
  </si>
  <si>
    <t>Servidor em torre PowerEdge T160 | Dell Brasil</t>
  </si>
  <si>
    <t>NO BREAK SMS COR PRETA</t>
  </si>
  <si>
    <t>SUPORTE PARA BANNER EM ALUMINIO COM TRIPE E ASTE REGULAVEL</t>
  </si>
  <si>
    <t>Porta Banner 2,20m C Garras Pedestal Tripé Suporte Imediato | MercadoLivre</t>
  </si>
  <si>
    <t>CADEIRA DE RODAS CINZA, PNEUS MACICO</t>
  </si>
  <si>
    <t>CADEIRA GIRATORIA AZUL</t>
  </si>
  <si>
    <t>ANDADOR EM ALUMINIO DOBRAVEL</t>
  </si>
  <si>
    <t>NOTE BOOK DELL MOD VOSTRO 5470 TELA DE 14 POL DE COR PRETA</t>
  </si>
  <si>
    <t xml:space="preserve">IMPRESSORA MULTIFUNCIONAL BROTHER MOD DCP8152 </t>
  </si>
  <si>
    <t>ARMARIO BAIXO EM MDF COM 02 PORTAS MARROM AMADEIRADO</t>
  </si>
  <si>
    <t>MESA REDONDA AMADEIRADA</t>
  </si>
  <si>
    <t>Mesa Para Reunião Redonda Escritório 1.00m, Várias Cores | Parcelamento sem juros</t>
  </si>
  <si>
    <t>ESTANTE DE ACO COM 6 PRATELEIRAS</t>
  </si>
  <si>
    <t>IMPRESSORA MULTIFUNCIONAL</t>
  </si>
  <si>
    <t>CADEIRA DE RODAS</t>
  </si>
  <si>
    <t xml:space="preserve">ESTANTE DE ACO 6 PRATELEIRAS </t>
  </si>
  <si>
    <t>CADEIRA FIXA ENGONOMICA PLAX METAL</t>
  </si>
  <si>
    <t>Cadeira Fixa Ergoplax Secretária Fixa 4 Pés Slim Preta Plaxmetal | Amazon.com.br</t>
  </si>
  <si>
    <t>CADEIRA DE BANHO BRANCA ESCAMOTEAVEL</t>
  </si>
  <si>
    <t>CADEIRA DE RODA PN MACICO 90 KG RD AL/ NY</t>
  </si>
  <si>
    <t>FRIGOBAR 120 LITROS BRANCO ELECTROLUX</t>
  </si>
  <si>
    <t>Frigobar Electrolux 121L Efficient com Controle de Temperatura Cor Branca EM120 - 110V | Parcelamento sem juros</t>
  </si>
  <si>
    <t xml:space="preserve">COMPUTADOR CORE I3 4GB 1TB/W10 COR BRANCO </t>
  </si>
  <si>
    <t>ALL IN ONE 3G</t>
  </si>
  <si>
    <t>Computador All In One I5 8gb Ram Ssd 240gb Tela 21.5 Full Hd | Parcelamento sem juros</t>
  </si>
  <si>
    <t>DIR. ADM</t>
  </si>
  <si>
    <t xml:space="preserve">ANDADOR DOIS NIVEIS ZIMEDICAL COR PRATA </t>
  </si>
  <si>
    <t>CADEIRA DE BANHO</t>
  </si>
  <si>
    <t>PEDESTRAL VISAO P/ MICROFONE GIRAFA VPE2BK</t>
  </si>
  <si>
    <t>Pedestal Para Microfone Visão Pe-2- Tipo Girafa Branco Preto | Parcelamento sem juros</t>
  </si>
  <si>
    <t xml:space="preserve">CADEIRA DE RODAS 102 RAIADA PRETA </t>
  </si>
  <si>
    <t>MESA RETANGULAR EM MDF</t>
  </si>
  <si>
    <t xml:space="preserve">PROJETOR MULTIMIDIA EPSON POWERLITE </t>
  </si>
  <si>
    <t>Projetor Powerlite E24 Epson 3.600 Lúmens Xga | Frete grátis</t>
  </si>
  <si>
    <t xml:space="preserve">MULTIFUNCIONAL HP LASERJET COLOR COR BRANCA </t>
  </si>
  <si>
    <t xml:space="preserve">COMPUTADOR DELL ALL IN </t>
  </si>
  <si>
    <t xml:space="preserve">ARMARIO BAIXO AME PRE GEBB WORK COR MARROM </t>
  </si>
  <si>
    <t>MESA EM L</t>
  </si>
  <si>
    <t>Escrivaninha Mesa Escritório em L Diretor Tamburato com 4 Gavetas 180cm | MadeiraMadeira</t>
  </si>
  <si>
    <t xml:space="preserve">MULETA ALUMINIO AXILAR G PAR 05 </t>
  </si>
  <si>
    <t xml:space="preserve">ANDADOR EM ALUMINIO DOBRAVEL </t>
  </si>
  <si>
    <t>CADEIRA DE RODAS DE BANHO</t>
  </si>
  <si>
    <t>CADEIRA DE RODAS 102 RAIADA</t>
  </si>
  <si>
    <t xml:space="preserve">CADEIRA DE RODAS 102 RAIADA </t>
  </si>
  <si>
    <t>CADEIRA DE BANHO BASICA</t>
  </si>
  <si>
    <t>MACA ARKUS</t>
  </si>
  <si>
    <t xml:space="preserve">NOTEBOOK VAIO C14 CORE I3 4GB 128GB SSD 14 WINDOWS 10 COR AZUL </t>
  </si>
  <si>
    <t>Notebook HP 256R G9 Intel Core i3 1315U 13º Geração. Memória RAM 8GB. SSD 256GB. Tela de 15,6" LCD. Windows 11 - Home SL - Cinza Escuro. Bivolt. (BQ9K8AT#AK4) : Amazon.com.br: Computadores e Informática</t>
  </si>
  <si>
    <t>CADEIRA DE RODAS COR PRETA COM PNEUS MACICO</t>
  </si>
  <si>
    <t xml:space="preserve">COMPUTADOR POSITIVO UNION CORE I3 4GB 1TB </t>
  </si>
  <si>
    <t>NOTEBOOK DELL INSPIRON CORE I5 RAM 8GB HD ITB</t>
  </si>
  <si>
    <t>MULETA ALUMINIO AXILAR SUPORTE PRETO PAR 69</t>
  </si>
  <si>
    <t>MULETA ALUMINIO AXILAR SUPORTE CINZA PAR 19</t>
  </si>
  <si>
    <t>MULETA ALUMINIO AXILAR PAR 28</t>
  </si>
  <si>
    <t xml:space="preserve">MULETA ALUMINIO AXILAR PAR 35 </t>
  </si>
  <si>
    <t>ARQUIVO DE ACO C/4 GAVETAS PANDIN CINZA</t>
  </si>
  <si>
    <t xml:space="preserve">PC EASYPC CORE I5 8 GB COR PRETA </t>
  </si>
  <si>
    <t>Computador 2eletro Speed Intel Core I5, 8gb Ram, Ssd 512gb, Hdmi, Bivolt, Áudio Hd - Cd2e-0102sp | Frete grátis</t>
  </si>
  <si>
    <t xml:space="preserve">CADEIRA DE RODAS MANUAL PNEUS INFLAVEIS </t>
  </si>
  <si>
    <t>REFRIGERADOR CONSUL CRM45 220V</t>
  </si>
  <si>
    <t>Geladeira Consul CRM44MB Duplex Inverter 377L | Casas Bahia</t>
  </si>
  <si>
    <t xml:space="preserve">MULETA AUXILIARE DE ALUMINIO MERCUR PAR 17  </t>
  </si>
  <si>
    <t xml:space="preserve">MULETA AUXILIARE DE ALUMINIO MERCUR PAR 17 </t>
  </si>
  <si>
    <t>MULETA ALUMINIO AXILAR PAR 15</t>
  </si>
  <si>
    <t>MULETA ALUMINIO AXILAR G PAR 45</t>
  </si>
  <si>
    <t>MULETA EM ALUMINIO AXILAR PAR 89</t>
  </si>
  <si>
    <t xml:space="preserve">MULETA ALUMINIO AXILAR G PAR 80 </t>
  </si>
  <si>
    <t>CADEIRA DE RODA DE BANHO</t>
  </si>
  <si>
    <t xml:space="preserve">POLTRONA GIRATORIA OFFICE COR PRETA </t>
  </si>
  <si>
    <t>Cadeira de Escritório Mônaco Base Giratória - All Black : Amazon.com.br: Casa</t>
  </si>
  <si>
    <t>MULETA ALUMINIO AXILAR PAR 03</t>
  </si>
  <si>
    <t>MULETA ALUMINIO AXILAR PAR 22</t>
  </si>
  <si>
    <t>MULETA CINZA COM O APOIO PRETO PAR 10</t>
  </si>
  <si>
    <t xml:space="preserve">MULETA ALUMINIO MERCUR PAR 27 </t>
  </si>
  <si>
    <t>MULETA ALUMINIO MERCUR PAR 33</t>
  </si>
  <si>
    <t xml:space="preserve">REFRIGERADOR CONSUL 220V </t>
  </si>
  <si>
    <t>MULETA ALUMINIO MERCUR PAR 24</t>
  </si>
  <si>
    <t xml:space="preserve">IMPRESSORA MULTI JATO TINTA COLORIDA </t>
  </si>
  <si>
    <t>MULETA ALUMINIO MERCUR COM DETALHE PRETO  PAR 78</t>
  </si>
  <si>
    <t>MULETA ALUMINIO MERCUR PAR 101</t>
  </si>
  <si>
    <t>MULETA ALUMINIO MERCUR PAR 25</t>
  </si>
  <si>
    <t>PC ALL IN ONE 3GREEN 21 INTEL I3 4 GB</t>
  </si>
  <si>
    <t>CADEIRA AZUL GIRATORIA</t>
  </si>
  <si>
    <t xml:space="preserve">CADEIRA AZUL AZ NOBRE CINCO RODAS </t>
  </si>
  <si>
    <t>Cadeira Iso Giratoria Com Regulagem Secretaria Recepcao Home Cor Azul Material do estofamento Plástico | Frete grátis</t>
  </si>
  <si>
    <t xml:space="preserve">CADEIRA DE RODA MANUAL COR PRETA </t>
  </si>
  <si>
    <t>NUTRIÇÃO</t>
  </si>
  <si>
    <t>MONITOR DE GORDURA CORPORAL</t>
  </si>
  <si>
    <t>Monitores De Gordura Corporal Medição De Dobras Cutâneas Dig | Parcelamento sem juros</t>
  </si>
  <si>
    <t xml:space="preserve">BALANCA DIGITAL PREMIUM </t>
  </si>
  <si>
    <t>COMPUTADOR ALL IN ON LG INTEL CELERON WINDOWS 10</t>
  </si>
  <si>
    <t>HD EXTERNO COR PRETA SAMSUNG 1TB</t>
  </si>
  <si>
    <t>HD Externo Portátil Knup 1TB USB 3.0 Preto para PC e Consoles | MercadoLivre</t>
  </si>
  <si>
    <t xml:space="preserve">HD 500 GB COR PRETA </t>
  </si>
  <si>
    <t>Hd Externo 500gb Usb 2.0 Preto | Parcelamento sem juros</t>
  </si>
  <si>
    <t xml:space="preserve">CASE MULTILASER P/ HD COR PRETA MULTILASER </t>
  </si>
  <si>
    <t>Case Para Hd Notebook Sata 2.5 adaptador Ssd Usb 3.0 Pc Ps4 Xbox Tv Kp-hd821 | Frete grátis</t>
  </si>
  <si>
    <t xml:space="preserve">BALANCA DIGITAL GTECH MODELO </t>
  </si>
  <si>
    <t xml:space="preserve">CADEIRA DE RODAS </t>
  </si>
  <si>
    <t xml:space="preserve">BALANCA DIGITAL GTECH </t>
  </si>
  <si>
    <t>MONITOR SAMSGUNG 22 POLEGADA</t>
  </si>
  <si>
    <t>Monitor Samsung Essential S3 22 Fhd, 100 Hz Cor Preto | Frete grátis</t>
  </si>
  <si>
    <t xml:space="preserve">PC CORPC INTEL I5 8GB SSD 240GB COR PRETA </t>
  </si>
  <si>
    <t>Kálita Saleth R Tertuliano Moreira</t>
  </si>
  <si>
    <t xml:space="preserve">MONITOR SAMSUNG 22 POLEGADA </t>
  </si>
  <si>
    <t xml:space="preserve">Sistema de Backup com disco 2tb </t>
  </si>
  <si>
    <t>https://www.amazon.com.br/Seagate-port%C3%A1til-servi%C3%A7os-exclusivo-STGX2000400/dp/B07DQ91XNK/ref=asc_df_B07DQ91XNK?mcid=c79dcdd8ae2130b8a25eadc558b7483f&amp;tag=googleshopp00-20&amp;linkCode=df0&amp;hvadid=709884378385&amp;hvpos=&amp;hvnetw=g&amp;hvrand=2273792953526064137&amp;hvpone=&amp;hvptwo=&amp;hvqmt=&amp;hvdev=c&amp;hvdvcmdl=&amp;hvlocint=&amp;hvlocphy=9101878&amp;hvtargid=pla-569114426572&amp;psc=1&amp;language=pt_BR&amp;gad_source=1</t>
  </si>
  <si>
    <t xml:space="preserve">CONDICIONADOR DE AR GREE 24000 BTU ECO GARDEN INTERNO </t>
  </si>
  <si>
    <t>SALA DE REUN</t>
  </si>
  <si>
    <t>AR CONDICIONADO 24000 BTU GREE</t>
  </si>
  <si>
    <t>RECEPCAO PRESIDENTE</t>
  </si>
  <si>
    <t>CONDICIONADOR DE AR GREE 24000 BTU ECO GARDEN INTERNO</t>
  </si>
  <si>
    <t>RECEPÇÃO PRES</t>
  </si>
  <si>
    <t xml:space="preserve">MONITOR LED 21,5 TN 22TRS-XIE COR PRETA </t>
  </si>
  <si>
    <t xml:space="preserve">MONITOR LED 19.5 HD LED-HDMI CORE PRETA </t>
  </si>
  <si>
    <t>MULETA ALUMINIO AXILAR G PAR 63</t>
  </si>
  <si>
    <t>AR CONDICIONADO 9000 BTU GREE</t>
  </si>
  <si>
    <t>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5</t>
  </si>
  <si>
    <t xml:space="preserve">COMPUTADOR CORPC INTEL I5 8GB SSD 240GB COR PRETA </t>
  </si>
  <si>
    <t xml:space="preserve">MULETA AUXILAR DE ALUMINIO D7  M (A) </t>
  </si>
  <si>
    <t xml:space="preserve">MULETA AUXILAR DE ALUMINIO D7  M (B) </t>
  </si>
  <si>
    <t xml:space="preserve">MULETA AUXILAR DE ALUMINIO D7  M (F) </t>
  </si>
  <si>
    <t>MULETA AUXILAR DE ALUMINIO G (M)</t>
  </si>
  <si>
    <t>MULETA AUXILAR DE ALUMINIO G (N)</t>
  </si>
  <si>
    <t>MULETA AUXILAR DE ALUMINIO G (O)</t>
  </si>
  <si>
    <t>MULETA AUXILAR DE ALUMINIO G (P)</t>
  </si>
  <si>
    <t>MULETA AUXILAR DE ALUMINIO G (Q)</t>
  </si>
  <si>
    <t>MULETA AUXILAR DE ALUMINIO G (R)</t>
  </si>
  <si>
    <t>MULETA AUXILAR DE ALUMINIO G (S)</t>
  </si>
  <si>
    <t>MULETA AUXILAR DE ALUMINIO G (T)</t>
  </si>
  <si>
    <t>AR CONDICIONADO 18000 BTU GREE</t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</si>
  <si>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5</t>
  </si>
  <si>
    <t>MATHEUS</t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</si>
  <si>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6</t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</si>
  <si>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7</t>
  </si>
  <si>
    <t>AR CONDICIONADO 37000 BTU GREE</t>
  </si>
  <si>
    <r>
      <rPr>
        <color rgb="FF1155CC"/>
        <u/>
      </rPr>
      <t>Magazine Luiza | Pra você é Magalu!</t>
    </r>
  </si>
  <si>
    <r>
      <rPr>
        <color rgb="FF1155CC"/>
        <u/>
      </rPr>
      <t>Magazine Luiza | Pra você é Magalu!</t>
    </r>
  </si>
  <si>
    <r>
      <rPr>
        <color rgb="FF1155CC"/>
        <u/>
      </rPr>
      <t>Magazine Luiza | Pra você é Magalu!</t>
    </r>
  </si>
  <si>
    <r>
      <rPr>
        <color rgb="FF1155CC"/>
        <u/>
      </rPr>
      <t>Magazine Luiza | Pra você é Magalu!</t>
    </r>
  </si>
  <si>
    <r>
      <rPr>
        <color rgb="FF1155CC"/>
        <u/>
      </rPr>
      <t>Magazine Luiza | Pra você é Magalu!</t>
    </r>
  </si>
  <si>
    <r>
      <rPr>
        <color rgb="FF1155CC"/>
        <u/>
      </rPr>
      <t>Magazine Luiza | Pra você é Magalu!</t>
    </r>
  </si>
  <si>
    <t>HALL 2° PISO</t>
  </si>
  <si>
    <r>
      <rPr>
        <color rgb="FF1155CC"/>
        <u/>
      </rPr>
      <t>Magazine Luiza | Pra você é Magalu!</t>
    </r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</si>
  <si>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8</t>
  </si>
  <si>
    <t>TAMIRES</t>
  </si>
  <si>
    <t>RECEPÇÃO CONS</t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</si>
  <si>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9</t>
  </si>
  <si>
    <r>
      <rPr>
        <color rgb="FF1155CC"/>
        <u/>
      </rPr>
      <t>Magazine Luiza | Pra você é Magalu!</t>
    </r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</si>
  <si>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10</t>
  </si>
  <si>
    <t>JOÃO GABRIEL S MENDES</t>
  </si>
  <si>
    <r>
      <rPr>
        <color rgb="FF1155CC"/>
        <u/>
      </rPr>
      <t>Magazine Luiza | Pra você é Magalu!</t>
    </r>
  </si>
  <si>
    <r>
      <rPr>
        <color rgb="FF1155CC"/>
        <u/>
      </rPr>
      <t>Magazine Luiza | Pra você é Magalu!</t>
    </r>
  </si>
  <si>
    <t>CONDICIONADOR DE AR GREE 24000INTERNO</t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</si>
  <si>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11</t>
  </si>
  <si>
    <t>COND. CONDICIONADOR DE AR 24000</t>
  </si>
  <si>
    <t>https://www.amazon.com.br/Condicionado-Samsung-WindFree-Inverter-18-000/dp/B0DWND6FB7/ref=asc_df_B0DWND6FB7?mcid=b4e031a561ae3ee6b54351fbeb5cbc5b&amp;tag=googleshopp00-20&amp;linkCode=df0&amp;hvadid=709968341215&amp;hvpos=&amp;hvnetw=g&amp;hvrand=14507951933988032869&amp;hvpone=&amp;hvptwo=&amp;hvqmt=&amp;hvdev=c&amp;hvdvcmdl=&amp;hvlocint=&amp;hvlocphy=9101877&amp;hvtargid=pla-2420642204585&amp;psc=1&amp;language=pt_BR&amp;gad_source=12</t>
  </si>
  <si>
    <t>AR CONDICIONADO 12000 BTU GREE</t>
  </si>
  <si>
    <r>
      <rPr>
        <color rgb="FF1155CC"/>
        <u/>
      </rPr>
      <t>Magazine Luiza | Pra você é Magalu!</t>
    </r>
  </si>
  <si>
    <r>
      <rPr>
        <color rgb="FF1155CC"/>
        <u/>
      </rPr>
      <t>Magazine Luiza | Pra você é Magalu!</t>
    </r>
  </si>
  <si>
    <r>
      <rPr>
        <color rgb="FF1155CC"/>
        <u/>
      </rPr>
      <t>Magazine Luiza | Pra você é Magalu!</t>
    </r>
  </si>
  <si>
    <t>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6</t>
  </si>
  <si>
    <t>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7</t>
  </si>
  <si>
    <t xml:space="preserve">MULETA AUXILIARE DE ALUMINIO MERCUR PAR 13 </t>
  </si>
  <si>
    <t>SMART TV SAMSUNG 65 UHD 4K</t>
  </si>
  <si>
    <r>
      <rPr>
        <color rgb="FF1155CC"/>
        <u/>
      </rPr>
      <t>Samsung Smart TV 65" Crystal UHD 4K U8100F 2025 | Amazon.com.br</t>
    </r>
  </si>
  <si>
    <t>PRENSA PLANA DEKO 23X30</t>
  </si>
  <si>
    <t>Prensa Térmica Camiseta Plana 29x38 Sublimação Gaveta Transfer Estampa Importway Iwpts-29220 | Frete grátis</t>
  </si>
  <si>
    <t>FRAGMENTADORA DE PAPEL</t>
  </si>
  <si>
    <r>
      <rPr>
        <color rgb="FF1155CC"/>
        <u/>
      </rPr>
      <t>FRAGMENTADORA DE PAPEL AURORA TIRAS 10 FOLHAS + CARTÃO 220V | Amazon.com.br</t>
    </r>
  </si>
  <si>
    <t>SOFTBOX ILUMINADOR LED</t>
  </si>
  <si>
    <t>Kit Softbox Iluminador Led 50x70cm C/ Bolsa P/ Fotografia T | Parcelamento sem juros</t>
  </si>
  <si>
    <t>PRENSA CANECA</t>
  </si>
  <si>
    <t>Prensa Térmica Cilíndrica Manual Deko 350W Para Sublimação Canecas | Frete grátis</t>
  </si>
  <si>
    <t>CADEIRA GIR. CAVALETTI</t>
  </si>
  <si>
    <t>ALL IN ONE ULTRA</t>
  </si>
  <si>
    <t>FRIGOBAR 71 LITROS BRANCO EOS ICE COMPACT</t>
  </si>
  <si>
    <r>
      <rPr>
        <color rgb="FF1155CC"/>
        <u/>
      </rPr>
      <t>Frigobar EOS 71 Litros Ice Compact Branco EFB81 110V | Amazon.com.br</t>
    </r>
  </si>
  <si>
    <t>BALANÇA INFANTIL</t>
  </si>
  <si>
    <t>Balança Pediátrica Com Capa Elp25bbc Baby Care Balmak | Frete grátis</t>
  </si>
  <si>
    <t>DESKTOP DELL I5</t>
  </si>
  <si>
    <t>Mini Pc Cpu Desktop Intel Core I7 16gb Ram Ssd 240gb wifi USB win 11 : Amazon.com.br: Computadores e Informática</t>
  </si>
  <si>
    <t>SOFA CONNECT CENTRAL</t>
  </si>
  <si>
    <t>SOFA CONNECT CENTRO</t>
  </si>
  <si>
    <t>RACK TV-100 TV LCD/LED 37 A 70 AQUARIO</t>
  </si>
  <si>
    <t>Suporte Tv De Chão Tipo Rack 37 A 70 C/ Rodinha Aquário | Parcelamento sem juros</t>
  </si>
  <si>
    <t>SMART TV SAMSUNG 75 UHD 4K</t>
  </si>
  <si>
    <r>
      <rPr>
        <color rgb="FF1155CC"/>
        <u/>
      </rPr>
      <t>Samsung Smart TV 75" Crystal UHD 4K U8100F 2025 | Amazon.com.br</t>
    </r>
  </si>
  <si>
    <t>SOFA CONNECT CANTO</t>
  </si>
  <si>
    <t>CADEIRA FIXA VERDE</t>
  </si>
  <si>
    <t>MESA REUNIÃO REDONDA</t>
  </si>
  <si>
    <t>BANQUETA ALTA</t>
  </si>
  <si>
    <t>MESA GERENTE EM L - BORTOLINI</t>
  </si>
  <si>
    <t>MESA RETANGULAR BORTOLINI</t>
  </si>
  <si>
    <t>GAVETEIRO BORTOLINI</t>
  </si>
  <si>
    <t>CADEIRA GIRATORIA CAVALETTI</t>
  </si>
  <si>
    <t>BANCADA ALTA</t>
  </si>
  <si>
    <t>MESA REUNIÃO BOTE</t>
  </si>
  <si>
    <t>POLTRONA GIR. CAVALETT</t>
  </si>
  <si>
    <t>POLTRONA ESPERA FIX. AZUL</t>
  </si>
  <si>
    <t>POLTRONA FIX. CAVALETTI</t>
  </si>
  <si>
    <t>POLTRONA GIR. ESSENCE</t>
  </si>
  <si>
    <t>SOFA</t>
  </si>
  <si>
    <t>POLTRONA ESPERA</t>
  </si>
  <si>
    <t>CADEIRA FIXA AZUL</t>
  </si>
  <si>
    <t>POLTRONA GIRATORIA CAVALETTI</t>
  </si>
  <si>
    <t>MESA DE REUNIAO REDONDA</t>
  </si>
  <si>
    <t>tamires</t>
  </si>
  <si>
    <t>RECEPCAO MEDICA</t>
  </si>
  <si>
    <t>POLTRONA CAVALETTI AZUL</t>
  </si>
  <si>
    <t>IMPRESSORA BROTHER Multifuncional Mono Laser,</t>
  </si>
  <si>
    <t>NOTEBOOK ACER PREDATOR</t>
  </si>
  <si>
    <t>RELAC.</t>
  </si>
  <si>
    <t>MALETA AVANUTRI</t>
  </si>
  <si>
    <t>Maleta de Transporte Avanutri | AVANUTRI</t>
  </si>
  <si>
    <t>PICOMETRO CLINICO ABS PRETO</t>
  </si>
  <si>
    <t>Adipômetro Clínico Cescorf Inovare Analógico Preto | Frete grátis</t>
  </si>
  <si>
    <t>SOFA AZUL 45°</t>
  </si>
  <si>
    <t>SEM N°</t>
  </si>
  <si>
    <t>FOGÃO</t>
  </si>
  <si>
    <t>Fogão Atlas 5 Bocas preto Mônaco Top Glass com Acendimento automático - Bivolt : Amazon.com.br: Indústria e Comércio</t>
  </si>
  <si>
    <t>XXX</t>
  </si>
  <si>
    <t>ALL IN ONE DELL</t>
  </si>
  <si>
    <t>ESTANTE EM AÇO 4 PRATELEIRA</t>
  </si>
  <si>
    <t>ESTANTE EM AÇO 6 PRATELEIRA</t>
  </si>
  <si>
    <t>BALANÇA</t>
  </si>
  <si>
    <t>CADEIRA GIRATORIA PRETA</t>
  </si>
  <si>
    <t>CADEIRA GIRATORIA PRETO</t>
  </si>
  <si>
    <t>DESKTOP DELL I5 8GB</t>
  </si>
  <si>
    <r>
      <rPr>
        <color rgb="FF1155CC"/>
        <u/>
      </rPr>
      <t>Cpu Dell Optiplex 3050 Core I5 7ger 8gb 240gb Ssd - Promoção 8 Gb | Parcelamento sem juros</t>
    </r>
  </si>
  <si>
    <r>
      <rPr>
        <color rgb="FF1155CC"/>
        <u/>
      </rPr>
      <t>Cpu Dell Optiplex 3050 Core I5 7ger 8gb 240gb Ssd - Promoção 8 Gb | Parcelamento sem juros</t>
    </r>
  </si>
  <si>
    <r>
      <rPr>
        <color rgb="FF1155CC"/>
        <u/>
      </rPr>
      <t>Cpu Dell Optiplex 3050 Core I5 7ger 8gb 240gb Ssd - Promoção 8 Gb | Parcelamento sem juros</t>
    </r>
  </si>
  <si>
    <r>
      <rPr>
        <color rgb="FF1155CC"/>
        <u/>
      </rPr>
      <t>Cpu Dell Optiplex 3050 Core I5 7ger 8gb 240gb Ssd - Promoção 8 Gb | Parcelamento sem juros</t>
    </r>
  </si>
  <si>
    <t>ESCADA 2 DEGRAUS</t>
  </si>
  <si>
    <t>MICROONDAS</t>
  </si>
  <si>
    <t>MONITOR</t>
  </si>
  <si>
    <t>MONITOR 3G</t>
  </si>
  <si>
    <t>xxx</t>
  </si>
  <si>
    <t>MONITOR AOC 19 POL</t>
  </si>
  <si>
    <r>
      <rPr>
        <color rgb="FF1155CC"/>
        <u/>
      </rPr>
      <t>Cpu Dell Optiplex 3050 Core I5 7ger 8gb 240gb Ssd - Promoção 8 Gb | Parcelamento sem juros</t>
    </r>
  </si>
  <si>
    <r>
      <rPr>
        <color rgb="FF1155CC"/>
        <u/>
      </rPr>
      <t>Cpu Dell Optiplex 3050 Core I5 7ger 8gb 240gb Ssd - Promoção 8 Gb | Parcelamento sem juros</t>
    </r>
  </si>
  <si>
    <t>MIRACEMA</t>
  </si>
  <si>
    <t xml:space="preserve">MAJOR PM DALMIR TOBIAS VIANA </t>
  </si>
  <si>
    <t>CANETA DE ALTA ROTACAO 20230</t>
  </si>
  <si>
    <t>CANETA DE ALTA ROTACAO 25141</t>
  </si>
  <si>
    <t>COLCHAO NAPA COR AZUL</t>
  </si>
  <si>
    <t>equipamentos hospitalares</t>
  </si>
  <si>
    <t>COLCHAO NAPA COR CREME</t>
  </si>
  <si>
    <t>CONTRA ANGULO N 11577</t>
  </si>
  <si>
    <t>MICROMOTOR N 13458</t>
  </si>
  <si>
    <t>PECA RETA SN 4963041064</t>
  </si>
  <si>
    <t>REVELADOR DE RAIO X ODONTOLOGICO, BRANCA (CAMARA ESCURA)</t>
  </si>
  <si>
    <t>CPU COR PRETO DUEX</t>
  </si>
  <si>
    <t>EQUIPO DABI ATLANTE, BEGE</t>
  </si>
  <si>
    <t>REFLETOR DABI ATLANTE, BEGE</t>
  </si>
  <si>
    <t>CADEIRA ODONTOLOGICA GNATUS, ESTOF. AMARELO</t>
  </si>
  <si>
    <t>UNIDADE AUXILIAR DABI ATLANTE (CUSPIDEIRA)</t>
  </si>
  <si>
    <t>APARELHO DE PROFILAXIA GNATUS, CINZA, N S  4809474023</t>
  </si>
  <si>
    <t>FOTOPOLIMERIZADOR POTILIGHT N S  4753852095</t>
  </si>
  <si>
    <t>BOMBA A VACUO BIOVAC, GNATUS</t>
  </si>
  <si>
    <t>MONITOR LENOVO 15 POLEGADAS. N VF 31763</t>
  </si>
  <si>
    <t>CPU COR PRETA, MULTILASER</t>
  </si>
  <si>
    <t>PURIFICADOR DE AGUA SOFT STAR, BRANCO</t>
  </si>
  <si>
    <t>COMPRESSOR DE AR ODONTOLOGICO SCHULZ, 30 LITROS, BRANCO</t>
  </si>
  <si>
    <t>IMPRESSORA HP, MOD. D2050 CH 350 C</t>
  </si>
  <si>
    <t>CADEIRA MOCHO, SYNCRUS, AZUL CELESTE</t>
  </si>
  <si>
    <t>APARELHO MOVEL DE RAIO X ODONTOLOGICO, PROCION</t>
  </si>
  <si>
    <t>ARMARIO C 02 PORTAS GRANDE NA COR CREME</t>
  </si>
  <si>
    <t>ARMARIO DE PIA C 02 PORTAS</t>
  </si>
  <si>
    <t>Gabinete Armário De Banheiro Com Pia Cuba Espelho Ana Mgm | Leroy Merlin</t>
  </si>
  <si>
    <t>MONITOR AOC 15 POLEGADAS COR PRETA</t>
  </si>
  <si>
    <t>AR CONDICIONADOR ANSUNS 9000 BTU INTERNO</t>
  </si>
  <si>
    <t>MESA AUXILIAR COM 02 PATRELEIRAS COR BRANCA</t>
  </si>
  <si>
    <t>MESA AUXILIAR COM 02 PRATELEIRAS</t>
  </si>
  <si>
    <t>ESCADA AUXILIAR COM 02 DEGRAUS</t>
  </si>
  <si>
    <t>CONDICIONADOR DE AR SPLIT SAMSUMG 18000 BTUS INTERNO</t>
  </si>
  <si>
    <t>REFRIGERADOR RDE 330 ELETROLUX</t>
  </si>
  <si>
    <t>CONDICIONADOR DE AR SPLIT SAMSUMG 12000 BTUS INTERNO</t>
  </si>
  <si>
    <t>CONDICIONADOR DE AR SPLIT SAMSUMG 12000 BTUS EXTERNO</t>
  </si>
  <si>
    <t>ARMARIO EM MDF EM L COM 4 PORTAS E 11 GAVETAS COR CREME</t>
  </si>
  <si>
    <t>MESA DE ESCRITORIO COM 02 GAVETAS</t>
  </si>
  <si>
    <t>ARAMARIO DE PAREDE COM 4 PORTAS COR CREME</t>
  </si>
  <si>
    <t>ARMARIO DE PIA COM 02 PORTAS E 4 GAVETAS COR CREME</t>
  </si>
  <si>
    <t>ARMARIO PARA 02 PIAS COM 4 PORTAS E 4 GAVETAS COR CREME</t>
  </si>
  <si>
    <t>Balcão Maceió Para Pia 2,00 Mt 4 Portas Com Gavetão Branco - MILANI MOVELARIA - Outros Móveis - Magazine Luiza</t>
  </si>
  <si>
    <t>BIOMBO TRIPLO RODIZIO ESMALTADO COR BRANCA</t>
  </si>
  <si>
    <t>ARMARIO VITRINE COM 02 PORTAS COR BRANCO</t>
  </si>
  <si>
    <t>CADEIRA METALICA COM ASSENTO EM ACRILICO COR PRETA</t>
  </si>
  <si>
    <t>Cadeira Prisma Iso Fixa Preta Pra Igreja Recpçao Sala Espera - Sintonia Flex - Cadeira Fixa / Interlocutor - Magazine Luiza</t>
  </si>
  <si>
    <t>CADEIRA METALICA COM ASSENTO EM ACRILICO C RODIZIO COR PRETA</t>
  </si>
  <si>
    <t>Cadeira Giratória Secretária Ergoplax Plaxmetal Cor Preto | Frete grátis</t>
  </si>
  <si>
    <t>MESA ESCRITORIO EM MDF C 02 GAVETAS COR MARROM</t>
  </si>
  <si>
    <t>CADEIRA DE METAL EM ACRILICO COR PRETA</t>
  </si>
  <si>
    <t>MESA COM 02 GAVETAS EM MDF COR BRANCA</t>
  </si>
  <si>
    <t>ARMARIO EM MDF 02 PORTAS COR BRANCA</t>
  </si>
  <si>
    <t>ARMARIO DE PIA COM DUAS PORTAS COR BRANCO</t>
  </si>
  <si>
    <t>CAMA DE MADEIRA COM COLCHAO NAPA COR BRANCA</t>
  </si>
  <si>
    <t>Cama Solteiro de Madeira Mascavo Morada | A Cama Box da Tadah</t>
  </si>
  <si>
    <t>ESCADA COM 02 DEGRAUS DE MADEIRA COR BRANCA</t>
  </si>
  <si>
    <t>CADEIRA EM DE METAL EM ACRILICO COR PRETO</t>
  </si>
  <si>
    <t>LONGARINA C 4 CADEIRAS EM ACRILICO COR PRETA</t>
  </si>
  <si>
    <t>ARMARIO EM MDF C 3 PORTAS COR MARROM</t>
  </si>
  <si>
    <t xml:space="preserve">IMPRESSORA HP LASER JAT PRO </t>
  </si>
  <si>
    <t>CADEIRA MOCHO, ESTOF. AMARELO COM 5 RODAS, GNATUS</t>
  </si>
  <si>
    <t xml:space="preserve">SELADORA SELAMAX C SUPORTE SN SE7357  VH </t>
  </si>
  <si>
    <t xml:space="preserve">FAS 0197 </t>
  </si>
  <si>
    <t>PARAISO</t>
  </si>
  <si>
    <t>TEN CEL JOAO HENRIQUE M GUARINO</t>
  </si>
  <si>
    <t>CANETA ALTA ROTACAO N E53240 PARTE DO KIT</t>
  </si>
  <si>
    <t>CANETA DE ALTA ROTACAO 23755</t>
  </si>
  <si>
    <t>CANETA DE ALTA ROTACAO SN 2014184845</t>
  </si>
  <si>
    <t>CANETA DE ALTA SN 06202360</t>
  </si>
  <si>
    <t>CONTRA ANGULO 14352</t>
  </si>
  <si>
    <t>CONTRA ANGULO N C92738 PARTE DO KIT</t>
  </si>
  <si>
    <t>MICROMOTOR 13468</t>
  </si>
  <si>
    <t>MICROMOTOR 91645</t>
  </si>
  <si>
    <t>MICROMOTOR N B79217 PARTE DO KIT</t>
  </si>
  <si>
    <t>APARELHO DE RAIO X ODONTOLOGICO, PROCION</t>
  </si>
  <si>
    <t>CADEIRA HOME OFF TELA COM RODIZIOS, PRETO</t>
  </si>
  <si>
    <t>CADEIRA HOME OFFICE INMESH PRETO/PRETO | Tok&amp;Stok</t>
  </si>
  <si>
    <t>ARMARIO EM MDF COM PIA, BRANCO</t>
  </si>
  <si>
    <t>GAVETEIRO COM 3 GAV. E TAMPO EM VIDRO, BRANCO</t>
  </si>
  <si>
    <t>Gaveteiro Volante 04 Gav. 0,670,460,40m Cor Cinza INCOFLEX 21210 - Gaveteiro - Magazine Luiza</t>
  </si>
  <si>
    <t>MESA COM TAMPO EM VIDRO, COM 02 NINCHOS, BRANCA</t>
  </si>
  <si>
    <t>CADEIRA DIRETOR BASE EM S</t>
  </si>
  <si>
    <t>Cadeira Diretor Em S Com Braço Auditório Sala Espera Reunião | MercadoLivre</t>
  </si>
  <si>
    <t>SOFANETE 02 LUGARES</t>
  </si>
  <si>
    <t>Poltrona 2 Lugares Vênus Braço Alumínio Suede Preto | MercadoLivre</t>
  </si>
  <si>
    <t>ARMARIO EM MDF, COM 02 PIAS, 4 GAVETAS E 6 PORTAS, BRANCO</t>
  </si>
  <si>
    <t>NEGATOSCOPIO SOFTLINE, BRANCO</t>
  </si>
  <si>
    <t>ARMARIO EM MDF COM 02 PIAS, 4 GAVETAS E 6 PORTAS, BRANCO</t>
  </si>
  <si>
    <t>MESA EM MADEIRA COM TAMPO EM MDF, BRANCO</t>
  </si>
  <si>
    <t>Mesa De Jantar Para 4 Lugares 1,20m Tampo Mdf Aurea Ypê - New Ceval - Carrefour</t>
  </si>
  <si>
    <t>ESTANTE EM MDF COM 3 PRATELEIRAS E RODIZIOS, BRANCA</t>
  </si>
  <si>
    <t>Estante Multiuso Nicho Organizador Móvel com Rodízio 40cm - Pontto Lavabo</t>
  </si>
  <si>
    <t>MAQUINA SELADORA, RBAIAO</t>
  </si>
  <si>
    <t>RACK EM METAL COM 3 PRATELEIRAS, 3 GAVETAS E RODIZIOS</t>
  </si>
  <si>
    <t>CADEIRA MOCHO ESTOF. CINZA</t>
  </si>
  <si>
    <t>CADEIRA MOCHO ESTOF. AMARELO, GNATUS</t>
  </si>
  <si>
    <t>EQUIPO NA COR BEGE, GNATUS (TROCAR PATRIMONIO)</t>
  </si>
  <si>
    <t>UNIDADE AUXILIAR GNATUS, BEGE (CUSPIDEIRA)(TROCAR PATRIMONIO)</t>
  </si>
  <si>
    <t>ARMARIO EM MDF BRANCO COM 08 GAVETAS E 4 PORTAS</t>
  </si>
  <si>
    <t>ARMARIO EM ACO PARA INSTRUMENTAL COM 7 GAVETAS E RODIZIOS</t>
  </si>
  <si>
    <t>ARMARIO EM MDF COM 4 GAVETAS E 02 PORTAS, BRANCO</t>
  </si>
  <si>
    <t>AMALGAMADOR AMALGAMIX II, GNATUS</t>
  </si>
  <si>
    <t>APARELHO DE ULTASONOGRAFIA, ULTRASON JET N S  002465</t>
  </si>
  <si>
    <t>MESA EM MDF PARA RECEPCAO COM 1 GAVETA  AMADEIRADO</t>
  </si>
  <si>
    <t>ARMARIO ARQUIVO EM MDF COM 12 GAV. AMADEIRADO</t>
  </si>
  <si>
    <t>Móveis para recepção - Móveis de Escritório - Costa e Silva, Joinville 1459761686 | OLX</t>
  </si>
  <si>
    <t>PREÇO DE MERCADO ( MOVEL FEITO APENAS SOB MEDIDA</t>
  </si>
  <si>
    <t>PAINEL EM MDF PARA TV, AMADEIRADO</t>
  </si>
  <si>
    <t>Painel para TV Até 55 Polegadas Freijó - Pradel</t>
  </si>
  <si>
    <t>CADEIRA MOCHO ESTOF. VERDE GNATUS COM RODIZIOS</t>
  </si>
  <si>
    <t>ESCADA 2 DEGRAUS PISO ANTIDERRAPAN</t>
  </si>
  <si>
    <t>MACA CLINICA DOBRAVEL</t>
  </si>
  <si>
    <t>BALANCA DIGITAL EATSMART</t>
  </si>
  <si>
    <t>CONDICIONADOR DE AR SPLIT TCL, 12000 BTUS  INTERNO</t>
  </si>
  <si>
    <t>CONDICIONADOR DE AR SPLIT TCL, 12000 BTUS  EXTERNO</t>
  </si>
  <si>
    <t>COMPRESSOR MOTOMIL ( NF</t>
  </si>
  <si>
    <t>BOMBA A VACUO NF</t>
  </si>
  <si>
    <t>PORTO NACIONAL</t>
  </si>
  <si>
    <t>Maj Marcio Oliveira Alves</t>
  </si>
  <si>
    <t xml:space="preserve"> CANETA ALTA ROTACAO SN 2020230172</t>
  </si>
  <si>
    <t>BASTOES EM METAL PRETO 120CM (3 UN)</t>
  </si>
  <si>
    <t>BOLA M, AMARELA</t>
  </si>
  <si>
    <t>BOLA P, AMARELA</t>
  </si>
  <si>
    <t>Mini Bola Overball 25cm Yoga Pilates Fisioterapia Funcional Ginástica Reabilitação PVC Vollo | Frete grátis</t>
  </si>
  <si>
    <t>CANETA DE ALTA ROTACAO SN 06202955</t>
  </si>
  <si>
    <t>CANETA DE ALTA ROTACAO SN P 2212022864</t>
  </si>
  <si>
    <t>COLCHONETES EM NAPA COR AZUL</t>
  </si>
  <si>
    <t>Colchonete 1,80 X 60 X 4 - Escolas,creche, Academias (Azul Royal) | Amazon.com.br</t>
  </si>
  <si>
    <t>CONTRA ANGULO C101988</t>
  </si>
  <si>
    <t>CONTRA ANGULO SN 2020230172</t>
  </si>
  <si>
    <t>CUNHAS GEM NAPA AZUL CLARO</t>
  </si>
  <si>
    <t>Cunha Posicionamento 50x50x30 Ortopedia Fisioterapia Azul | Frete grátis</t>
  </si>
  <si>
    <t>CUNHAS MEM NAPA AZUL ESCURO</t>
  </si>
  <si>
    <t>MICROMOTOR N12725</t>
  </si>
  <si>
    <t>MICROMOTOR SN 07327697</t>
  </si>
  <si>
    <t>MICROMOTOR SN OS 2211231584</t>
  </si>
  <si>
    <t>PAR DE HALTERES 1 KG PRETO</t>
  </si>
  <si>
    <t>PAR DE TORNOZELEIRA 1 KG FLOTY, PRETO</t>
  </si>
  <si>
    <t>PAR DE TORNOZELEIRA 2 KG ISP, AZUL</t>
  </si>
  <si>
    <t>PAR DE TORNOZELEIRA 3 KG ISP, AZUL</t>
  </si>
  <si>
    <t>PAR DE TORNOZELEIRA 4 KG ISP, AZUL</t>
  </si>
  <si>
    <t>PAR DE TORNOZELEIRA 5 KG ISP, AZUL</t>
  </si>
  <si>
    <t>PECA RETA GNATUS SN 4731970412</t>
  </si>
  <si>
    <t>REVELADOR DE RAIO X ODONTOLOGICO, BRANCO (CAMARA ESCURA)</t>
  </si>
  <si>
    <t>ROLO DE POSICIONAMENTO EM NAPA PRETO</t>
  </si>
  <si>
    <t>UNID. DE HALER 5 KG PRETO EMBORRACHADO</t>
  </si>
  <si>
    <t>Halter 5kg Bola Emborrachados Rmg8 Fit Cor Preto | Parcelamento sem juros</t>
  </si>
  <si>
    <t>UNID. DE HALTER 2 KG ROXO EMBORRACHADO</t>
  </si>
  <si>
    <t>UNID. DE HALTER 3 KG PRATA EMBORRACHADO</t>
  </si>
  <si>
    <t>UNID. DE HALTER 4 KG VERMELHO EMBORRACHADO</t>
  </si>
  <si>
    <t>Halter Emborrachado Pvc - 4 Kg | Amazon.com.br</t>
  </si>
  <si>
    <t>UNID. DE HALTER 500G AZUL  ESCURO EMBORRACHADO</t>
  </si>
  <si>
    <t>ARMARIO PARA ARQUIVO EM MDF MARFIN  COM DUAS PORTAS DE CORRER</t>
  </si>
  <si>
    <t>CONDICIONADOR DE AR SPLIT MIDEA 12000 BTUS  INTERNO</t>
  </si>
  <si>
    <t>CONDICIONADOR DE AR SPLIT MIDEA 12000 BTUS  EXTERNO</t>
  </si>
  <si>
    <t>CADEIRA MOCHO ESTOF. COURVIN VERDE COM RODIZIOS</t>
  </si>
  <si>
    <t>APARELHO MOVEL DE RAIO X ODONTOLOGICO, DABI ATLANTE, BRANCO</t>
  </si>
  <si>
    <t>CADEIRA MOCHO COM ESTOF. CINZA E RODIZIOS</t>
  </si>
  <si>
    <t>REFLETOR GNATUS, BRANCO</t>
  </si>
  <si>
    <t>AMALGAMADOR AMALGA MIX II GNATUS</t>
  </si>
  <si>
    <t>COMODA EM MDF, BRANCA, COM 10 GAVETAS, PUXADORES EMBUTIDOS</t>
  </si>
  <si>
    <t>Cômoda 10 Gavetas Espresso Móveis Branco | Casas Bahia</t>
  </si>
  <si>
    <t>MAQUINA DE SOLDA PONTO A PONTO, ELETRONICA, BRANCA</t>
  </si>
  <si>
    <t>APARELHO TRIJATO VH, BRANCO</t>
  </si>
  <si>
    <t>Trijato Evolution Essence Dental</t>
  </si>
  <si>
    <t>BALANCA EM METAL BRANCA, CAP. 160 KG, CANDURO</t>
  </si>
  <si>
    <t>CADEIRA FIXA COM ASSENTO E ENCOSTO EM PVC, PRETO</t>
  </si>
  <si>
    <t>PRANCHA DE PROPRIOCEPCAO</t>
  </si>
  <si>
    <t>Tábua Proprioceptiva Retangular Preta - Arktus | Amazon.com.br</t>
  </si>
  <si>
    <t>RAMPA EM MADEIRA COM BASE EMBORRACHADA AZUL</t>
  </si>
  <si>
    <t>BALANCA DE PROPRIOCEPCAO SPI</t>
  </si>
  <si>
    <t>NEGATOSCOPIO COM MOLDURA EM MADEIRA</t>
  </si>
  <si>
    <t>SUPORTE MOVEL PARA VACINA, BRANCO</t>
  </si>
  <si>
    <t>BICICLETA ERGOMETRICA, EMBREEX</t>
  </si>
  <si>
    <t>Bicicleta Ergométrica Magnética Horizontal Gallant Elite Preto | Frete grátis</t>
  </si>
  <si>
    <t>MACA FIXA EM METAL BRANCO COM ESTOF. EM NAPA GRAFITE</t>
  </si>
  <si>
    <t>APARELHO DE ELETROTERAPIA A LASER, LASER PULSE, BRANCO NS  5371</t>
  </si>
  <si>
    <t>MASSAGEADOR TECHLINE MI AASAA 3000, BRANCO</t>
  </si>
  <si>
    <t>RACK EM METAL BRANCO COM 02 PRATELEIRAS</t>
  </si>
  <si>
    <t xml:space="preserve">MACA FIXA DIVA EM METAL BRANCO, CABECEIRA REGULAVEL E ESTOF. </t>
  </si>
  <si>
    <t>ESCADA DE 02 DEGRAUS EM METAL BRANCO</t>
  </si>
  <si>
    <t>INFRAVERMELHO COM PEDESTAL, BRANCO E RODIZIOS</t>
  </si>
  <si>
    <t>PAR DE MULETAS EM ALUMINIO, MERCUR</t>
  </si>
  <si>
    <t>CADEIRA DE RODAS, PRETA COM PNEUS COM CAMARA DE AR</t>
  </si>
  <si>
    <t>NEURODIN II, TENS FES EMBRAMED NS  13993</t>
  </si>
  <si>
    <t>RACK EM METAL BRANCO COM 3 GAV. 02 PRATELEIRA E RODIZIOS</t>
  </si>
  <si>
    <t>APARELHO DE VENTOSA BEAUTY DERMO HTM NS  071721</t>
  </si>
  <si>
    <t>Beauty Dermo HTM - Aparelho de Vacuoterapia e Ventosaterapia | BCMED</t>
  </si>
  <si>
    <t>APARELHO PARA ESTIMULOS STIMULUS PHYSIO HTM NS  053281</t>
  </si>
  <si>
    <t>Stimulus Physio Htm 4 Canais Correntes Tens Fes Russa Sf, Hf | Frete grátis</t>
  </si>
  <si>
    <t>APARELHO DE ULTRASSOM DE 1 E 3 MHZ, EMBRAMED</t>
  </si>
  <si>
    <t>TABLADO EM MADEIRA ESTOF. EM NAPA AZUL CLARO</t>
  </si>
  <si>
    <t>Tablado Divã Baixo Fisioterapia Neurológica Reabilitação | Parcelamento sem juros</t>
  </si>
  <si>
    <t>CAMA ELASTICA COM INERIOR COR AZUL</t>
  </si>
  <si>
    <t>PURIFICADOR DE AGUA SOFT PLUS, PRETO</t>
  </si>
  <si>
    <t>IMPRESSORA HP LASER JET M1132 PRETA NS AASAA BRJG656DZ</t>
  </si>
  <si>
    <t>CADEIRA GIRATORIA ESTOF. TECIDO PRETO COM RODIZIOS</t>
  </si>
  <si>
    <t>ESCADA DE 02 DEGRAUS EM METAL CINZA</t>
  </si>
  <si>
    <t>MONITOR DUEX 15 POLEGADAS. PRETO</t>
  </si>
  <si>
    <t>CPU COR PRETO VAIP</t>
  </si>
  <si>
    <t>IMPRESSORA MULTIFUNCIONAL SAMSUNG MOD. SCX AA 3405</t>
  </si>
  <si>
    <t xml:space="preserve">FOTOPOLIMERIZADOR SDI COR BRANCA </t>
  </si>
  <si>
    <t>GIROPLANO PARA EQUILIBRIO EM PLASTICO, TORIAN</t>
  </si>
  <si>
    <t>Disco De Equilíbrio Balance Board Odin Fit : Amazon.com.br: Esporte</t>
  </si>
  <si>
    <t xml:space="preserve">BEBEDOURA SOFT 15 LITROS </t>
  </si>
  <si>
    <t xml:space="preserve">CONDICIONADOR DE AR 900 BTUS SPLIT MEDIO INTERNO E EXTERNO </t>
  </si>
  <si>
    <t xml:space="preserve">AR CONDICIONADO GREE 12000 BTUS ECO GARDEN INTERNO E EXTERNO </t>
  </si>
  <si>
    <t>ARQUIVO DE ACO COM4 GAVETAS PANDIN OF04SLTCMCC CINZA</t>
  </si>
  <si>
    <t>BALANCA DIGITAL CORPORAL HN289</t>
  </si>
  <si>
    <t>MONITOR DE PRESSAO ART ELITE HEM</t>
  </si>
  <si>
    <t>O.M.R.O.N Aparelho De Medir Pressão Arterial de Braço Eletrico Controle Da Pressão Arterial : Amazon.com.br: Saúde e Bem-Estar</t>
  </si>
  <si>
    <t xml:space="preserve">ESCADA DOIS DEGRAUS COR BRANCA </t>
  </si>
  <si>
    <t xml:space="preserve">MACA CLINICA COM ALMOFADA PRETO </t>
  </si>
  <si>
    <t>CADEIRA COR PRETA</t>
  </si>
  <si>
    <t>CADEIRA COM CINCO RODAS COR PRETA</t>
  </si>
  <si>
    <t>https://www.amazon.com.br/Escrit%C3%B3rio-Presidente-Ergon%C3%B4mica-Resist%C3%AAncia-Profissional/dp/B0F8RC7KLN/ref=asc_df_B0F8RC7KLN?mcid=a485c1842d3a3cf4989d6e9168d52d9a&amp;tag=googleshopp00-20&amp;linkCodCA=df0&amp;hvadid=709968340957&amp;hvpos=&amp;hvnetw=g&amp;hvrand=101708620504331131&amp;hvpone=&amp;hvptwo=&amp;hvqmt=&amp;hvdev=c&amp;hvdvcmdl=&amp;hvlocint=&amp;hvlocphy=1031867&amp;hvtargid=pla-2427320754138&amp;psc=1&amp;language=pt_BR&amp;gad_source=4</t>
  </si>
  <si>
    <t>CONS. CONDICIONADOR GREE 12,000 BTU  INTERNO</t>
  </si>
  <si>
    <t>CONDICIONADOR GREE 12,000 BTU   EXTERNO</t>
  </si>
  <si>
    <t>ARMARIO COM DUAS PORTAS COR AZUL</t>
  </si>
  <si>
    <t>Armário Aço Escritório Fechadura 3 Prateleiras Ea303 Azul | MercadoLivre</t>
  </si>
  <si>
    <t>MESA COM DUAS GAVETAS</t>
  </si>
  <si>
    <t>CONDICIONADOR AR EARTE EXTERNO</t>
  </si>
  <si>
    <t>AUTOCLAVE VITALE CLASS 21 LT</t>
  </si>
  <si>
    <t>NF 000.000.068</t>
  </si>
  <si>
    <t>UNIDADE AUXILIAR GNATUS, BEGE (CUSPIDEIRA)</t>
  </si>
  <si>
    <t>CADEIRA EM METAL, COM ENCOSTO, BRANCA</t>
  </si>
  <si>
    <t>CADEIRA DE AÇO SIMPLES</t>
  </si>
  <si>
    <t>ARMARIO PARA AMBULATORIO EM METAL BRANCO COM 1 PORTA ENVIDRACADA</t>
  </si>
  <si>
    <t>EQUIPO MOVEL GNATUS BRANCO COM RODIZIOS</t>
  </si>
  <si>
    <t>CADEIRA ODONTOLOGICA ESTOF VERDE GNATUS</t>
  </si>
  <si>
    <t>RACK EM METAL BRANCO COM 3 GAVETAS, 3 PRATELEIRAS E RODIZIOS</t>
  </si>
  <si>
    <t>ARMARIO EM ACO PARA INSTRUMENTAIS COM 7 GAVETAS, CINZA COM RODIZIO</t>
  </si>
  <si>
    <t>COMPRESSOR DE AR ODONTOLOGICO SCHULZ, AZUL  C135021</t>
  </si>
  <si>
    <t>1247-3195</t>
  </si>
  <si>
    <t>LIXEIRA COM PEDEAL EM METAL CINZA E BALDE EM ALUMINIO</t>
  </si>
  <si>
    <t>1312-3192</t>
  </si>
  <si>
    <t>NEURODIN II 4 CANAIS, EMBRAMED N10150</t>
  </si>
  <si>
    <t>1319-3191</t>
  </si>
  <si>
    <t>MASSAGEADOR TECHLINE MI3000, BRANCO</t>
  </si>
  <si>
    <t>2425 - 2424</t>
  </si>
  <si>
    <t>CONDICIONADOR EVAPOR. DE AR 12000 BTUS GREE ECO GARDEN 220V EXTE.</t>
  </si>
  <si>
    <t>QCG</t>
  </si>
  <si>
    <t>JULIANA NUNES VITORIANO DANTAS</t>
  </si>
  <si>
    <t>ESCADA DE METAL 02 DEGRAUS</t>
  </si>
  <si>
    <t>CAMA ELASTICA 90 CM ESTRUTURA EM ALUMINIO</t>
  </si>
  <si>
    <t>Ten Cel Adriane</t>
  </si>
  <si>
    <t>LONGARINA 02 LUGARES PRETA</t>
  </si>
  <si>
    <t>ARMARIO EM METAL BRANCO COM 01 PORTA, ENVIDRACADO</t>
  </si>
  <si>
    <t>ARMARIO METAL BRANCO DUAS PORTAS DE VIDRO</t>
  </si>
  <si>
    <t>MESA AUXILIAR COM TRIPLEX 3 RODAS BRANCA COM BANDEJA</t>
  </si>
  <si>
    <t>MACA EM METAL BEGE ESTOFADO CINZA</t>
  </si>
  <si>
    <t>BIOMBO COM 03 CORPOS EM METAL BRANCO</t>
  </si>
  <si>
    <t>REFLETOR AMBULATORIAL COM PEDESTAL REGULAVEL, BEGE/CROMADO</t>
  </si>
  <si>
    <t>SUPORTE MOVEL PARA SORO</t>
  </si>
  <si>
    <t>REFRIGERADOR ELETROLUX R 250, BRANCO</t>
  </si>
  <si>
    <t>SUPORTE PARA SORO EM METALON QUADRADO, BEGE</t>
  </si>
  <si>
    <t>BALANCINHO EM METAL BRANCO, QUARK</t>
  </si>
  <si>
    <t>BARRA DE GING EM METAL CINZA</t>
  </si>
  <si>
    <t>Barra Reta Maciça 1,80m Suporta 300kg Para Treino Musculação Cromada | Parcelamento sem juros</t>
  </si>
  <si>
    <t>PURIFICADOR DE AGUA SOFT BRANCO</t>
  </si>
  <si>
    <t>INFRAVERMELHO COM PEDESTAL CINZA</t>
  </si>
  <si>
    <t>ARMARIO EM FORMICA COM 02 PORTAS, BEGE</t>
  </si>
  <si>
    <t>REFRIGERADOR BRASTEMP, 360 LTS, FROST FREE, BRANCO</t>
  </si>
  <si>
    <t>CAMA ELASTICA 96 CM AZUL</t>
  </si>
  <si>
    <t>TABLADO NEUROLOGICO EM MDF. ESTOF. AZUL</t>
  </si>
  <si>
    <t>NEGATOSCOPIO DE 01 CORPO, BRANCO</t>
  </si>
  <si>
    <t>MESA EM L BEGE COM 04 GAVETAS</t>
  </si>
  <si>
    <t>TENS FES NEURODIN II. N S 5246</t>
  </si>
  <si>
    <t>https://www.ibramedsp.com.br/fisioterapia/neurodyn-esthetic-aparelho-de-multicorrentes-e-alta-frequencia-06-canais-ibramed?parceiro=4938</t>
  </si>
  <si>
    <t>MACA EM MADEIRA MACICA, ENVERNIZADA</t>
  </si>
  <si>
    <t>ESCADA DOIS DEGRAUS EM METAL CINZA</t>
  </si>
  <si>
    <t>CORRENTE RUSSA NEURODIN N S 5415</t>
  </si>
  <si>
    <t>MACA EM METAL, BRANCA, ESTOF. CINZA</t>
  </si>
  <si>
    <t>MESINHA PARA APARELHO DE ONDAS CURTAS COM RODAS</t>
  </si>
  <si>
    <t>TEN CEL QOS NELSON A. R. NETO</t>
  </si>
  <si>
    <t>APARELHO DE RAIO X ODONTOLOGICO DABI ATLANTE N K00618</t>
  </si>
  <si>
    <t>CONS. ODONTO 3</t>
  </si>
  <si>
    <t>CADEIRA MOCHO ESTOF. BEGE COM 05 RODAS</t>
  </si>
  <si>
    <t>ARMARIO EM ACO COM 07 GAVETAS, PARA INSTRUMENTAIS COM 04 RODAS</t>
  </si>
  <si>
    <t>RAK EM METAL CINZA COM 03 PRATELEIRAS E 04 RODAS, CINZA</t>
  </si>
  <si>
    <t>MESA EM MDF ESCRITORIO CINZA</t>
  </si>
  <si>
    <t>Mesa Para Escritorio Reta 120 Pc | Parcelamento sem juros</t>
  </si>
  <si>
    <t>CONDICIONADOR DE AR SPLIT, ELETROLUX, 12000 BTUS INTERNO</t>
  </si>
  <si>
    <t>REFRIGERADOR ELETROLUX 120 LTS BRANCO</t>
  </si>
  <si>
    <t>AUTOCLAVE CRISTOFOLI VITALE 21 LTS, BRANCO</t>
  </si>
  <si>
    <t>CONS. ODONTO 4</t>
  </si>
  <si>
    <t>LIXEIRA BALDE EM ALUMINIO COM PEDAL, BRANCA</t>
  </si>
  <si>
    <t>Lixeira Redonda Com Pedal 12 Litros Branca Mollie Cor Branco | MercadoLivre</t>
  </si>
  <si>
    <t>FESVIF QUARK NEURODYN</t>
  </si>
  <si>
    <t>ARMARIO EM MDF, MARFIN LINHEIRO COM 02 PORTAS</t>
  </si>
  <si>
    <t>LONGARINA 03 LUGARES ESTOF. EM TECIDO CINZA, CAVALETTI</t>
  </si>
  <si>
    <t>CONDICIONADOR DE AR SPLIT RHEEM 9000 BTUS INTERNO</t>
  </si>
  <si>
    <t>RAK EM METAL BRANCO, COM 04 PRATELEIRAS, LYSANDRA</t>
  </si>
  <si>
    <t>ARMARIO EM ACO COM 07 GAVETAS, PARA INSTRUMENTAIS, BEGE, 04 RODAS</t>
  </si>
  <si>
    <t>UNIDADE AUXILIAR, GNATUS, BEGE (CUSPIDEIRA)</t>
  </si>
  <si>
    <t>CADEIRA ODONTOLOGICA, GNATUS, ESTOF. BEGE</t>
  </si>
  <si>
    <t>MESINHA EM METAL COM 04 RODAS E 02 PRATELEIRAS, CINZA</t>
  </si>
  <si>
    <t>RAK EM METAL CINZA COM 04 PRATELEIRAS E 04 RODAS</t>
  </si>
  <si>
    <t>APARELHO DE PROFILAXIA DABI ATLANTE, BRANCO</t>
  </si>
  <si>
    <t>ARMARIO EM ACO COM 07 GAVETAS PARA INSTRUMENTAIS E 04 RODAS</t>
  </si>
  <si>
    <t>CADEIRA MOCHO ESTOF. AMARELO COM 05 RODAS, GNATUS</t>
  </si>
  <si>
    <t>ARMARIO EMBUTIDO BRANCO COM 06 GAVETAS E 02 PORTAS DE CORRER</t>
  </si>
  <si>
    <t>CADEIRA MOCHO, ESTOF. AZUL , COM 05 RODAS, GNATUS</t>
  </si>
  <si>
    <t>CONDICIONADOR DE AR SPLIT LG 12000 BTUS INTERNO</t>
  </si>
  <si>
    <t>CADEIRA MOCHO ESTOF AZUL, BEGE COM RODIZIOS</t>
  </si>
  <si>
    <t>EQUIPO SIMPLEX GNATUS, CINZA/BEGE COM RODIZIOS</t>
  </si>
  <si>
    <t>CADEIRA ODONTOLOGICA ESTOF. EM COURVIN BEGE, GNATUS</t>
  </si>
  <si>
    <t>REFLETOR GNATUS, CINZA</t>
  </si>
  <si>
    <t>APARELHO MOVEL DE RAIO-X ODONTOLOGICO DABI ATLANTE N S - 002785</t>
  </si>
  <si>
    <t>BICICLETA ERGOMETRICA MOVIMENT, LINHA PERFORM</t>
  </si>
  <si>
    <t>PEDIATRIA</t>
  </si>
  <si>
    <t>ESCADA DE DOIS DEGRAUS EM METAL BRANCO E BASE EMBORRACHADA</t>
  </si>
  <si>
    <t>COMPRESSOR ODONTOLOGICO CRISTOFOLI 38 LTS BRANCO N S 35561</t>
  </si>
  <si>
    <t>RAMPA PARA ALONGAMENTO ALTA ZILMOVEIS</t>
  </si>
  <si>
    <t>BOMBA VACUO BIOVAC IV</t>
  </si>
  <si>
    <t>APARELHO DE ULTRASSOM SONIC CAMPACT 13MHZ N DE SERIE 80212480001</t>
  </si>
  <si>
    <t>APARELHO INFRAVERMELHO PEDESTAL BRANCO</t>
  </si>
  <si>
    <t>MOTOR ENDO X SMART PLUS BIVOLT COM CONTRA ANGULO DENTSPLY</t>
  </si>
  <si>
    <t>LOCALIZADOR APICAL PROEX II 220V DENTSPLY</t>
  </si>
  <si>
    <t>Localizador Apical IPEX II - NSK</t>
  </si>
  <si>
    <t>ARMARIO COR BRANCO, 6 GAVETAS, SUPERFICIE DE AÃƒâ€¡O , 4 RODAS</t>
  </si>
  <si>
    <t>ARMARIO DE PIA PARA LAVAR MAO , COR BRANCA</t>
  </si>
  <si>
    <t>ARMARIO DE PIA COM 3 PORTAIS 3 GAVETAS</t>
  </si>
  <si>
    <t>RAMPER EM METAL COM 03 RODAS, BRANCO</t>
  </si>
  <si>
    <t>Hamper Inox Com Rodas | Parcelamento sem juros</t>
  </si>
  <si>
    <t>ESCADA COM 2 DEGRAUS</t>
  </si>
  <si>
    <t>MASSAGEADOR PORTATIL, TECH LINE MI 3000</t>
  </si>
  <si>
    <t>MACA DE MASSAGEM FIXA COM ALTURA REGULAVEL COR AZUL NOTURNO</t>
  </si>
  <si>
    <t>SPLIT ELECTROLUX 12000 BTU 220 V INTERNO E EXTERNO</t>
  </si>
  <si>
    <t>JET SONIC ODONTO</t>
  </si>
  <si>
    <t>ULTRASSOM JATO, JAT SONIC GNATUS</t>
  </si>
  <si>
    <t>BALANCA DIGITAL G TECH MODELO GLASS10</t>
  </si>
  <si>
    <t>NEURODYN II 4 CANAIS</t>
  </si>
  <si>
    <t>MESA EM METAL AUXILIAR BRANCO C/ QUATRO RODAS</t>
  </si>
  <si>
    <t>Mesa Auxiliar 40x40x80cm (cxlxa) Pintada Com Rodinhas | Parcelamento sem juros</t>
  </si>
  <si>
    <t>NEURODYN II</t>
  </si>
  <si>
    <t>SONOPULSE COMPACT 1MHZ</t>
  </si>
  <si>
    <t>COMPRESSOR ODONTO 10 BPO RCV</t>
  </si>
  <si>
    <t>ROOT ZX II LOCALIZADOR APICAL COR BRANCA</t>
  </si>
  <si>
    <t>THERAPY XT (ODONTO)</t>
  </si>
  <si>
    <t>Laser Duo MMO - Aparelho de Laserterapia e Terapia Fotodinâmica + Pulseira ILIB | BCMED</t>
  </si>
  <si>
    <t>APARELHO INFRAVERMELHO PEDESTAL INFRAT</t>
  </si>
  <si>
    <t>BALANA DIGITAL PEDIATRICA</t>
  </si>
  <si>
    <t>AR CONDICIONADOR GREE ECO GARDEN 12000 BTU 220V INTERNO</t>
  </si>
  <si>
    <t>AR CONDICIONADOR GREE ECO GARDEN 24000 BTU 220V EXTERNO</t>
  </si>
  <si>
    <t>BOMBA VACUO BIO VAC , CONSULT GNATUS</t>
  </si>
  <si>
    <t>TEN CEL QOS ANTONIO HELIO VIEIRA</t>
  </si>
  <si>
    <t>SELADORA CRISTOFOLI COR BRANCO</t>
  </si>
  <si>
    <t>CADEIRA QUICK MASSAGE, BRANCO ARKTUS</t>
  </si>
  <si>
    <t>Kit Cadeira Quick Shiatsu Massage Legno Dobrável Shiatsu Bolsa Transporte (Branco Brilhante) : Amazon.com.br: Saúde e Bem-Estar</t>
  </si>
  <si>
    <t>MASSAGEADOR SMART SPORT</t>
  </si>
  <si>
    <t>CAIXA PARA SOLTO KALLANGO MEDIA</t>
  </si>
  <si>
    <t>Caixa Para Salto Crossfit Média Preta Kallango 65x40x40cm | MercadoLivre</t>
  </si>
  <si>
    <t>TABUA MECANOT PROPRIOCEPTIVA RETANGULAR</t>
  </si>
  <si>
    <t>CEL QOPM Julio Manoel de Silva Neto</t>
  </si>
  <si>
    <t>DIRETORIA DE SAUDE</t>
  </si>
  <si>
    <t>CONVERSOR DE MIDIA GT-802 10/100/1000 MULTIMODO PLANET</t>
  </si>
  <si>
    <t>Conversor Mídia Óptico, Slot 1000base-x Sfp P/ 10/100/1000 | Parcelamento sem juros</t>
  </si>
  <si>
    <t>Autoclave Gravitacional Flex 60LT</t>
  </si>
  <si>
    <t>Autoclave Vitale Class 21 Litros Cristófoli | Rhosse Instrumentos e Equipamentos Cirúrgicos</t>
  </si>
  <si>
    <t>ESTEIRA ELETRICA MOVIMENT</t>
  </si>
  <si>
    <t>ESTANTE EM FORMICA COM 02 PORTAS, AZUL</t>
  </si>
  <si>
    <t>BALANCINHO EM METAL BRANCO</t>
  </si>
  <si>
    <t>ESCADA DOIS DEGRAUS EM METAL</t>
  </si>
  <si>
    <t>AR CONDICIONADO GREE 12000B</t>
  </si>
  <si>
    <t>bom</t>
  </si>
  <si>
    <t>IBRAMED NEURODYN II 4 CANAIS</t>
  </si>
  <si>
    <t>APARELHO DE ELETROTERAPIA A LASER, LASER PULSE, BRANCO IBRAMED</t>
  </si>
  <si>
    <t>MOVEL BARRA DE LINF/ESPALDAR CLASSIC - ARKTUS</t>
  </si>
  <si>
    <t>ROTEADOR DUAL BAND WIFI W5 4 ANTENAS INTELBRAS</t>
  </si>
  <si>
    <t>CAIXA SOM AMPLIFICADA TRC CT 500</t>
  </si>
  <si>
    <t>SONOPULSE III IBRAMED</t>
  </si>
  <si>
    <t>MEIA BOLA SUIÇA PILATES</t>
  </si>
  <si>
    <t>Suporte De Halter Arktus Branco</t>
  </si>
  <si>
    <t>MACA FIXA EM METAL BRANCO ESTOF. AZUL</t>
  </si>
  <si>
    <t>CISAS BM</t>
  </si>
  <si>
    <t>TC QOBM/S LUCIANO N JUNQUEIRA</t>
  </si>
  <si>
    <t>FAIXA ELASTICA THERA BAND AZUL /VERDE/VERMELHO/CINZA/AMARELO</t>
  </si>
  <si>
    <t>TORNOZELEIRA - CANELEIRA 0,5KG SHOPFISIO VERMELHO</t>
  </si>
  <si>
    <t>TORNOZELEIRA NYLON COM PESO PAR 1KG AZUL</t>
  </si>
  <si>
    <t>TORNOZELEIRA NYLON PESO 2 KG AZUL</t>
  </si>
  <si>
    <t>BOLA SUINA PARA PILATES 45CM VERMELHO</t>
  </si>
  <si>
    <t>TORNOZELEIRA NYLON 3kG PAR AZUL</t>
  </si>
  <si>
    <t>BOLA FEIJAO 90x 45cm AZUL</t>
  </si>
  <si>
    <t>BOLA SUICA 65 CM LIVEUP AZUL</t>
  </si>
  <si>
    <t>CUNHA G EM NAPA AZUL</t>
  </si>
  <si>
    <t>CUNHA GRANDE EM NAPA AZUL</t>
  </si>
  <si>
    <t>CUNHA M EM NAPA AZUL</t>
  </si>
  <si>
    <t>EXERCITADOR DE MAO E DEDOS MEDIO</t>
  </si>
  <si>
    <t>WEBCAM RISE MODE</t>
  </si>
  <si>
    <t>REGUA PARA MEDIR ALTURA</t>
  </si>
  <si>
    <t>OCULOS LASERTERAPIA OPERADOR</t>
  </si>
  <si>
    <t>CANETA ALTA ROTACAO 500000849563</t>
  </si>
  <si>
    <t>AVETAL RX PACIEN PROT TIREOIDE N-MARTINS</t>
  </si>
  <si>
    <t>MICRO MOTOR SN 2014135564</t>
  </si>
  <si>
    <t>KIT DE VENTOSA COM 27 COPOS DONG YANG + LIVRO VENTOSATERAPIA</t>
  </si>
  <si>
    <t>CONTRA ANGULO GNATUS SN 4741795003</t>
  </si>
  <si>
    <t>APARELHO E PRESSAO ACCUMED COM ESTETOSCOPIO</t>
  </si>
  <si>
    <t>ARQUIVO EM ACO COM 04 GAVETAS, CINZA, PANDIN</t>
  </si>
  <si>
    <t>CADEIRA GIRATORIA ESTOF. PRETO, CAVALETI</t>
  </si>
  <si>
    <t>CADEIRA FIXA ESTOF. EM TECIDO PRETO, CAVALATI</t>
  </si>
  <si>
    <t>CADEIRA FIXA ESTOF. EM TECIDO PRETO, CAVALETI</t>
  </si>
  <si>
    <t>CADEIRA GIRATORIA ESTOF. EM TECIDO PRETO E RODIZIOS</t>
  </si>
  <si>
    <t>Armario para Ambulatorio Em Metal Branco Com 02 Portas, Envidracado</t>
  </si>
  <si>
    <t>CADEIRA GIRATORIA ESTOF. EM TECIDO AZUL, CAVALETI</t>
  </si>
  <si>
    <t>CAPELANIA</t>
  </si>
  <si>
    <t>ARQUIVO EM ACO COM 04 GAVETAS, PANDIN</t>
  </si>
  <si>
    <t>ARQUIVO EM ACO COM 04 GAVETAS, CINZA, PANDIM</t>
  </si>
  <si>
    <t>Conjunto de Mesa Infantil Com 04 Cadeiras, Sendo: 02 Cadeiras Verdes e 02 Cadeira</t>
  </si>
  <si>
    <t>LIXEIRA BALDE COM PEDAL, BRANCA E ALUMINIO</t>
  </si>
  <si>
    <t>APARELHO MOVEL DE RAIO X ODONTOLÃƒâ€œGICO DABI ATLANTE</t>
  </si>
  <si>
    <t>ESCADA DOIS DEGRAUS EM METAL, BRANCA</t>
  </si>
  <si>
    <t>LONGARINA 03 LUGARES ESTOF PRETO</t>
  </si>
  <si>
    <t>REFRIGERADOR CONSUL 350 LTS, FROST FREE, BRANCO</t>
  </si>
  <si>
    <t>CADEIRA GIRATORIA ESTOF. EM TECIDO PRETO COM RODIZIOS</t>
  </si>
  <si>
    <t>Armario Em Metal Branco para Instrumental Com 07 Gavetas e Rodizios</t>
  </si>
  <si>
    <t>AMALGAMADOR AMALGA MIX II, GNATUS, N S 4277255179</t>
  </si>
  <si>
    <t>REVELADOR DE RAIO-X ODONTOLOGICO (CAMARA ESCURA)</t>
  </si>
  <si>
    <t>ARQUIVO EM AÃƒâ€¡O COM 04 GAVETAS, CINZA, PANDIN</t>
  </si>
  <si>
    <t>CAMA ELASTICA 96 CM DE DIAMETRO</t>
  </si>
  <si>
    <t>RAMPA PARA ALONGAMENTO EM MADEIRA COM BASE EMBORRACHADA</t>
  </si>
  <si>
    <t>ESTOQUE</t>
  </si>
  <si>
    <t>SUPORTE EM METAL BRANCO PARA SACO, HAMPER</t>
  </si>
  <si>
    <t>SUPORTE DE BRAÃƒâ€¡O PARA VACINA, BRANCO</t>
  </si>
  <si>
    <t>BEBEDOURO S/N (SOFT) BRANCO</t>
  </si>
  <si>
    <t>TV PANASONIC 32 POL</t>
  </si>
  <si>
    <t>APARELHO JET SONIC GNATUS</t>
  </si>
  <si>
    <t>SPLIT GREE 12000 EVAP E COND EXTERNO</t>
  </si>
  <si>
    <t>AR CONDICIONADO ECO GARDEN 220V 18000 BTUS GREE, EXTERNO</t>
  </si>
  <si>
    <t>AR CONDICIONADO ECO GARDEN 220V 9000 BTUS GREE, EXTERNO</t>
  </si>
  <si>
    <t>AR CONDICIONADO ECO GARDEN 220V 24000 BTUS GREE, EXTERNO</t>
  </si>
  <si>
    <t>AR CONDICIONADO ECO GARDEN 220V 12000 BTUS GREE, EXTERNO</t>
  </si>
  <si>
    <t>AR CONDICIONADO ECO GARDEN 220 V 9000 BTUS GREE, INTERNO.</t>
  </si>
  <si>
    <t>AR CONDICIONADO ECO GARDEN 220 V 12000 BTUS GREE, INTERNO</t>
  </si>
  <si>
    <t>AR CONDICIONADO ECO GARDEN 220 V 18000 BTUS GREE, INTERNO</t>
  </si>
  <si>
    <t>AR CONDICIONADO ECO GARDEN 220 V 24000 BTUS GREE, INTERNO</t>
  </si>
  <si>
    <t>AR CONDICIONADO ECO GARDEN 220 V 24000 BTUS GREE, INTERNO.</t>
  </si>
  <si>
    <t>APARELHO FOTO OPLIGHT MAX DEBI ATLANTE</t>
  </si>
  <si>
    <t>CADEIRA ODONTO CONSULTORIO GNATUS MTX AGATA</t>
  </si>
  <si>
    <t>CADEIRA ODONTO CONSULTORIO GNATUS MOCHO MTX</t>
  </si>
  <si>
    <t>ARMARIO PARA INSTRUMENTAL COM 07 GAVETAS,BRANCO RODAS</t>
  </si>
  <si>
    <t>BASE PARA ESTUFA COR BRANCA, OLIDEF</t>
  </si>
  <si>
    <t>NEGATOSCOPIO DE 1 CORPO VISUALIZADOR DE RAIO X BIVOLT</t>
  </si>
  <si>
    <t>MESA CARRINHO AUXILIAR COM 3 PRATELEIRAS COR BRANCO</t>
  </si>
  <si>
    <t>ESCADA AUXILIAR COM 1 DEGRAU EM ACO SHOPFISIO</t>
  </si>
  <si>
    <t>SONOPULSE /// IBRAMED APARELHO DE ULTRASSOM</t>
  </si>
  <si>
    <t>NEURODYN // IBRAMED APARELHO DE TENS FES</t>
  </si>
  <si>
    <t>DIVA BAIXO TABLADO PARA FISIOTERAPIA NEUROLOGICA COR BRANCO</t>
  </si>
  <si>
    <t>BALANCINHO BALANCO PARA TREINO DE EQUILIBRIO E FISIOTERAPIA</t>
  </si>
  <si>
    <t>SUPORTE PEDESTAL PARA INFRAVERMELHO COM RODIZIO</t>
  </si>
  <si>
    <t>MACA DE MASSAGEM FIXA COM ALTURA REGULAVEL PRATELEIRA</t>
  </si>
  <si>
    <t>FOTOLIMERIZADOR</t>
  </si>
  <si>
    <t>GELADEIRA CONSUL 348L 220V</t>
  </si>
  <si>
    <t>BICICLETA ERGOMÃƒâ€°TRICA HORIZONTAL</t>
  </si>
  <si>
    <t>SMART SPORT MASSAGEADOR AUTOMÃƒÂ•TICO - MASSAGE GUN SMART GR</t>
  </si>
  <si>
    <t>BOSU BODY BALANCE MEIA BOLA PARA EXERCICIOS - ACTE SPORTS</t>
  </si>
  <si>
    <t>BASTÃO DE MADEIRA COLORIDO/JOGO COM 05 UNID. E SUPORTE SHOPFISIO</t>
  </si>
  <si>
    <t>ESTEIRA ROL ELETRICA R7/ 127V PRE DA COR PRETA</t>
  </si>
  <si>
    <t>SWITCH TP-LINK 24 PORTAS</t>
  </si>
  <si>
    <t>ROTEADOR WIRELESS COR PRETO</t>
  </si>
  <si>
    <t>CADEIRA MOCHO STANDARD FIT GNATUS</t>
  </si>
  <si>
    <t>BALANCA DIGITAL PLUS SIZE 200KG</t>
  </si>
  <si>
    <t>Balanca digital Balmak BebÃƒÂª</t>
  </si>
  <si>
    <t>FOTOPOLIMERIZADOR VALO CORDLESS COR PRETA</t>
  </si>
  <si>
    <t>impressora brother multifuncional laser mono DCPB- 7535DW</t>
  </si>
  <si>
    <t>PRANCHA COM SUPERFÃ•CIE PRETA</t>
  </si>
  <si>
    <t>CLIMATIZADOR VENTISOL CLI45 PRO 220V</t>
  </si>
  <si>
    <t>NOBREAK 800VA SMS TECH ENTRADA BIVOLT SAIDA 115</t>
  </si>
  <si>
    <t>AUTOCLAVE VITALE CLASS 21 - INOX 21L DIG BIVOLT CRISTOFOLI</t>
  </si>
  <si>
    <t>FA SAUDE</t>
  </si>
  <si>
    <t>GERENCIA</t>
  </si>
  <si>
    <t>FAM CARD</t>
  </si>
  <si>
    <t>ARMARIO EM ACO 02 PORTAS DE COR CINZA</t>
  </si>
  <si>
    <t>ARMARIO EM MDF MARFIN COM 02 PORTAS ALT. 190 CM</t>
  </si>
  <si>
    <t>ALDITORIA</t>
  </si>
  <si>
    <t>ARMARIO EM MDF MARFIN COM 02 PORTAS</t>
  </si>
  <si>
    <t>MESA EM MDF RETANGULAR</t>
  </si>
  <si>
    <t>ARMARIO EM ACO COM 04 GAVETAS PANDIN</t>
  </si>
  <si>
    <t>ARMARIO EM ACO COM 06 PRATELEIRAS</t>
  </si>
  <si>
    <t>ESTANTE EM AÇO 5 PRATELEIRA</t>
  </si>
  <si>
    <t>IMPRESSORA MULTIFUNCIONAL BROTHER MOD</t>
  </si>
  <si>
    <t>ALL IN ORNE 3GREEN</t>
  </si>
  <si>
    <t>RECEPÇA</t>
  </si>
  <si>
    <t>CONDICIONADOR DE AR 24000 GREE</t>
  </si>
  <si>
    <t>RECEPÇA 2</t>
  </si>
  <si>
    <t>MONITOR LG COR PRETA</t>
  </si>
  <si>
    <t>PC EASYPC CORE I5 8 GB COR PRETA</t>
  </si>
  <si>
    <r>
      <rPr>
        <rFont val="Arial"/>
        <b/>
        <color rgb="FF1155CC"/>
        <sz val="10.0"/>
        <u/>
      </rPr>
      <t>Computador 2eletro Speed Intel Core I5, 8gb Ram, Ssd 512gb, Hdmi, Bivolt, Áudio Hd - Cd2e-0102sp | Frete grátis</t>
    </r>
  </si>
  <si>
    <t>COMPUTADOR POSITIVO UNION 13128A</t>
  </si>
  <si>
    <t>RECEPÇA 3</t>
  </si>
  <si>
    <t>MONITOR LED 19,5 POL HQ LED HDMI</t>
  </si>
  <si>
    <t>CONDICIONADOR DE AR 12000 GREE</t>
  </si>
  <si>
    <t>CADEIRA ADRIX MEC. PLAXMETAL</t>
  </si>
  <si>
    <t>MONITOR LG 19 POL</t>
  </si>
  <si>
    <t>MONITOR DELL 21,5 POL</t>
  </si>
  <si>
    <t>POLTRONA CAVALETTI PLUSSISE</t>
  </si>
  <si>
    <t>POLTRONA CAVALETTI BOX</t>
  </si>
  <si>
    <t>RECEPÇA 4</t>
  </si>
  <si>
    <t>POLTRONA ESPERA AZUL</t>
  </si>
  <si>
    <t>RECEPÇA 1</t>
  </si>
  <si>
    <t>COBRANÇA</t>
  </si>
  <si>
    <t>CADEIRA CAVALLET</t>
  </si>
  <si>
    <t>MESA GERENTE EM L</t>
  </si>
  <si>
    <t>MESA DE REUNIAO CIRCULAR</t>
  </si>
  <si>
    <t>GAVETEIRO MADEIRA BORTOLINI</t>
  </si>
  <si>
    <t>QUADRO BRSNCO 2X1,5</t>
  </si>
  <si>
    <t>NOTEBOOK DEL</t>
  </si>
  <si>
    <t>MONITOR PORTATIL</t>
  </si>
  <si>
    <t>OTEBOOK DELL</t>
  </si>
  <si>
    <t>Microcomputador Dell Pro I3 8GB</t>
  </si>
  <si>
    <t>MONITOR 19 POL HD LED MYMAX</t>
  </si>
  <si>
    <t>MONITOR 19 POL BRNACO HQ</t>
  </si>
  <si>
    <t>DESKTOP I3 8GB PRETO</t>
  </si>
  <si>
    <t>DESKTOP 3GREE</t>
  </si>
  <si>
    <t>ESTANTE EM AÇO 2 PRATELEIRA</t>
  </si>
  <si>
    <t>DESKTOP HQ BRANCO</t>
  </si>
  <si>
    <t>DESKTOP PULL SEM PATRIMONIO</t>
  </si>
  <si>
    <t>NOVO</t>
  </si>
  <si>
    <t>Sem uso ou em estado de novo.</t>
  </si>
  <si>
    <t>Ponto médio da faixa 0% a 5%.</t>
  </si>
  <si>
    <t>Pouco uso. Sem defeitos aparentes.</t>
  </si>
  <si>
    <t>Ponto médio da faixa 5% a 20%.</t>
  </si>
  <si>
    <t>Uso regular. Desgaste normal de uso. Funcionamento pleno.</t>
  </si>
  <si>
    <t>Ponto médio da faixa 20% a 40%.</t>
  </si>
  <si>
    <t>Transição entre bom e regular.</t>
  </si>
  <si>
    <t>Estimativa conservadora.</t>
  </si>
  <si>
    <t>Uso intenso. Desgaste físico e funcional perceptível.</t>
  </si>
  <si>
    <t>Ponto médio da faixa 40% a 70%.</t>
  </si>
  <si>
    <t>REGULAR/RUIM</t>
  </si>
  <si>
    <t>Transição entre regular e ruim.</t>
  </si>
  <si>
    <t>Alto desgaste físico e funcional. Uso comprometido.</t>
  </si>
  <si>
    <t>Ponto médio da faixa 70% a 90%.</t>
  </si>
  <si>
    <t>Não funciona ou não pode ser utilizado.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</si>
</sst>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([$R$ -416]* #,##0.00_);_([$R$ -416]* \(#,##0.00\);_([$R$ -416]* &quot;-&quot;??_);_(@_)"/>
    <numFmt numFmtId="165" formatCode="_-&quot;R$&quot;\ * #,##0.00_-;\-&quot;R$&quot;\ * #,##0.00_-;_-&quot;R$&quot;\ * &quot;-&quot;??_-;_-@"/>
    <numFmt numFmtId="166" formatCode="dd/mm/yyyy"/>
  </numFmts>
  <fonts count="45">
    <font>
      <sz val="11.0"/>
      <color theme="1"/>
      <name val="Aptos Narrow"/>
      <scheme val="minor"/>
    </font>
    <font>
      <b/>
      <sz val="10.0"/>
      <color theme="1"/>
      <name val="Arial"/>
    </font>
    <font>
      <b/>
      <sz val="10.0"/>
      <color rgb="FF000000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0.0"/>
      <color theme="10"/>
      <name val="Arial"/>
    </font>
    <font>
      <b/>
      <u/>
      <sz val="10.0"/>
      <color theme="10"/>
      <name val="Arial"/>
    </font>
    <font>
      <b/>
      <u/>
      <sz val="10.0"/>
      <color theme="10"/>
      <name val="Arial"/>
    </font>
    <font>
      <b/>
      <u/>
      <sz val="10.0"/>
      <color theme="10"/>
      <name val="Arial"/>
    </font>
    <font>
      <u/>
      <sz val="11.0"/>
      <color rgb="FF000000"/>
      <name val="Calibri"/>
    </font>
    <font>
      <b/>
      <color rgb="FF000000"/>
      <name val="Arial"/>
    </font>
    <font>
      <b/>
      <u/>
      <sz val="10.0"/>
      <color theme="10"/>
      <name val="Arial"/>
    </font>
    <font>
      <u/>
      <sz val="11.0"/>
      <color rgb="FF000000"/>
      <name val="Calibri"/>
    </font>
    <font>
      <b/>
      <u/>
      <sz val="10.0"/>
      <color theme="10"/>
      <name val="Arial"/>
    </font>
    <font>
      <u/>
      <color rgb="FF0000FF"/>
    </font>
    <font>
      <u/>
      <color rgb="FF0000FF"/>
    </font>
    <font>
      <b/>
      <u/>
      <sz val="10.0"/>
      <color theme="10"/>
      <name val="Arial"/>
    </font>
    <font>
      <u/>
      <sz val="11.0"/>
      <color rgb="FF000000"/>
      <name val="Calibri"/>
    </font>
    <font>
      <b/>
      <u/>
      <sz val="10.0"/>
      <color theme="10"/>
      <name val="Arial"/>
    </font>
    <font>
      <color rgb="FF000000"/>
      <name val="Arial"/>
    </font>
    <font>
      <b/>
      <u/>
      <sz val="10.0"/>
      <color rgb="FF467886"/>
      <name val="Arial"/>
    </font>
    <font>
      <b/>
      <u/>
      <sz val="10.0"/>
      <color theme="10"/>
      <name val="Arial"/>
    </font>
    <font>
      <b/>
      <u/>
      <color rgb="FF0000FF"/>
      <name val="Arial"/>
    </font>
    <font>
      <b/>
      <u/>
      <sz val="10.0"/>
      <color theme="1"/>
      <name val="Arial"/>
    </font>
    <font>
      <b/>
      <u/>
      <sz val="10.0"/>
      <color theme="1"/>
      <name val="Arial"/>
    </font>
    <font>
      <color rgb="FF1E2428"/>
      <name val="Aptos Narrow"/>
      <scheme val="minor"/>
    </font>
    <font>
      <u/>
      <color rgb="FF0000FF"/>
    </font>
    <font>
      <color rgb="FF0F1111"/>
      <name val="&quot;Amazon Ember&quot;"/>
    </font>
    <font>
      <sz val="11.0"/>
      <color rgb="FF0F1111"/>
      <name val="&quot;Amazon Ember&quot;"/>
    </font>
    <font>
      <u/>
      <sz val="11.0"/>
      <color rgb="FF000000"/>
      <name val="Calibri"/>
    </font>
    <font>
      <sz val="11.0"/>
      <color rgb="FF000000"/>
      <name val="&quot;Aptos Narrow&quot;"/>
    </font>
    <font>
      <b/>
      <u/>
      <color rgb="FF467886"/>
      <name val="Arial"/>
    </font>
    <font>
      <b/>
      <u/>
      <sz val="10.0"/>
      <color rgb="FF467886"/>
      <name val="Arial"/>
    </font>
    <font>
      <b/>
      <u/>
      <sz val="10.0"/>
      <color rgb="FF467886"/>
      <name val="Arial"/>
    </font>
    <font>
      <b/>
      <u/>
      <sz val="10.0"/>
      <color rgb="FF467886"/>
      <name val="Arial"/>
    </font>
    <font>
      <b/>
      <sz val="10.0"/>
      <color rgb="FF467886"/>
      <name val="Arial"/>
    </font>
    <font>
      <b/>
      <sz val="10.0"/>
      <color rgb="FF9C0006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>
      <b/>
      <u/>
      <sz val="10.0"/>
      <color rgb="FF0000FF"/>
      <name val="Arial"/>
    </font>
    <font>
      <color theme="1"/>
      <name val="Aptos Narrow"/>
      <scheme val="minor"/>
    </font>
    <font>
      <sz val="12.0"/>
      <color theme="1"/>
      <name val="Play"/>
    </font>
    <font>
      <sz val="10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AEDFB"/>
        <bgColor rgb="FFCAEDFB"/>
      </patternFill>
    </fill>
    <fill>
      <patternFill patternType="solid">
        <fgColor rgb="FFFF0000"/>
        <bgColor rgb="FFFF0000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</fills>
  <borders count="16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3" fillId="2" fontId="1" numFmtId="0" xfId="0" applyAlignment="1" applyBorder="1" applyFont="1">
      <alignment horizontal="center" shrinkToFit="0" vertical="center" wrapText="1"/>
    </xf>
    <xf borderId="4" fillId="2" fontId="1" numFmtId="164" xfId="0" applyAlignment="1" applyBorder="1" applyFont="1" applyNumberFormat="1">
      <alignment horizontal="center" shrinkToFit="0" vertical="center" wrapText="1"/>
    </xf>
    <xf borderId="4" fillId="2" fontId="1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horizontal="center" shrinkToFit="0" vertical="center" wrapText="1"/>
    </xf>
    <xf borderId="0" fillId="0" fontId="1" numFmtId="0" xfId="0" applyFont="1"/>
    <xf borderId="1" fillId="3" fontId="1" numFmtId="0" xfId="0" applyBorder="1" applyFill="1" applyFont="1"/>
    <xf borderId="1" fillId="3" fontId="2" numFmtId="0" xfId="0" applyAlignment="1" applyBorder="1" applyFont="1">
      <alignment shrinkToFit="0" vertical="center" wrapText="1"/>
    </xf>
    <xf borderId="6" fillId="3" fontId="2" numFmtId="0" xfId="0" applyAlignment="1" applyBorder="1" applyFont="1">
      <alignment shrinkToFit="0" vertical="center" wrapText="1"/>
    </xf>
    <xf borderId="1" fillId="3" fontId="3" numFmtId="0" xfId="0" applyAlignment="1" applyBorder="1" applyFont="1">
      <alignment readingOrder="0" shrinkToFit="0" vertical="bottom" wrapText="0"/>
    </xf>
    <xf borderId="7" fillId="3" fontId="1" numFmtId="165" xfId="0" applyAlignment="1" applyBorder="1" applyFont="1" applyNumberFormat="1">
      <alignment horizontal="right"/>
    </xf>
    <xf borderId="1" fillId="3" fontId="1" numFmtId="164" xfId="0" applyAlignment="1" applyBorder="1" applyFont="1" applyNumberFormat="1">
      <alignment horizontal="right" vertical="center"/>
    </xf>
    <xf borderId="0" fillId="3" fontId="4" numFmtId="0" xfId="0" applyAlignment="1" applyFont="1">
      <alignment horizontal="right" readingOrder="0" shrinkToFit="0" vertical="bottom" wrapText="0"/>
    </xf>
    <xf borderId="1" fillId="3" fontId="2" numFmtId="9" xfId="0" applyAlignment="1" applyBorder="1" applyFont="1" applyNumberFormat="1">
      <alignment shrinkToFit="0" vertical="center" wrapText="1"/>
    </xf>
    <xf borderId="1" fillId="3" fontId="1" numFmtId="9" xfId="0" applyAlignment="1" applyBorder="1" applyFont="1" applyNumberFormat="1">
      <alignment horizontal="right" vertical="center"/>
    </xf>
    <xf borderId="1" fillId="3" fontId="1" numFmtId="0" xfId="0" applyAlignment="1" applyBorder="1" applyFont="1">
      <alignment horizontal="right" shrinkToFit="0" vertical="center" wrapText="1"/>
    </xf>
    <xf borderId="1" fillId="3" fontId="1" numFmtId="165" xfId="0" applyAlignment="1" applyBorder="1" applyFont="1" applyNumberFormat="1">
      <alignment horizontal="right" shrinkToFit="0" vertical="center" wrapText="1"/>
    </xf>
    <xf borderId="1" fillId="3" fontId="1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8" fillId="3" fontId="1" numFmtId="0" xfId="0" applyBorder="1" applyFont="1"/>
    <xf borderId="1" fillId="2" fontId="1" numFmtId="0" xfId="0" applyBorder="1" applyFont="1"/>
    <xf borderId="1" fillId="2" fontId="2" numFmtId="0" xfId="0" applyAlignment="1" applyBorder="1" applyFont="1">
      <alignment shrinkToFit="0" vertical="center" wrapText="1"/>
    </xf>
    <xf borderId="6" fillId="2" fontId="2" numFmtId="0" xfId="0" applyAlignment="1" applyBorder="1" applyFont="1">
      <alignment shrinkToFit="0" vertical="center" wrapText="1"/>
    </xf>
    <xf borderId="1" fillId="2" fontId="3" numFmtId="0" xfId="0" applyAlignment="1" applyBorder="1" applyFont="1">
      <alignment readingOrder="0" shrinkToFit="0" vertical="bottom" wrapText="0"/>
    </xf>
    <xf borderId="7" fillId="2" fontId="1" numFmtId="165" xfId="0" applyAlignment="1" applyBorder="1" applyFont="1" applyNumberFormat="1">
      <alignment horizontal="right"/>
    </xf>
    <xf borderId="1" fillId="2" fontId="1" numFmtId="164" xfId="0" applyAlignment="1" applyBorder="1" applyFont="1" applyNumberFormat="1">
      <alignment horizontal="right" vertical="center"/>
    </xf>
    <xf borderId="0" fillId="2" fontId="4" numFmtId="0" xfId="0" applyAlignment="1" applyFont="1">
      <alignment horizontal="right" readingOrder="0" shrinkToFit="0" vertical="bottom" wrapText="0"/>
    </xf>
    <xf borderId="1" fillId="2" fontId="2" numFmtId="9" xfId="0" applyAlignment="1" applyBorder="1" applyFont="1" applyNumberFormat="1">
      <alignment shrinkToFit="0" vertical="center" wrapText="1"/>
    </xf>
    <xf borderId="1" fillId="2" fontId="1" numFmtId="9" xfId="0" applyAlignment="1" applyBorder="1" applyFont="1" applyNumberFormat="1">
      <alignment horizontal="right" vertical="center"/>
    </xf>
    <xf borderId="1" fillId="2" fontId="1" numFmtId="0" xfId="0" applyAlignment="1" applyBorder="1" applyFont="1">
      <alignment horizontal="right" shrinkToFit="0" vertical="center" wrapText="1"/>
    </xf>
    <xf borderId="1" fillId="2" fontId="1" numFmtId="165" xfId="0" applyAlignment="1" applyBorder="1" applyFont="1" applyNumberFormat="1">
      <alignment horizontal="right" shrinkToFit="0" vertical="center" wrapText="1"/>
    </xf>
    <xf borderId="1" fillId="2" fontId="1" numFmtId="0" xfId="0" applyAlignment="1" applyBorder="1" applyFont="1">
      <alignment shrinkToFit="0" wrapText="1"/>
    </xf>
    <xf borderId="1" fillId="2" fontId="6" numFmtId="0" xfId="0" applyAlignment="1" applyBorder="1" applyFont="1">
      <alignment shrinkToFit="0" wrapText="1"/>
    </xf>
    <xf borderId="9" fillId="2" fontId="1" numFmtId="0" xfId="0" applyBorder="1" applyFont="1"/>
    <xf borderId="1" fillId="3" fontId="7" numFmtId="0" xfId="0" applyBorder="1" applyFont="1"/>
    <xf borderId="9" fillId="3" fontId="1" numFmtId="0" xfId="0" applyBorder="1" applyFont="1"/>
    <xf borderId="1" fillId="2" fontId="8" numFmtId="0" xfId="0" applyBorder="1" applyFont="1"/>
    <xf borderId="7" fillId="3" fontId="1" numFmtId="165" xfId="0" applyBorder="1" applyFont="1" applyNumberFormat="1"/>
    <xf borderId="7" fillId="2" fontId="1" numFmtId="165" xfId="0" applyBorder="1" applyFont="1" applyNumberFormat="1"/>
    <xf borderId="1" fillId="2" fontId="2" numFmtId="0" xfId="0" applyAlignment="1" applyBorder="1" applyFont="1">
      <alignment readingOrder="0" shrinkToFit="0" vertical="center" wrapText="1"/>
    </xf>
    <xf borderId="1" fillId="2" fontId="1" numFmtId="9" xfId="0" applyAlignment="1" applyBorder="1" applyFont="1" applyNumberFormat="1">
      <alignment horizontal="right" readingOrder="0" vertical="center"/>
    </xf>
    <xf borderId="0" fillId="3" fontId="4" numFmtId="164" xfId="0" applyAlignment="1" applyFont="1" applyNumberForma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1" fillId="2" fontId="1" numFmtId="0" xfId="0" applyAlignment="1" applyBorder="1" applyFont="1">
      <alignment readingOrder="0"/>
    </xf>
    <xf borderId="1" fillId="3" fontId="2" numFmtId="0" xfId="0" applyAlignment="1" applyBorder="1" applyFont="1">
      <alignment readingOrder="0" shrinkToFit="0" vertical="center" wrapText="1"/>
    </xf>
    <xf borderId="0" fillId="3" fontId="9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/>
    </xf>
    <xf borderId="10" fillId="4" fontId="1" numFmtId="0" xfId="0" applyBorder="1" applyFill="1" applyFont="1"/>
    <xf borderId="6" fillId="3" fontId="1" numFmtId="0" xfId="0" applyBorder="1" applyFont="1"/>
    <xf borderId="6" fillId="2" fontId="1" numFmtId="0" xfId="0" applyBorder="1" applyFont="1"/>
    <xf borderId="1" fillId="3" fontId="10" numFmtId="0" xfId="0" applyAlignment="1" applyBorder="1" applyFont="1">
      <alignment readingOrder="0" shrinkToFit="0" vertical="bottom" wrapText="0"/>
    </xf>
    <xf borderId="1" fillId="3" fontId="1" numFmtId="0" xfId="0" applyAlignment="1" applyBorder="1" applyFont="1">
      <alignment shrinkToFit="0" vertical="center" wrapText="1"/>
    </xf>
    <xf borderId="1" fillId="2" fontId="1" numFmtId="0" xfId="0" applyAlignment="1" applyBorder="1" applyFont="1">
      <alignment shrinkToFit="0" vertical="center" wrapText="1"/>
    </xf>
    <xf borderId="1" fillId="3" fontId="1" numFmtId="164" xfId="0" applyBorder="1" applyFont="1" applyNumberFormat="1"/>
    <xf borderId="1" fillId="2" fontId="1" numFmtId="164" xfId="0" applyBorder="1" applyFont="1" applyNumberFormat="1"/>
    <xf borderId="0" fillId="2" fontId="1" numFmtId="0" xfId="0" applyFont="1"/>
    <xf borderId="6" fillId="3" fontId="1" numFmtId="0" xfId="0" applyAlignment="1" applyBorder="1" applyFont="1">
      <alignment shrinkToFit="0" vertical="center" wrapText="1"/>
    </xf>
    <xf borderId="1" fillId="3" fontId="1" numFmtId="9" xfId="0" applyAlignment="1" applyBorder="1" applyFont="1" applyNumberFormat="1">
      <alignment horizontal="right" readingOrder="0" vertical="center"/>
    </xf>
    <xf borderId="7" fillId="2" fontId="1" numFmtId="14" xfId="0" applyAlignment="1" applyBorder="1" applyFont="1" applyNumberFormat="1">
      <alignment horizontal="right"/>
    </xf>
    <xf borderId="1" fillId="3" fontId="2" numFmtId="0" xfId="0" applyAlignment="1" applyBorder="1" applyFont="1">
      <alignment vertical="center"/>
    </xf>
    <xf borderId="6" fillId="3" fontId="2" numFmtId="0" xfId="0" applyAlignment="1" applyBorder="1" applyFont="1">
      <alignment vertical="center"/>
    </xf>
    <xf borderId="1" fillId="2" fontId="2" numFmtId="0" xfId="0" applyAlignment="1" applyBorder="1" applyFont="1">
      <alignment vertical="center"/>
    </xf>
    <xf borderId="6" fillId="2" fontId="2" numFmtId="0" xfId="0" applyAlignment="1" applyBorder="1" applyFont="1">
      <alignment vertical="center"/>
    </xf>
    <xf borderId="0" fillId="2" fontId="1" numFmtId="164" xfId="0" applyAlignment="1" applyFont="1" applyNumberFormat="1">
      <alignment horizontal="right" vertical="center"/>
    </xf>
    <xf borderId="0" fillId="2" fontId="11" numFmtId="0" xfId="0" applyAlignment="1" applyFont="1">
      <alignment shrinkToFit="0" wrapText="1"/>
    </xf>
    <xf borderId="1" fillId="2" fontId="4" numFmtId="164" xfId="0" applyAlignment="1" applyBorder="1" applyFont="1" applyNumberFormat="1">
      <alignment horizontal="right" readingOrder="0" shrinkToFit="0" vertical="bottom" wrapText="0"/>
    </xf>
    <xf borderId="1" fillId="2" fontId="12" numFmtId="0" xfId="0" applyAlignment="1" applyBorder="1" applyFont="1">
      <alignment readingOrder="0" shrinkToFit="0" vertical="bottom" wrapText="0"/>
    </xf>
    <xf borderId="7" fillId="3" fontId="1" numFmtId="14" xfId="0" applyAlignment="1" applyBorder="1" applyFont="1" applyNumberFormat="1">
      <alignment horizontal="right"/>
    </xf>
    <xf borderId="1" fillId="2" fontId="2" numFmtId="164" xfId="0" applyAlignment="1" applyBorder="1" applyFont="1" applyNumberFormat="1">
      <alignment horizontal="right" vertical="center"/>
    </xf>
    <xf borderId="10" fillId="5" fontId="1" numFmtId="0" xfId="0" applyBorder="1" applyFill="1" applyFont="1"/>
    <xf borderId="1" fillId="2" fontId="4" numFmtId="0" xfId="0" applyAlignment="1" applyBorder="1" applyFont="1">
      <alignment readingOrder="0" shrinkToFit="0" vertical="bottom" wrapText="0"/>
    </xf>
    <xf borderId="7" fillId="3" fontId="1" numFmtId="14" xfId="0" applyBorder="1" applyFont="1" applyNumberFormat="1"/>
    <xf borderId="0" fillId="2" fontId="4" numFmtId="0" xfId="0" applyAlignment="1" applyFont="1">
      <alignment readingOrder="0" shrinkToFit="0" vertical="bottom" wrapText="0"/>
    </xf>
    <xf borderId="9" fillId="3" fontId="1" numFmtId="3" xfId="0" applyBorder="1" applyFont="1" applyNumberFormat="1"/>
    <xf borderId="11" fillId="0" fontId="1" numFmtId="165" xfId="0" applyAlignment="1" applyBorder="1" applyFont="1" applyNumberFormat="1">
      <alignment horizontal="right" vertical="center"/>
    </xf>
    <xf borderId="0" fillId="3" fontId="1" numFmtId="164" xfId="0" applyAlignment="1" applyFont="1" applyNumberFormat="1">
      <alignment horizontal="right" vertical="center"/>
    </xf>
    <xf borderId="0" fillId="3" fontId="13" numFmtId="0" xfId="0" applyAlignment="1" applyFont="1">
      <alignment shrinkToFit="0" wrapText="1"/>
    </xf>
    <xf borderId="1" fillId="2" fontId="4" numFmtId="164" xfId="0" applyAlignment="1" applyBorder="1" applyFont="1" applyNumberFormat="1">
      <alignment readingOrder="0" shrinkToFit="0" vertical="bottom" wrapText="0"/>
    </xf>
    <xf borderId="0" fillId="2" fontId="14" numFmtId="0" xfId="0" applyAlignment="1" applyFont="1">
      <alignment readingOrder="0"/>
    </xf>
    <xf borderId="1" fillId="2" fontId="10" numFmtId="0" xfId="0" applyAlignment="1" applyBorder="1" applyFont="1">
      <alignment readingOrder="0" shrinkToFit="0" vertical="bottom" wrapText="0"/>
    </xf>
    <xf borderId="6" fillId="2" fontId="10" numFmtId="0" xfId="0" applyAlignment="1" applyBorder="1" applyFont="1">
      <alignment horizontal="right" readingOrder="0" shrinkToFit="0" vertical="bottom" wrapText="0"/>
    </xf>
    <xf borderId="1" fillId="2" fontId="1" numFmtId="164" xfId="0" applyAlignment="1" applyBorder="1" applyFont="1" applyNumberFormat="1">
      <alignment horizontal="right" readingOrder="0" vertical="center"/>
    </xf>
    <xf borderId="1" fillId="2" fontId="15" numFmtId="0" xfId="0" applyAlignment="1" applyBorder="1" applyFont="1">
      <alignment readingOrder="0"/>
    </xf>
    <xf borderId="1" fillId="3" fontId="4" numFmtId="0" xfId="0" applyAlignment="1" applyBorder="1" applyFont="1">
      <alignment readingOrder="0" shrinkToFit="0" vertical="bottom" wrapText="0"/>
    </xf>
    <xf borderId="0" fillId="2" fontId="16" numFmtId="0" xfId="0" applyFont="1"/>
    <xf borderId="1" fillId="3" fontId="4" numFmtId="164" xfId="0" applyAlignment="1" applyBorder="1" applyFont="1" applyNumberFormat="1">
      <alignment horizontal="right" readingOrder="0" shrinkToFit="0" vertical="bottom" wrapText="0"/>
    </xf>
    <xf borderId="0" fillId="2" fontId="1" numFmtId="164" xfId="0" applyFont="1" applyNumberFormat="1"/>
    <xf borderId="1" fillId="3" fontId="17" numFmtId="0" xfId="0" applyAlignment="1" applyBorder="1" applyFont="1">
      <alignment readingOrder="0" shrinkToFit="0" vertical="bottom" wrapText="0"/>
    </xf>
    <xf borderId="0" fillId="3" fontId="18" numFmtId="0" xfId="0" applyFont="1"/>
    <xf borderId="6" fillId="2" fontId="2" numFmtId="0" xfId="0" applyAlignment="1" applyBorder="1" applyFont="1">
      <alignment readingOrder="0" shrinkToFit="0" vertical="center" wrapText="1"/>
    </xf>
    <xf borderId="1" fillId="2" fontId="19" numFmtId="0" xfId="0" applyAlignment="1" applyBorder="1" applyFont="1">
      <alignment readingOrder="0" shrinkToFit="0" wrapText="1"/>
    </xf>
    <xf borderId="6" fillId="3" fontId="2" numFmtId="0" xfId="0" applyAlignment="1" applyBorder="1" applyFont="1">
      <alignment readingOrder="0" shrinkToFit="0" vertical="center" wrapText="1"/>
    </xf>
    <xf borderId="1" fillId="3" fontId="20" numFmtId="0" xfId="0" applyAlignment="1" applyBorder="1" applyFont="1">
      <alignment readingOrder="0" shrinkToFit="0" wrapText="1"/>
    </xf>
    <xf borderId="12" fillId="3" fontId="1" numFmtId="164" xfId="0" applyBorder="1" applyFont="1" applyNumberFormat="1"/>
    <xf borderId="12" fillId="3" fontId="21" numFmtId="0" xfId="0" applyAlignment="1" applyBorder="1" applyFont="1">
      <alignment shrinkToFit="0" wrapText="1"/>
    </xf>
    <xf borderId="1" fillId="6" fontId="10" numFmtId="164" xfId="0" applyAlignment="1" applyBorder="1" applyFill="1" applyFont="1" applyNumberFormat="1">
      <alignment horizontal="right" readingOrder="0" shrinkToFit="0" wrapText="0"/>
    </xf>
    <xf borderId="1" fillId="2" fontId="22" numFmtId="0" xfId="0" applyAlignment="1" applyBorder="1" applyFont="1">
      <alignment readingOrder="0" vertical="bottom"/>
    </xf>
    <xf borderId="0" fillId="3" fontId="2" numFmtId="9" xfId="0" applyAlignment="1" applyFont="1" applyNumberFormat="1">
      <alignment shrinkToFit="0" vertical="center" wrapText="1"/>
    </xf>
    <xf borderId="1" fillId="3" fontId="10" numFmtId="0" xfId="0" applyAlignment="1" applyBorder="1" applyFont="1">
      <alignment readingOrder="0"/>
    </xf>
    <xf borderId="1" fillId="6" fontId="10" numFmtId="0" xfId="0" applyAlignment="1" applyBorder="1" applyFont="1">
      <alignment readingOrder="0"/>
    </xf>
    <xf borderId="1" fillId="2" fontId="2" numFmtId="165" xfId="0" applyAlignment="1" applyBorder="1" applyFont="1" applyNumberFormat="1">
      <alignment shrinkToFit="0" vertical="center" wrapText="1"/>
    </xf>
    <xf borderId="1" fillId="3" fontId="2" numFmtId="165" xfId="0" applyAlignment="1" applyBorder="1" applyFont="1" applyNumberFormat="1">
      <alignment shrinkToFit="0" vertical="center" wrapText="1"/>
    </xf>
    <xf borderId="0" fillId="2" fontId="4" numFmtId="164" xfId="0" applyAlignment="1" applyFont="1" applyNumberFormat="1">
      <alignment horizontal="right" readingOrder="0" shrinkToFit="0" vertical="bottom" wrapText="0"/>
    </xf>
    <xf borderId="1" fillId="2" fontId="1" numFmtId="164" xfId="0" applyAlignment="1" applyBorder="1" applyFont="1" applyNumberFormat="1">
      <alignment shrinkToFit="0" vertical="center" wrapText="1"/>
    </xf>
    <xf borderId="1" fillId="3" fontId="1" numFmtId="164" xfId="0" applyAlignment="1" applyBorder="1" applyFont="1" applyNumberFormat="1">
      <alignment shrinkToFit="0" vertical="center" wrapText="1"/>
    </xf>
    <xf borderId="13" fillId="2" fontId="1" numFmtId="0" xfId="0" applyBorder="1" applyFont="1"/>
    <xf borderId="7" fillId="2" fontId="1" numFmtId="14" xfId="0" applyBorder="1" applyFont="1" applyNumberFormat="1"/>
    <xf borderId="7" fillId="3" fontId="23" numFmtId="165" xfId="0" applyAlignment="1" applyBorder="1" applyFont="1" applyNumberFormat="1">
      <alignment horizontal="right"/>
    </xf>
    <xf borderId="7" fillId="2" fontId="24" numFmtId="165" xfId="0" applyAlignment="1" applyBorder="1" applyFont="1" applyNumberFormat="1">
      <alignment horizontal="right"/>
    </xf>
    <xf borderId="1" fillId="2" fontId="2" numFmtId="0" xfId="0" applyAlignment="1" applyBorder="1" applyFont="1">
      <alignment readingOrder="0"/>
    </xf>
    <xf borderId="6" fillId="2" fontId="2" numFmtId="0" xfId="0" applyAlignment="1" applyBorder="1" applyFont="1">
      <alignment horizontal="right" readingOrder="0"/>
    </xf>
    <xf borderId="1" fillId="3" fontId="2" numFmtId="0" xfId="0" applyAlignment="1" applyBorder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3" fontId="2" numFmtId="0" xfId="0" applyAlignment="1" applyBorder="1" applyFont="1">
      <alignment readingOrder="0" shrinkToFit="0" wrapText="1"/>
    </xf>
    <xf borderId="1" fillId="3" fontId="1" numFmtId="164" xfId="0" applyAlignment="1" applyBorder="1" applyFont="1" applyNumberFormat="1">
      <alignment horizontal="right" readingOrder="0" vertical="center"/>
    </xf>
    <xf borderId="0" fillId="6" fontId="25" numFmtId="164" xfId="0" applyAlignment="1" applyFont="1" applyNumberFormat="1">
      <alignment readingOrder="0"/>
    </xf>
    <xf borderId="0" fillId="3" fontId="26" numFmtId="0" xfId="0" applyAlignment="1" applyFont="1">
      <alignment readingOrder="0"/>
    </xf>
    <xf borderId="1" fillId="3" fontId="2" numFmtId="0" xfId="0" applyAlignment="1" applyBorder="1" applyFont="1">
      <alignment readingOrder="0"/>
    </xf>
    <xf borderId="6" fillId="3" fontId="2" numFmtId="0" xfId="0" applyAlignment="1" applyBorder="1" applyFont="1">
      <alignment horizontal="right" readingOrder="0"/>
    </xf>
    <xf borderId="0" fillId="6" fontId="27" numFmtId="164" xfId="0" applyAlignment="1" applyFont="1" applyNumberFormat="1">
      <alignment readingOrder="0"/>
    </xf>
    <xf borderId="0" fillId="6" fontId="28" numFmtId="164" xfId="0" applyAlignment="1" applyFont="1" applyNumberFormat="1">
      <alignment readingOrder="0" vertical="bottom"/>
    </xf>
    <xf borderId="1" fillId="7" fontId="2" numFmtId="0" xfId="0" applyAlignment="1" applyBorder="1" applyFill="1" applyFont="1">
      <alignment readingOrder="0"/>
    </xf>
    <xf borderId="9" fillId="2" fontId="1" numFmtId="0" xfId="0" applyAlignment="1" applyBorder="1" applyFont="1">
      <alignment readingOrder="0"/>
    </xf>
    <xf borderId="9" fillId="3" fontId="1" numFmtId="3" xfId="0" applyAlignment="1" applyBorder="1" applyFont="1" applyNumberFormat="1">
      <alignment readingOrder="0"/>
    </xf>
    <xf borderId="0" fillId="2" fontId="29" numFmtId="0" xfId="0" applyAlignment="1" applyFont="1">
      <alignment readingOrder="0" shrinkToFit="0" vertical="bottom" wrapText="0"/>
    </xf>
    <xf borderId="14" fillId="2" fontId="2" numFmtId="9" xfId="0" applyAlignment="1" applyBorder="1" applyFont="1" applyNumberFormat="1">
      <alignment shrinkToFit="0" vertical="center" wrapText="1"/>
    </xf>
    <xf borderId="14" fillId="3" fontId="2" numFmtId="9" xfId="0" applyAlignment="1" applyBorder="1" applyFont="1" applyNumberFormat="1">
      <alignment shrinkToFit="0" vertical="center" wrapText="1"/>
    </xf>
    <xf borderId="0" fillId="3" fontId="10" numFmtId="0" xfId="0" applyAlignment="1" applyFont="1">
      <alignment readingOrder="0" shrinkToFit="0" wrapText="1"/>
    </xf>
    <xf borderId="0" fillId="6" fontId="10" numFmtId="0" xfId="0" applyAlignment="1" applyFont="1">
      <alignment readingOrder="0" shrinkToFit="0" wrapText="1"/>
    </xf>
    <xf borderId="14" fillId="3" fontId="4" numFmtId="0" xfId="0" applyAlignment="1" applyBorder="1" applyFont="1">
      <alignment readingOrder="0" shrinkToFit="0" vertical="bottom" wrapText="0"/>
    </xf>
    <xf borderId="14" fillId="2" fontId="4" numFmtId="0" xfId="0" applyAlignment="1" applyBorder="1" applyFont="1">
      <alignment readingOrder="0" shrinkToFit="0" vertical="bottom" wrapText="0"/>
    </xf>
    <xf borderId="14" fillId="6" fontId="10" numFmtId="0" xfId="0" applyAlignment="1" applyBorder="1" applyFont="1">
      <alignment readingOrder="0" shrinkToFit="0" wrapText="1"/>
    </xf>
    <xf borderId="14" fillId="6" fontId="30" numFmtId="0" xfId="0" applyAlignment="1" applyBorder="1" applyFont="1">
      <alignment readingOrder="0" shrinkToFit="0" wrapText="1"/>
    </xf>
    <xf borderId="14" fillId="3" fontId="10" numFmtId="0" xfId="0" applyAlignment="1" applyBorder="1" applyFont="1">
      <alignment readingOrder="0" shrinkToFit="0" wrapText="1"/>
    </xf>
    <xf borderId="14" fillId="3" fontId="30" numFmtId="0" xfId="0" applyAlignment="1" applyBorder="1" applyFont="1">
      <alignment readingOrder="0" shrinkToFit="0" wrapText="1"/>
    </xf>
    <xf borderId="6" fillId="3" fontId="10" numFmtId="0" xfId="0" applyAlignment="1" applyBorder="1" applyFont="1">
      <alignment horizontal="right" readingOrder="0"/>
    </xf>
    <xf borderId="15" fillId="3" fontId="10" numFmtId="165" xfId="0" applyAlignment="1" applyBorder="1" applyFont="1" applyNumberFormat="1">
      <alignment horizontal="right" readingOrder="0" shrinkToFit="0" vertical="bottom" wrapText="0"/>
    </xf>
    <xf borderId="12" fillId="3" fontId="10" numFmtId="164" xfId="0" applyAlignment="1" applyBorder="1" applyFont="1" applyNumberFormat="1">
      <alignment horizontal="right" readingOrder="0" shrinkToFit="0" wrapText="0"/>
    </xf>
    <xf borderId="12" fillId="3" fontId="10" numFmtId="0" xfId="0" applyAlignment="1" applyBorder="1" applyFont="1">
      <alignment horizontal="right" readingOrder="0"/>
    </xf>
    <xf borderId="12" fillId="3" fontId="31" numFmtId="0" xfId="0" applyAlignment="1" applyBorder="1" applyFont="1">
      <alignment readingOrder="0" shrinkToFit="0" vertical="bottom" wrapText="0"/>
    </xf>
    <xf borderId="15" fillId="3" fontId="10" numFmtId="0" xfId="0" applyAlignment="1" applyBorder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13" fillId="3" fontId="1" numFmtId="0" xfId="0" applyBorder="1" applyFont="1"/>
    <xf borderId="0" fillId="3" fontId="1" numFmtId="0" xfId="0" applyFont="1"/>
    <xf borderId="1" fillId="3" fontId="10" numFmtId="0" xfId="0" applyAlignment="1" applyBorder="1" applyFont="1">
      <alignment readingOrder="0" shrinkToFit="0" wrapText="1"/>
    </xf>
    <xf borderId="0" fillId="3" fontId="2" numFmtId="0" xfId="0" applyAlignment="1" applyFont="1">
      <alignment horizontal="right" readingOrder="0" shrinkToFit="0" vertical="bottom" wrapText="0"/>
    </xf>
    <xf borderId="0" fillId="2" fontId="2" numFmtId="0" xfId="0" applyAlignment="1" applyFont="1">
      <alignment horizontal="right" readingOrder="0" shrinkToFit="0" vertical="bottom" wrapText="0"/>
    </xf>
    <xf borderId="1" fillId="6" fontId="2" numFmtId="0" xfId="0" applyAlignment="1" applyBorder="1" applyFont="1">
      <alignment readingOrder="0" shrinkToFit="0" wrapText="1"/>
    </xf>
    <xf borderId="1" fillId="2" fontId="1" numFmtId="0" xfId="0" applyAlignment="1" applyBorder="1" applyFont="1">
      <alignment vertical="bottom"/>
    </xf>
    <xf borderId="6" fillId="2" fontId="1" numFmtId="0" xfId="0" applyAlignment="1" applyBorder="1" applyFont="1">
      <alignment horizontal="right" shrinkToFit="0" wrapText="1"/>
    </xf>
    <xf borderId="7" fillId="2" fontId="1" numFmtId="165" xfId="0" applyAlignment="1" applyBorder="1" applyFont="1" applyNumberFormat="1">
      <alignment horizontal="right" vertical="bottom"/>
    </xf>
    <xf borderId="1" fillId="2" fontId="1" numFmtId="164" xfId="0" applyAlignment="1" applyBorder="1" applyFont="1" applyNumberFormat="1">
      <alignment horizontal="right"/>
    </xf>
    <xf borderId="0" fillId="2" fontId="1" numFmtId="0" xfId="0" applyAlignment="1" applyFont="1">
      <alignment horizontal="right" vertical="bottom"/>
    </xf>
    <xf borderId="1" fillId="2" fontId="1" numFmtId="0" xfId="0" applyAlignment="1" applyBorder="1" applyFont="1">
      <alignment horizontal="right" shrinkToFit="0" wrapText="1"/>
    </xf>
    <xf borderId="1" fillId="2" fontId="32" numFmtId="0" xfId="0" applyAlignment="1" applyBorder="1" applyFont="1">
      <alignment shrinkToFit="0" vertical="bottom" wrapText="1"/>
    </xf>
    <xf borderId="1" fillId="3" fontId="2" numFmtId="0" xfId="0" applyAlignment="1" applyBorder="1" applyFont="1">
      <alignment readingOrder="0" shrinkToFit="0" vertical="bottom" wrapText="0"/>
    </xf>
    <xf borderId="1" fillId="6" fontId="2" numFmtId="0" xfId="0" applyAlignment="1" applyBorder="1" applyFont="1">
      <alignment readingOrder="0" vertical="bottom"/>
    </xf>
    <xf borderId="6" fillId="3" fontId="2" numFmtId="0" xfId="0" applyAlignment="1" applyBorder="1" applyFont="1">
      <alignment horizontal="right" readingOrder="0" shrinkToFit="0" vertical="bottom" wrapText="0"/>
    </xf>
    <xf borderId="1" fillId="6" fontId="2" numFmtId="0" xfId="0" applyAlignment="1" applyBorder="1" applyFont="1">
      <alignment readingOrder="0" shrinkToFit="0" vertical="bottom" wrapText="0"/>
    </xf>
    <xf borderId="15" fillId="3" fontId="2" numFmtId="165" xfId="0" applyAlignment="1" applyBorder="1" applyFont="1" applyNumberFormat="1">
      <alignment shrinkToFit="0" vertical="bottom" wrapText="0"/>
    </xf>
    <xf borderId="12" fillId="3" fontId="2" numFmtId="164" xfId="0" applyAlignment="1" applyBorder="1" applyFont="1" applyNumberFormat="1">
      <alignment horizontal="right" readingOrder="0" shrinkToFit="0" wrapText="0"/>
    </xf>
    <xf borderId="12" fillId="3" fontId="2" numFmtId="0" xfId="0" applyAlignment="1" applyBorder="1" applyFont="1">
      <alignment horizontal="right" readingOrder="0" shrinkToFit="0" vertical="bottom" wrapText="0"/>
    </xf>
    <xf borderId="1" fillId="3" fontId="1" numFmtId="0" xfId="0" applyAlignment="1" applyBorder="1" applyFont="1">
      <alignment horizontal="right" shrinkToFit="0" wrapText="1"/>
    </xf>
    <xf borderId="12" fillId="3" fontId="33" numFmtId="0" xfId="0" applyAlignment="1" applyBorder="1" applyFont="1">
      <alignment readingOrder="0" shrinkToFit="0" vertical="bottom" wrapText="0"/>
    </xf>
    <xf borderId="1" fillId="6" fontId="2" numFmtId="0" xfId="0" applyAlignment="1" applyBorder="1" applyFont="1">
      <alignment readingOrder="0"/>
    </xf>
    <xf borderId="6" fillId="6" fontId="2" numFmtId="0" xfId="0" applyAlignment="1" applyBorder="1" applyFont="1">
      <alignment horizontal="right" readingOrder="0" shrinkToFit="0" vertical="bottom" wrapText="0"/>
    </xf>
    <xf borderId="15" fillId="6" fontId="2" numFmtId="165" xfId="0" applyAlignment="1" applyBorder="1" applyFont="1" applyNumberFormat="1">
      <alignment shrinkToFit="0" vertical="bottom" wrapText="0"/>
    </xf>
    <xf borderId="12" fillId="6" fontId="2" numFmtId="164" xfId="0" applyAlignment="1" applyBorder="1" applyFont="1" applyNumberFormat="1">
      <alignment horizontal="right" readingOrder="0" shrinkToFit="0" wrapText="0"/>
    </xf>
    <xf borderId="12" fillId="6" fontId="2" numFmtId="0" xfId="0" applyAlignment="1" applyBorder="1" applyFont="1">
      <alignment horizontal="right" readingOrder="0" shrinkToFit="0" vertical="bottom" wrapText="0"/>
    </xf>
    <xf borderId="12" fillId="6" fontId="2" numFmtId="0" xfId="0" applyAlignment="1" applyBorder="1" applyFont="1">
      <alignment readingOrder="0" shrinkToFit="0" vertical="bottom" wrapText="0"/>
    </xf>
    <xf borderId="12" fillId="6" fontId="34" numFmtId="0" xfId="0" applyAlignment="1" applyBorder="1" applyFont="1">
      <alignment readingOrder="0" shrinkToFit="0" vertical="bottom" wrapText="0"/>
    </xf>
    <xf borderId="12" fillId="3" fontId="2" numFmtId="0" xfId="0" applyAlignment="1" applyBorder="1" applyFont="1">
      <alignment readingOrder="0" shrinkToFit="0" vertical="bottom" wrapText="0"/>
    </xf>
    <xf borderId="12" fillId="3" fontId="35" numFmtId="0" xfId="0" applyAlignment="1" applyBorder="1" applyFont="1">
      <alignment readingOrder="0" shrinkToFit="0" vertical="bottom" wrapText="0"/>
    </xf>
    <xf borderId="12" fillId="6" fontId="35" numFmtId="0" xfId="0" applyAlignment="1" applyBorder="1" applyFont="1">
      <alignment readingOrder="0" shrinkToFit="0" vertical="bottom" wrapText="0"/>
    </xf>
    <xf borderId="6" fillId="8" fontId="36" numFmtId="0" xfId="0" applyAlignment="1" applyBorder="1" applyFill="1" applyFont="1">
      <alignment horizontal="right" readingOrder="0"/>
    </xf>
    <xf borderId="12" fillId="3" fontId="2" numFmtId="164" xfId="0" applyAlignment="1" applyBorder="1" applyFont="1" applyNumberFormat="1">
      <alignment horizontal="right" readingOrder="0" shrinkToFit="0" vertical="bottom" wrapText="0"/>
    </xf>
    <xf borderId="12" fillId="6" fontId="2" numFmtId="164" xfId="0" applyAlignment="1" applyBorder="1" applyFont="1" applyNumberFormat="1">
      <alignment horizontal="right" readingOrder="0" shrinkToFit="0" vertical="bottom" wrapText="0"/>
    </xf>
    <xf borderId="12" fillId="6" fontId="37" numFmtId="0" xfId="0" applyAlignment="1" applyBorder="1" applyFont="1">
      <alignment readingOrder="0" shrinkToFit="0" vertical="bottom" wrapText="0"/>
    </xf>
    <xf borderId="12" fillId="3" fontId="38" numFmtId="0" xfId="0" applyAlignment="1" applyBorder="1" applyFont="1">
      <alignment readingOrder="0" shrinkToFit="0" vertical="bottom" wrapText="0"/>
    </xf>
    <xf borderId="0" fillId="3" fontId="39" numFmtId="0" xfId="0" applyAlignment="1" applyFont="1">
      <alignment readingOrder="0" shrinkToFit="0" vertical="bottom" wrapText="0"/>
    </xf>
    <xf borderId="6" fillId="3" fontId="2" numFmtId="0" xfId="0" applyAlignment="1" applyBorder="1" applyFont="1">
      <alignment horizontal="right" readingOrder="0"/>
    </xf>
    <xf borderId="6" fillId="6" fontId="2" numFmtId="0" xfId="0" applyAlignment="1" applyBorder="1" applyFont="1">
      <alignment horizontal="right" readingOrder="0"/>
    </xf>
    <xf borderId="0" fillId="6" fontId="40" numFmtId="0" xfId="0" applyAlignment="1" applyFont="1">
      <alignment readingOrder="0" shrinkToFit="0" vertical="bottom" wrapText="0"/>
    </xf>
    <xf borderId="0" fillId="6" fontId="2" numFmtId="0" xfId="0" applyAlignment="1" applyFont="1">
      <alignment readingOrder="0" shrinkToFit="0" vertical="bottom" wrapText="0"/>
    </xf>
    <xf borderId="12" fillId="3" fontId="41" numFmtId="0" xfId="0" applyAlignment="1" applyBorder="1" applyFont="1">
      <alignment readingOrder="0" shrinkToFit="0" vertical="bottom" wrapText="0"/>
    </xf>
    <xf borderId="15" fillId="3" fontId="2" numFmtId="166" xfId="0" applyAlignment="1" applyBorder="1" applyFont="1" applyNumberFormat="1">
      <alignment horizontal="right" readingOrder="0" shrinkToFit="0" vertical="bottom" wrapText="0"/>
    </xf>
    <xf borderId="15" fillId="6" fontId="2" numFmtId="166" xfId="0" applyAlignment="1" applyBorder="1" applyFont="1" applyNumberFormat="1">
      <alignment horizontal="right" readingOrder="0" shrinkToFit="0" vertical="bottom" wrapText="0"/>
    </xf>
    <xf borderId="12" fillId="3" fontId="2" numFmtId="0" xfId="0" applyAlignment="1" applyBorder="1" applyFont="1">
      <alignment shrinkToFit="0" vertical="bottom" wrapText="0"/>
    </xf>
    <xf borderId="12" fillId="6" fontId="2" numFmtId="0" xfId="0" applyAlignment="1" applyBorder="1" applyFont="1">
      <alignment shrinkToFit="0" vertical="bottom" wrapText="0"/>
    </xf>
    <xf borderId="6" fillId="8" fontId="36" numFmtId="0" xfId="0" applyAlignment="1" applyBorder="1" applyFont="1">
      <alignment horizontal="right" readingOrder="0" shrinkToFit="0" vertical="bottom" wrapText="0"/>
    </xf>
    <xf borderId="0" fillId="2" fontId="42" numFmtId="0" xfId="0" applyFont="1"/>
    <xf borderId="6" fillId="8" fontId="36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/>
    </xf>
    <xf borderId="0" fillId="3" fontId="2" numFmtId="0" xfId="0" applyAlignment="1" applyFont="1">
      <alignment readingOrder="0" shrinkToFit="0" vertical="bottom" wrapText="0"/>
    </xf>
    <xf borderId="0" fillId="8" fontId="36" numFmtId="0" xfId="0" applyAlignment="1" applyFont="1">
      <alignment readingOrder="0" shrinkToFit="0" vertical="bottom" wrapText="0"/>
    </xf>
    <xf borderId="0" fillId="3" fontId="2" numFmtId="165" xfId="0" applyAlignment="1" applyFont="1" applyNumberFormat="1">
      <alignment shrinkToFit="0" vertical="bottom" wrapText="0"/>
    </xf>
    <xf borderId="0" fillId="3" fontId="2" numFmtId="164" xfId="0" applyAlignment="1" applyFont="1" applyNumberFormat="1">
      <alignment horizontal="right" readingOrder="0" shrinkToFit="0" vertical="bottom" wrapText="0"/>
    </xf>
    <xf borderId="0" fillId="3" fontId="1" numFmtId="9" xfId="0" applyAlignment="1" applyFont="1" applyNumberFormat="1">
      <alignment horizontal="right" vertical="center"/>
    </xf>
    <xf borderId="0" fillId="3" fontId="1" numFmtId="0" xfId="0" applyAlignment="1" applyFont="1">
      <alignment horizontal="right" shrinkToFit="0" wrapText="1"/>
    </xf>
    <xf borderId="0" fillId="3" fontId="1" numFmtId="0" xfId="0" applyAlignment="1" applyFont="1">
      <alignment horizontal="right" shrinkToFit="0" vertical="center" wrapText="1"/>
    </xf>
    <xf borderId="0" fillId="3" fontId="1" numFmtId="165" xfId="0" applyAlignment="1" applyFont="1" applyNumberFormat="1">
      <alignment horizontal="right" shrinkToFit="0" vertical="center" wrapText="1"/>
    </xf>
    <xf borderId="0" fillId="3" fontId="2" numFmtId="165" xfId="0" applyAlignment="1" applyFont="1" applyNumberFormat="1">
      <alignment horizontal="right" readingOrder="0" shrinkToFit="0" vertical="bottom" wrapText="0"/>
    </xf>
    <xf borderId="0" fillId="3" fontId="1" numFmtId="0" xfId="0" applyAlignment="1" applyFont="1">
      <alignment shrinkToFit="0" wrapText="1"/>
    </xf>
    <xf borderId="0" fillId="0" fontId="43" numFmtId="0" xfId="0" applyAlignment="1" applyFont="1">
      <alignment horizontal="left" vertical="center"/>
    </xf>
    <xf borderId="0" fillId="0" fontId="43" numFmtId="10" xfId="0" applyAlignment="1" applyFont="1" applyNumberFormat="1">
      <alignment horizontal="left" vertical="center"/>
    </xf>
    <xf borderId="0" fillId="0" fontId="44" numFmtId="0" xfId="0" applyAlignment="1" applyFont="1">
      <alignment shrinkToFit="0" vertical="center" wrapText="1"/>
    </xf>
    <xf borderId="0" fillId="0" fontId="43" numFmtId="9" xfId="0" applyAlignment="1" applyFont="1" applyNumberFormat="1">
      <alignment horizontal="left" vertical="center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dentalmedsul.com.br/peca-de-mao-reta-rx1---gnatus/p?idsku=12108&amp;gad_source=4&amp;gad_campaignid=20898675974&amp;gbraid=0AAAAAoakH06Xpcob7hfL59iVXnmwCq-S-&amp;gclid=Cj0KCQiA6NTJBhDEARIsAB7QHD2Cvsp7_Y0d0ueLGFibeGaxioe7IQMkYfq4HKUi8k3AQ8QLtggKsmMaArGfEALw_wcB" TargetMode="External"/><Relationship Id="rId194" Type="http://schemas.openxmlformats.org/officeDocument/2006/relationships/hyperlink" Target="https://www.mercadolivre.com.br/lixeira-inox-12-litros-com-pedal-e-cesto-removivel/p/MLB22365996?pdp_filters=item_id%3AMLB3949424089&amp;from=gshop&amp;matt_tool=13891073&amp;matt_internal_campaign_id=&amp;matt_word=&amp;matt_source=google&amp;matt_campaign_id=22090193717&amp;matt_ad_group_id=174661960724&amp;matt_match_type=&amp;matt_network=g&amp;matt_device=c&amp;matt_creative=727914179434&amp;matt_keyword=&amp;matt_ad_position=&amp;matt_ad_type=pla&amp;matt_merchant_id=735128761&amp;matt_product_id=MLB22365996-product&amp;matt_product_partition_id=2392714357581&amp;matt_target_id=aud-1966857867496:pla-2392714357581&amp;cq_src=google_ads&amp;cq_cmp=22090193717&amp;cq_net=g&amp;cq_plt=gp&amp;cq_med=pla&amp;gad_source=4&amp;gad_campaignid=22090193717&amp;gbraid=0AAAAAD93qcCZi2M97XkhXSpvQf1LuDWCV&amp;gclid=Cj0KCQiAi9rJBhCYARIsALyPDtsC6jaHpmVp-GfhqiA98N6nSuDYCkJyXgOP9jyZqpZBbKIzWLlGZ5waAg3qEALw_wcB" TargetMode="External"/><Relationship Id="rId193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192" Type="http://schemas.openxmlformats.org/officeDocument/2006/relationships/hyperlink" Target="https://www.dentalspeed.com/ultrassom-jet-sonic-bp-bivolt-gnatus.html?srsltid=AfmBOoqm4PiovmI0jqWpNkLzKzinJYwsyj9r2QpmXyDg092Xwc4-k5pb8Lw" TargetMode="External"/><Relationship Id="rId191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187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186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185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184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189" Type="http://schemas.openxmlformats.org/officeDocument/2006/relationships/hyperlink" Target="https://www.mercadolivre.com.br/negatoscopio-slim-led-telerradiografico-biotron/p/MLB27238770?pdp_filters=item_id:MLB3562634321&amp;matt_tool=63454239&amp;matt_internal_campaign_id=228483048&amp;matt_word=&amp;matt_source=google&amp;matt_campaign_id=22060114741&amp;matt_ad_group_id=182368294722&amp;matt_match_type=&amp;matt_network=g&amp;matt_device=c&amp;matt_creative=757618488415&amp;matt_keyword=&amp;matt_ad_position=&amp;matt_ad_type=pla&amp;matt_merchant_id=293183437&amp;matt_product_id=MLB3562634321&amp;matt_product_partition_id=1467388425520&amp;matt_target_id=pla-1467388425520&amp;cq_src=google_ads&amp;cq_cmp=22060114741&amp;cq_net=g&amp;cq_plt=gp&amp;cq_med=pla&amp;gad_source=1&amp;gad_campaignid=22060114741&amp;gbraid=0AAAAAD93qcCRjOz_4URriztmPHOpMDFCE&amp;gclid=Cj0KCQiAi9rJBhCYARIsALyPDttrrv-IWJfqrmhqPgepoQimcjFskWSOnkmsdWk6aH0uXFu_6lTTsBgaAiw5EALw_wcB" TargetMode="External"/><Relationship Id="rId188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183" Type="http://schemas.openxmlformats.org/officeDocument/2006/relationships/hyperlink" Target="https://www.amazon.com.br/Escrit%C3%B3rio-Presidente-Ergon%C3%B4mica-Resist%C3%AAncia-Profissional/dp/B0F8RC7KLN/ref=asc_df_B0F8RC7KLN?mcid=a485c1842d3a3cf4989d6e9168d52d9a&amp;tag=googleshopp00-20&amp;linkCode=df0&amp;hvadid=709968340957&amp;hvpos=&amp;hvnetw=g&amp;hvrand=101708620504331131&amp;hvpone=&amp;hvptwo=&amp;hvqmt=&amp;hvdev=c&amp;hvdvcmdl=&amp;hvlocint=&amp;hvlocphy=1031867&amp;hvtargid=pla-2427320754138&amp;psc=1&amp;language=pt_BR&amp;gad_source=4" TargetMode="External"/><Relationship Id="rId182" Type="http://schemas.openxmlformats.org/officeDocument/2006/relationships/hyperlink" Target="https://www.amazon.com.br/Fratini-1-00290-01-0002-Cadeira-California-Preto/dp/B0BCB383NK/ref=asc_df_B0BCB383NK?mcid=2180d0a58d9e3689a167e4fa624a119b&amp;tag=googleshopp00-20&amp;linkCode=df0&amp;hvadid=709968340984&amp;hvpos=&amp;hvnetw=g&amp;hvrand=16007197990615342300&amp;hvpone=&amp;hvptwo=&amp;hvqmt=&amp;hvdev=c&amp;hvdvcmdl=&amp;hvlocint=&amp;hvlocphy=1031867&amp;hvtargid=pla-2316557186554&amp;language=pt_BR&amp;gad_source=1&amp;th=1" TargetMode="External"/><Relationship Id="rId181" Type="http://schemas.openxmlformats.org/officeDocument/2006/relationships/hyperlink" Target="https://www.amazon.com.br/Escrit%C3%B3rio-Presidente-Ergon%C3%B4mica-Resist%C3%AAncia-Profissional/dp/B0F8RC7KLN/ref=asc_df_B0F8RC7KLN?mcid=a485c1842d3a3cf4989d6e9168d52d9a&amp;tag=googleshopp00-20&amp;linkCode=df0&amp;hvadid=709968340957&amp;hvpos=&amp;hvnetw=g&amp;hvrand=101708620504331131&amp;hvpone=&amp;hvptwo=&amp;hvqmt=&amp;hvdev=c&amp;hvdvcmdl=&amp;hvlocint=&amp;hvlocphy=1031867&amp;hvtargid=pla-2427320754138&amp;psc=1&amp;language=pt_BR&amp;gad_source=4" TargetMode="External"/><Relationship Id="rId180" Type="http://schemas.openxmlformats.org/officeDocument/2006/relationships/hyperlink" Target="https://www.amazon.com.br/Neurodyn-TENS-Burst-Ibramed-Eletrodos/dp/B0BZ22VL7J/ref=asc_df_B0BZ22VL7J?mcid=0987714d132236c5b1e82b0aa0de6a68&amp;tag=googleshopp00-20&amp;linkCode=df0&amp;hvadid=709857204945&amp;hvpos=&amp;hvnetw=g&amp;hvrand=13020077084912439317&amp;hvpone=&amp;hvptwo=&amp;hvqmt=&amp;hvdev=c&amp;hvdvcmdl=&amp;hvlocint=&amp;hvlocphy=1031867&amp;hvtargid=pla-2204973041701&amp;psc=1&amp;language=pt_BR&amp;gad_source=1" TargetMode="External"/><Relationship Id="rId176" Type="http://schemas.openxmlformats.org/officeDocument/2006/relationships/hyperlink" Target="https://produto.mercadolivre.com.br/MLB-4600764984-cadeira-de-banho-higienica-aluminio-dobravel-140kg-supermedy-_JM" TargetMode="External"/><Relationship Id="rId175" Type="http://schemas.openxmlformats.org/officeDocument/2006/relationships/hyperlink" Target="https://produto.mercadolivre.com.br/MLB-4600764984-cadeira-de-banho-higienica-aluminio-dobravel-140kg-supermedy-_JM" TargetMode="External"/><Relationship Id="rId174" Type="http://schemas.openxmlformats.org/officeDocument/2006/relationships/hyperlink" Target="https://produto.mercadolivre.com.br/MLB-4600764984-cadeira-de-banho-higienica-aluminio-dobravel-140kg-supermedy-_JM" TargetMode="External"/><Relationship Id="rId173" Type="http://schemas.openxmlformats.org/officeDocument/2006/relationships/hyperlink" Target="https://www.bcmed.com.br/aplicador-probe-p4-808-nm-caneta-de-laser-para-aparelho-laserpulse-ibramed?gad_source=4&amp;gad_campaignid=20698923569&amp;gbraid=0AAAAADvQY5GfbTDcswgz-i2qTPhXF_zzp&amp;gclid=CjwKCAiA3fnJBhAgEiwAyqmY5RlhJERISTFIDiY4smscdw-ZLO9r4No1BceJOKpSgFQs2jgjtDij1RoCLEAQAvD_BwE" TargetMode="External"/><Relationship Id="rId179" Type="http://schemas.openxmlformats.org/officeDocument/2006/relationships/hyperlink" Target="https://www.amazon.com.br/Neurodyn-TENS-Burst-Ibramed-Eletrodos/dp/B0BZ22VL7J/ref=asc_df_B0BZ22VL7J?mcid=0987714d132236c5b1e82b0aa0de6a68&amp;tag=googleshopp00-20&amp;linkCode=df0&amp;hvadid=709857204945&amp;hvpos=&amp;hvnetw=g&amp;hvrand=13020077084912439317&amp;hvpone=&amp;hvptwo=&amp;hvqmt=&amp;hvdev=c&amp;hvdvcmdl=&amp;hvlocint=&amp;hvlocphy=1031867&amp;hvtargid=pla-2204973041701&amp;psc=1&amp;language=pt_BR&amp;gad_source=1" TargetMode="External"/><Relationship Id="rId178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177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198" Type="http://schemas.openxmlformats.org/officeDocument/2006/relationships/hyperlink" Target="https://www.odontoatual.com.br/equipamentos-protese/amalgamador-vibramat-capsular-speed-ii-schuster?parceiro=5577&amp;srsltid=AfmBOorP6XgvlePK0F8cWmpIkVxuZBHA7l-QfRVJdcmUvTKa7neNWiLBtJ4" TargetMode="External"/><Relationship Id="rId197" Type="http://schemas.openxmlformats.org/officeDocument/2006/relationships/hyperlink" Target="https://www.amazon.com.br/Balc%C3%A3o-Cozinha-Portas-Gavetas-Itatiaia/dp/B07NQHQHLL?source=ps-sl-shoppingads-lpcontext&amp;ref_=fplfs&amp;psc=1&amp;smid=AFBHDRJPRDZPC" TargetMode="External"/><Relationship Id="rId196" Type="http://schemas.openxmlformats.org/officeDocument/2006/relationships/hyperlink" Target="https://www.mercadolivre.com.br/seladora-para-sacos-plasticos-bivolt-sela-e-corta-manual-50cm-isamaq/p/MLB23509173?pdp_filters=item_id%3AMLB3632395051&amp;from=gshop&amp;matt_tool=14476645&amp;matt_internal_campaign_id=&amp;matt_word=&amp;matt_source=google&amp;matt_campaign_id=22090193660&amp;matt_ad_group_id=174661938604&amp;matt_match_type=&amp;matt_network=g&amp;matt_device=c&amp;matt_creative=727914178000&amp;matt_keyword=&amp;matt_ad_position=&amp;matt_ad_type=pla&amp;matt_merchant_id=735128188&amp;matt_product_id=MLB23509173-product&amp;matt_product_partition_id=2388008875826&amp;matt_target_id=aud-1966857867496:pla-2388008875826&amp;cq_src=google_ads&amp;cq_cmp=22090193660&amp;cq_net=g&amp;cq_plt=gp&amp;cq_med=pla&amp;gad_source=4&amp;gad_campaignid=22090193660&amp;gbraid=0AAAAAD93qcD9KtXp-azOx1B2uCik1TQCB&amp;gclid=Cj0KCQiAi9rJBhCYARIsALyPDtszvdZGK_AfH0jjhIAM4KFmWPB_wQKMHLYQFHHUUXAnNNKb27Ak_bYaAj-gEALw_wcB" TargetMode="External"/><Relationship Id="rId195" Type="http://schemas.openxmlformats.org/officeDocument/2006/relationships/hyperlink" Target="https://www.amazon.com.br/Balc%C3%A3o-Cozinha-Portas-Gavetas-Itatiaia/dp/B07NQHQHLL?source=ps-sl-shoppingads-lpcontext&amp;ref_=fplfs&amp;psc=1&amp;smid=AFBHDRJPRDZPC" TargetMode="External"/><Relationship Id="rId199" Type="http://schemas.openxmlformats.org/officeDocument/2006/relationships/hyperlink" Target="https://www.mercadolivre.com.br/camara-escura-branca-com-iluminacao-gold-line-vh/up/MLBU1116939201" TargetMode="External"/><Relationship Id="rId150" Type="http://schemas.openxmlformats.org/officeDocument/2006/relationships/hyperlink" Target="https://www.mercadolivre.com.br/mesa-retangular-pe-aco-120x60-pescritorio-cor-cinza/up/MLBU1441719012?pdp_filters=item_id:MLB3074722367&amp;matt_tool=40300352&amp;matt_internal_campaign_id=&amp;matt_word=&amp;matt_source=google&amp;matt_campaign_id=22090354013&amp;matt_ad_group_id=191786746761&amp;matt_match_type=&amp;matt_network=g&amp;matt_device=c&amp;matt_creative=782869960688&amp;matt_keyword=&amp;matt_ad_position=&amp;matt_ad_type=pla&amp;matt_merchant_id=124623750&amp;matt_product_id=MLB3074722367&amp;matt_product_partition_id=2388364059839&amp;matt_target_id=aud-1966857867496:pla-2388364059839&amp;cq_src=google_ads&amp;cq_cmp=22090354013&amp;cq_net=g&amp;cq_plt=gp&amp;cq_med=pla&amp;gad_source=4&amp;gad_campaignid=22090354013&amp;gbraid=0AAAAAD93qcCQJU46mzvrnA0nknvansqw8&amp;gclid=CjwKCAiAxc_JBhA2EiwAFVs7XNcdh2yv4PWinqSs2ZLtMIZOhTQT0af7kQcN1B0uxIkKOEU_hdDsTRoCkg4QAvD_BwE" TargetMode="External"/><Relationship Id="rId392" Type="http://schemas.openxmlformats.org/officeDocument/2006/relationships/hyperlink" Target="https://www.dentalmedsul.com.br/peca-de-mao-reta-rx1---gnatus/p?idsku=12108&amp;gad_source=4&amp;gad_campaignid=20898675974&amp;gbraid=0AAAAAoakH06Xpcob7hfL59iVXnmwCq-S-&amp;gclid=Cj0KCQiA6NTJBhDEARIsAB7QHD2Cvsp7_Y0d0ueLGFibeGaxioe7IQMkYfq4HKUi8k3AQ8QLtggKsmMaArGfEALw_wcB" TargetMode="External"/><Relationship Id="rId391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390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1" Type="http://schemas.openxmlformats.org/officeDocument/2006/relationships/hyperlink" Target="https://www.potencialcirurgica.com.br/www-potencialcirurgica-com-br/moveis-para-hospital/banco-giratorio-totalmente-inox/produto/665/42947?parceiro=1&amp;gad_source=1&amp;gad_campaignid=23296190525&amp;gbraid=0AAAABAjB6gvTIO6rXwbFimMAiB-buddqQ&amp;gclid=CjwKCAiA3fnJBhAgEiwAyqmY5Xb54_DDivSiEuqAGKXwvgzx2NM5FYtJwqeDev5iEZW5NBqExHszjRoCc1oQAvD_BwE" TargetMode="External"/><Relationship Id="rId2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3" Type="http://schemas.openxmlformats.org/officeDocument/2006/relationships/hyperlink" Target="https://www.mercadolivre.com.br/armario-aereo-celeste-kappesberg-100-mdf-2-pts-branco-80cm/p/MLB44643266?pdp_filters=item_id%3AMLB3930791057&amp;from=gshop&amp;matt_tool=17968208&amp;matt_word=&amp;matt_source=google&amp;matt_campaign_id=23440873647&amp;matt_ad_group_id=197094178491&amp;matt_match_type=&amp;matt_network=g&amp;matt_device=c&amp;matt_creative=792396422539&amp;matt_keyword=&amp;matt_ad_position=&amp;matt_ad_type=pla&amp;matt_merchant_id=735125422&amp;matt_product_id=MLB44643266-product&amp;matt_product_partition_id=2392712829741&amp;matt_target_id=pla-2392712829741&amp;cq_src=google_ads&amp;cq_cmp=23440873647&amp;cq_net=g&amp;cq_plt=gp&amp;cq_med=pla&amp;gad_source=4&amp;gad_campaignid=23440873647&amp;gbraid=0AAAAAD93qcCCXpt-I5tesTAcOaYd462gM&amp;gclid=Cj0KCQiA5I_NBhDVARIsAOrqIsZWsIlhAGdgns87GMfQ-4qKnJwz3tgdkSP7IwmKiRkkhb8ScrAw-vgaAkvWEALw_wcB" TargetMode="External"/><Relationship Id="rId149" Type="http://schemas.openxmlformats.org/officeDocument/2006/relationships/hyperlink" Target="https://www.amazon.com.br/Escrit%C3%B3rio-Presidente-Ergon%C3%B4mica-Resist%C3%AAncia-Profissional/dp/B0F8RC7KLN/ref=asc_df_B0F8RC7KLN?mcid=a485c1842d3a3cf4989d6e9168d52d9a&amp;tag=googleshopp00-20&amp;linkCode=df0&amp;hvadid=709968340957&amp;hvpos=&amp;hvnetw=g&amp;hvrand=101708620504331131&amp;hvpone=&amp;hvptwo=&amp;hvqmt=&amp;hvdev=c&amp;hvdvcmdl=&amp;hvlocint=&amp;hvlocphy=1031867&amp;hvtargid=pla-2427320754138&amp;psc=1&amp;language=pt_BR&amp;gad_source=4" TargetMode="External"/><Relationship Id="rId4" Type="http://schemas.openxmlformats.org/officeDocument/2006/relationships/hyperlink" Target="https://www.mercadolivre.com.br/armario-aereo-celeste-kappesberg-100-mdf-2-pts-branco-80cm/p/MLB44643266?pdp_filters=item_id%3AMLB3930791057&amp;from=gshop&amp;matt_tool=17968208&amp;matt_word=&amp;matt_source=google&amp;matt_campaign_id=23440873647&amp;matt_ad_group_id=197094178491&amp;matt_match_type=&amp;matt_network=g&amp;matt_device=c&amp;matt_creative=792396422539&amp;matt_keyword=&amp;matt_ad_position=&amp;matt_ad_type=pla&amp;matt_merchant_id=735125422&amp;matt_product_id=MLB44643266-product&amp;matt_product_partition_id=2392712829741&amp;matt_target_id=pla-2392712829741&amp;cq_src=google_ads&amp;cq_cmp=23440873647&amp;cq_net=g&amp;cq_plt=gp&amp;cq_med=pla&amp;gad_source=4&amp;gad_campaignid=23440873647&amp;gbraid=0AAAAAD93qcCCXpt-I5tesTAcOaYd462gM&amp;gclid=Cj0KCQiA5I_NBhDVARIsAOrqIsZWsIlhAGdgns87GMfQ-4qKnJwz3tgdkSP7IwmKiRkkhb8ScrAw-vgaAkvWEALw_wcB" TargetMode="External"/><Relationship Id="rId148" Type="http://schemas.openxmlformats.org/officeDocument/2006/relationships/hyperlink" Target="https://produto.mercadolivre.com.br/MLB-1868011282-longarina-secretaria-3-lugares-tecido-preto-_JM?matt_tool=40300352&amp;matt_internal_campaign_id=&amp;matt_word=&amp;matt_source=google&amp;matt_campaign_id=22090354013&amp;matt_ad_group_id=173090510316&amp;matt_match_type=&amp;matt_network=g&amp;matt_device=c&amp;matt_creative=727882726008&amp;matt_keyword=&amp;matt_ad_position=&amp;matt_ad_type=pla&amp;matt_merchant_id=5595884621&amp;matt_product_id=MLB1868011282&amp;matt_product_partition_id=2417611461724&amp;matt_target_id=aud-1967156880386:pla-2417611461724&amp;cq_src=google_ads&amp;cq_cmp=22090354013&amp;cq_net=g&amp;cq_plt=gp&amp;cq_med=pla&amp;gad_source=4&amp;gad_campaignid=22090354013&amp;gbraid=0AAAAAD93qcA9lVwYr2GhcfGo4slsbCt6u&amp;gclid=Cj0KCQiAi9rJBhCYARIsALyPDttOqvhbaXOEey8u7n_c73P2x2XhVK57oD0gAJcwSvkyHZKLLGOg3fEaArT6EALw_wcB" TargetMode="External"/><Relationship Id="rId9" Type="http://schemas.openxmlformats.org/officeDocument/2006/relationships/hyperlink" Target="https://www.amazon.com.br/Bancada-Balc%C3%A3o-Cozinha-Multim%C3%B3veis-Mp2144/dp/B0F1G5GB7V/ref=asc_df_B0F1G5GB7V?mcid=4f3a7049b15136cfa84cf19091fb5e2a&amp;tag=googleshopp00-20&amp;linkCode=df0&amp;hvadid=709968340942&amp;hvpos=&amp;hvnetw=g&amp;hvrand=14646033308021272122&amp;hvpone=&amp;hvptwo=&amp;hvqmt=&amp;hvdev=c&amp;hvdvcmdl=&amp;hvlocint=&amp;hvlocphy=9101878&amp;hvtargid=pla-2420898548059&amp;language=pt_BR&amp;gad_source=4&amp;th=1" TargetMode="External"/><Relationship Id="rId143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385" Type="http://schemas.openxmlformats.org/officeDocument/2006/relationships/hyperlink" Target="https://www.mercadolivre.com.br/armario-elite-aco-ea301-fechadura-4-prateleiras-cor-cinza/p/MLB24144090?pdp_filters=item_id%3AMLB4381888285&amp;from=gshop&amp;matt_tool=87728839&amp;matt_internal_campaign_id=&amp;matt_word=&amp;matt_source=google&amp;matt_campaign_id=22090193711&amp;matt_ad_group_id=174661960004&amp;matt_match_type=&amp;matt_network=g&amp;matt_device=c&amp;matt_creative=727914179275&amp;matt_keyword=&amp;matt_ad_position=&amp;matt_ad_type=pla&amp;matt_merchant_id=735128188&amp;matt_product_id=MLB24144090-product&amp;matt_product_partition_id=2390284843104&amp;matt_target_id=pla-2390284843104&amp;cq_src=google_ads&amp;cq_cmp=22090193711&amp;cq_net=g&amp;cq_plt=gp&amp;cq_med=pla&amp;gad_source=1&amp;gad_campaignid=22090193711&amp;gbraid=0AAAAAD93qcCTS6pNN-QDflnCpgv_38i7p&amp;gclid=Cj0KCQiA5I_NBhDVARIsAOrqIsYjuexnteV4wdQREwGArOJDQuf9OVNNlRV-X2ifNTHoL_4BvZQI0N0aAv2pEALw_wcB" TargetMode="External"/><Relationship Id="rId142" Type="http://schemas.openxmlformats.org/officeDocument/2006/relationships/hyperlink" Target="https://produto.mercadolivre.com.br/MLB-1868011282-longarina-secretaria-3-lugares-tecido-preto-_JM?matt_tool=40300352&amp;matt_internal_campaign_id=&amp;matt_word=&amp;matt_source=google&amp;matt_campaign_id=22090354013&amp;matt_ad_group_id=173090510316&amp;matt_match_type=&amp;matt_network=g&amp;matt_device=c&amp;matt_creative=727882726008&amp;matt_keyword=&amp;matt_ad_position=&amp;matt_ad_type=pla&amp;matt_merchant_id=5595884621&amp;matt_product_id=MLB1868011282&amp;matt_product_partition_id=2417611461724&amp;matt_target_id=aud-1967156880386:pla-2417611461724&amp;cq_src=google_ads&amp;cq_cmp=22090354013&amp;cq_net=g&amp;cq_plt=gp&amp;cq_med=pla&amp;gad_source=4&amp;gad_campaignid=22090354013&amp;gbraid=0AAAAAD93qcA9lVwYr2GhcfGo4slsbCt6u&amp;gclid=Cj0KCQiAi9rJBhCYARIsALyPDttOqvhbaXOEey8u7n_c73P2x2XhVK57oD0gAJcwSvkyHZKLLGOg3fEaArT6EALw_wcB" TargetMode="External"/><Relationship Id="rId384" Type="http://schemas.openxmlformats.org/officeDocument/2006/relationships/hyperlink" Target="https://www.mercadolivre.com.br/balanca-mecanica-antropometrica-cauduro-160-kg-ler-descricao/up/MLBU3396455532" TargetMode="External"/><Relationship Id="rId141" Type="http://schemas.openxmlformats.org/officeDocument/2006/relationships/hyperlink" Target="https://produto.mercadolivre.com.br/MLB-1868011282-longarina-secretaria-3-lugares-tecido-preto-_JM?matt_tool=40300352&amp;matt_internal_campaign_id=&amp;matt_word=&amp;matt_source=google&amp;matt_campaign_id=22090354013&amp;matt_ad_group_id=173090510316&amp;matt_match_type=&amp;matt_network=g&amp;matt_device=c&amp;matt_creative=727882726008&amp;matt_keyword=&amp;matt_ad_position=&amp;matt_ad_type=pla&amp;matt_merchant_id=5595884621&amp;matt_product_id=MLB1868011282&amp;matt_product_partition_id=2417611461724&amp;matt_target_id=aud-1967156880386:pla-2417611461724&amp;cq_src=google_ads&amp;cq_cmp=22090354013&amp;cq_net=g&amp;cq_plt=gp&amp;cq_med=pla&amp;gad_source=4&amp;gad_campaignid=22090354013&amp;gbraid=0AAAAAD93qcA9lVwYr2GhcfGo4slsbCt6u&amp;gclid=Cj0KCQiAi9rJBhCYARIsALyPDttOqvhbaXOEey8u7n_c73P2x2XhVK57oD0gAJcwSvkyHZKLLGOg3fEaArT6EALw_wcB" TargetMode="External"/><Relationship Id="rId383" Type="http://schemas.openxmlformats.org/officeDocument/2006/relationships/hyperlink" Target="https://www.amazon.com.br/Condicionado-Split-Inverter-Gree-CB574N10500/dp/B081DJWXV3/ref=asc_df_B081DJWXV3?mcid=70bc82aec9013770a2ebe6582e919496&amp;tag=googleshopp00-20&amp;linkCode=df0&amp;hvadid=709968341215&amp;hvpos=&amp;hvnetw=g&amp;hvrand=2634978271170784409&amp;hvpone=&amp;hvptwo=&amp;hvqmt=&amp;hvdev=c&amp;hvdvcmdl=&amp;hvlocint=&amp;hvlocphy=9101878&amp;hvtargid=pla-2329693859238&amp;psc=1&amp;language=pt_BR&amp;gad_source=1" TargetMode="External"/><Relationship Id="rId140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382" Type="http://schemas.openxmlformats.org/officeDocument/2006/relationships/hyperlink" Target="https://www.amazon.com.br/Stalo-4354-CHART-RETRATIL-STALO/dp/B0C1ZMSTZ2/ref=asc_df_B0C1ZMSTZ2?mcid=7908c37de906375292340f8885d99dca&amp;tag=googleshopp00-20&amp;linkCode=df0&amp;hvadid=709856906388&amp;hvpos=&amp;hvnetw=g&amp;hvrand=17084132068670818628&amp;hvpone=&amp;hvptwo=&amp;hvqmt=&amp;hvdev=c&amp;hvdvcmdl=&amp;hvlocint=&amp;hvlocphy=9101878&amp;hvtargid=pla-2320370807166&amp;psc=1&amp;language=pt_BR&amp;gad_source=1" TargetMode="External"/><Relationship Id="rId5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147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389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6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46" Type="http://schemas.openxmlformats.org/officeDocument/2006/relationships/hyperlink" Target="https://www.amazon.com.br/Escrit%C3%B3rio-Presidente-Ergon%C3%B4mica-Resist%C3%AAncia-Profissional/dp/B0F8RC7KLN/ref=asc_df_B0F8RC7KLN?mcid=a485c1842d3a3cf4989d6e9168d52d9a&amp;tag=googleshopp00-20&amp;linkCode=df0&amp;hvadid=709968340957&amp;hvpos=&amp;hvnetw=g&amp;hvrand=101708620504331131&amp;hvpone=&amp;hvptwo=&amp;hvqmt=&amp;hvdev=c&amp;hvdvcmdl=&amp;hvlocint=&amp;hvlocphy=1031867&amp;hvtargid=pla-2427320754138&amp;psc=1&amp;language=pt_BR&amp;gad_source=4" TargetMode="External"/><Relationship Id="rId388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7" Type="http://schemas.openxmlformats.org/officeDocument/2006/relationships/hyperlink" Target="https://www.mercadolivre.com.br/negatoscopio-slim-led-telerradiografico-biotron/p/MLB27238770?pdp_filters=item_id:MLB3562634321&amp;matt_tool=63454239&amp;matt_internal_campaign_id=228483048&amp;matt_word=&amp;matt_source=google&amp;matt_campaign_id=22060114741&amp;matt_ad_group_id=182368294722&amp;matt_match_type=&amp;matt_network=g&amp;matt_device=c&amp;matt_creative=757618488415&amp;matt_keyword=&amp;matt_ad_position=&amp;matt_ad_type=pla&amp;matt_merchant_id=293183437&amp;matt_product_id=MLB3562634321&amp;matt_product_partition_id=1467388425520&amp;matt_target_id=pla-1467388425520&amp;cq_src=google_ads&amp;cq_cmp=22060114741&amp;cq_net=g&amp;cq_plt=gp&amp;cq_med=pla&amp;gad_source=1&amp;gad_campaignid=22060114741&amp;gbraid=0AAAAAD93qcCRjOz_4URriztmPHOpMDFCE&amp;gclid=Cj0KCQiAi9rJBhCYARIsALyPDttrrv-IWJfqrmhqPgepoQimcjFskWSOnkmsdWk6aH0uXFu_6lTTsBgaAiw5EALw_wcB" TargetMode="External"/><Relationship Id="rId145" Type="http://schemas.openxmlformats.org/officeDocument/2006/relationships/hyperlink" Target="https://www.mercadolivre.com.br/suporte-de-soro--aco-carbono/up/MLBU1466637607?matt_tool=18956390&amp;utm_source=google_shopping&amp;utm_medium=organic&amp;pdp_filters=item_id:MLB4362525096" TargetMode="External"/><Relationship Id="rId387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8" Type="http://schemas.openxmlformats.org/officeDocument/2006/relationships/hyperlink" Target="https://www.mercadolivre.com.br/arquivo-de-aco-02-gavetas-pandin-slm--cinza/up/MLBU3243119607?pdp_filters=item_id%3AMLB5444522218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514184223&amp;matt_product_id=MLBU3243119607&amp;matt_product_partition_id=2393015049738&amp;matt_target_id=pla-2393015049738&amp;cq_src=google_ads&amp;cq_cmp=22120855419&amp;cq_net=g&amp;cq_plt=gp&amp;cq_med=pla&amp;gad_source=1&amp;gad_campaignid=22120855419&amp;gbraid=0AAAAAD93qcAhiC-v9o3szSIY7I720Kq2R&amp;gclid=Cj0KCQiA5I_NBhDVARIsAOrqIsYrh8gUfMbpk6_08VWmuvbLKUWYGeW2bcn_-ufoaTSnHC2HEfrGQlwaAqeDEALw_wcB" TargetMode="External"/><Relationship Id="rId144" Type="http://schemas.openxmlformats.org/officeDocument/2006/relationships/hyperlink" Target="https://www.amazon.com.br/REFRIGERADOR-CONSUL-LITROS-BRANCO-CRB36AB/dp/B07JGL1WH8/ref=asc_df_B07JGL1WH8?mcid=b6acd287f9cc37338cef6ba9717830f3&amp;tag=googleshopp00-20&amp;linkCode=df0&amp;hvadid=709884460975&amp;hvpos=&amp;hvnetw=g&amp;hvrand=7931948425802879525&amp;hvpone=&amp;hvptwo=&amp;hvqmt=&amp;hvdev=c&amp;hvdvcmdl=&amp;hvlocint=&amp;hvlocphy=9101878&amp;hvtargid=pla-1095777140872&amp;language=pt_BR&amp;gad_source=1&amp;th=1" TargetMode="External"/><Relationship Id="rId386" Type="http://schemas.openxmlformats.org/officeDocument/2006/relationships/hyperlink" Target="https://www.amazon.com.br/Purificador-%C3%81gua-Gelada-Soft-Prata/dp/B0F9V8Z36B/ref=asc_df_B0F9V8Z36B?mcid=7c4f84ebfefd369dbee29ed96e53ece0&amp;tag=googleshopp00-20&amp;linkCode=df0&amp;hvadid=759181789176&amp;hvpos=&amp;hvnetw=g&amp;hvrand=14913152665125693424&amp;hvpone=&amp;hvptwo=&amp;hvqmt=&amp;hvdev=c&amp;hvdvcmdl=&amp;hvlocint=&amp;hvlocphy=9101877&amp;hvtargid=pla-2433033026796&amp;psc=1&amp;language=pt_BR&amp;gad_source=1" TargetMode="External"/><Relationship Id="rId381" Type="http://schemas.openxmlformats.org/officeDocument/2006/relationships/hyperlink" Target="https://www.mercadolivre.com.br/ventilador-de-parede-ventisol-oscilante-60cm-preto/p/MLB26693921?pdp_filters=item_id%3AMLB3637158333&amp;from=gshop&amp;matt_tool=41464869&amp;matt_internal_campaign_id=&amp;matt_word=&amp;matt_source=google&amp;matt_campaign_id=22090193738&amp;matt_ad_group_id=194474624594&amp;matt_match_type=&amp;matt_network=g&amp;matt_device=c&amp;matt_creative=792355615395&amp;matt_keyword=&amp;matt_ad_position=&amp;matt_ad_type=pla&amp;matt_merchant_id=735128761&amp;matt_product_id=MLB26693921-product&amp;matt_product_partition_id=2452779452302&amp;matt_target_id=pla-2452779452302&amp;cq_src=google_ads&amp;cq_cmp=22090193738&amp;cq_net=g&amp;cq_plt=gp&amp;cq_med=pla&amp;gad_source=1&amp;gad_campaignid=22090193738&amp;gbraid=0AAAAAD93qcDxOf6kl7pNo1VOkdZAUJGwQ&amp;gclid=Cj0KCQiA5I_NBhDVARIsAOrqIsYj0kTfAHiU8N03adwEsKGbSZf2_zsFe5rmtaSnvuzTsHbXh4hh_osaAnftEALw_wcB" TargetMode="External"/><Relationship Id="rId380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139" Type="http://schemas.openxmlformats.org/officeDocument/2006/relationships/hyperlink" Target="https://www.dentalstilo.com.br/seladora-odontologica-selamaxx-vh-bivolt-c-guilhotina?srsltid=AfmBOop-USxGNHTXh1fxmIO3SGggVcZf7dGhQfbsB3Lh25jAqOLvh6tAyi0" TargetMode="External"/><Relationship Id="rId138" Type="http://schemas.openxmlformats.org/officeDocument/2006/relationships/hyperlink" Target="https://www.mercadolivre.com.br/halter-12-kg-500gramas-pesinho-unidade/up/MLBU2113566780?pdp_filters=item_id:MLB2119571282&amp;matt_tool=45821161&amp;matt_internal_campaign_id=&amp;matt_word=&amp;matt_source=google&amp;matt_campaign_id=22090354238&amp;matt_ad_group_id=191786779601&amp;matt_match_type=&amp;matt_network=g&amp;matt_device=c&amp;matt_creative=782869962869&amp;matt_keyword=&amp;matt_ad_position=&amp;matt_ad_type=pla&amp;matt_merchant_id=282343370&amp;matt_product_id=MLB2119571282&amp;matt_product_partition_id=2389876708948&amp;matt_target_id=aud-1966857867496:pla-2389876708948&amp;cq_src=google_ads&amp;cq_cmp=22090354238&amp;cq_net=g&amp;cq_plt=gp&amp;cq_med=pla&amp;gad_source=1&amp;gad_campaignid=22090354238&amp;gbraid=0AAAAAD93qcCAXm3J3_ndRCMimT1QMUpjK&amp;gclid=Cj0KCQiAi9rJBhCYARIsALyPDtty8-Ow6CPQYcartHVilsI23EaUQE7d_990u9SEkm_yHbeFyhR4SOsaAi5iEALw_wcB" TargetMode="External"/><Relationship Id="rId137" Type="http://schemas.openxmlformats.org/officeDocument/2006/relationships/hyperlink" Target="https://www.santaapolonia.com.br/produtos/tornozeleira-par-arktus-630601" TargetMode="External"/><Relationship Id="rId379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132" Type="http://schemas.openxmlformats.org/officeDocument/2006/relationships/hyperlink" Target="https://www.santaapolonia.com.br/produtos/tornozeleira-par-arktus-630600" TargetMode="External"/><Relationship Id="rId374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31" Type="http://schemas.openxmlformats.org/officeDocument/2006/relationships/hyperlink" Target="https://www.mercadolivre.com.br/par-muleta-axilar-ajustavel-em-aluminio-130kg-hidrolight-cor-cinza/p/MLB29237404?pdp_filters=item_id%3AMLB5661359324&amp;from=gshop&amp;matt_tool=41970894" TargetMode="External"/><Relationship Id="rId373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30" Type="http://schemas.openxmlformats.org/officeDocument/2006/relationships/hyperlink" Target="https://www.mercadolivre.com.br/par-muleta-axilar-ajustavel-em-aluminio-130kg-hidrolight-cor-cinza/p/MLB29237404?pdp_filters=item_id%3AMLB5661359324&amp;from=gshop&amp;matt_tool=41970894" TargetMode="External"/><Relationship Id="rId372" Type="http://schemas.openxmlformats.org/officeDocument/2006/relationships/hyperlink" Target="https://produto.mercadolivre.com.br/MLB-3692234345-suporte-para-impressora-com-rodinhas-e-gaveta-em-mdf-_JM?matt_tool=56885173&amp;matt_internal_campaign_id=&amp;matt_word=&amp;matt_source=google&amp;matt_campaign_id=22090354256&amp;matt_ad_group_id=173090556396&amp;matt_match_type=&amp;matt_network=g&amp;matt_device=c&amp;matt_creative=727882729371&amp;matt_keyword=&amp;matt_ad_position=&amp;matt_ad_type=pla&amp;matt_merchant_id=118369991&amp;matt_product_id=MLB3692234345&amp;matt_product_partition_id=2390058779960&amp;matt_target_id=pla-2390058779960&amp;cq_src=google_ads&amp;cq_cmp=22090354256&amp;cq_net=g&amp;cq_plt=gp&amp;cq_med=pla&amp;gad_source=4&amp;gad_campaignid=22090354256&amp;gbraid=0AAAAAD93qcB0hdUDaKMMLuc9g0AiDafWt&amp;gclid=Cj0KCQiA5I_NBhDVARIsAOrqIsb-DNaEvOk8DUoKCSGDEK9zGaomnu8ADwn-ieLHqNMkBRZDbLBXbVsaAkT9EALw_wcB" TargetMode="External"/><Relationship Id="rId371" Type="http://schemas.openxmlformats.org/officeDocument/2006/relationships/hyperlink" Target="https://www.mercadolivre.com.br/arquivo-de-aco-4-gavetas-pandin-slm-cinza/p/MLB39028635?pdp_filters=item_id%3AMLB4027074707&amp;from=gshop&amp;matt_tool=14476645&amp;matt_internal_campaign_id=&amp;matt_word=&amp;matt_source=google&amp;matt_campaign_id=22090193660&amp;matt_ad_group_id=191545507322&amp;matt_match_type=&amp;matt_network=g&amp;matt_device=c&amp;matt_creative=787871501651&amp;matt_keyword=&amp;matt_ad_position=&amp;matt_ad_type=pla&amp;matt_merchant_id=735098660&amp;matt_product_id=MLB39028635-product&amp;matt_product_partition_id=2455355885895&amp;matt_target_id=pla-2455355885895&amp;cq_src=google_ads&amp;cq_cmp=22090193660&amp;cq_net=g&amp;cq_plt=gp&amp;cq_med=pla&amp;gad_source=1&amp;gad_campaignid=22090193660&amp;gbraid=0AAAAAD93qcDJzagKrex6d6NFRsQoAuoy0&amp;gclid=Cj0KCQiA5I_NBhDVARIsAOrqIsaDB09x5TPd8f-aA_Qmw8ca6VzWBPIJyOyyS-wJs9AxB0LRkbqKxHUaAlXuEALw_wcB" TargetMode="External"/><Relationship Id="rId136" Type="http://schemas.openxmlformats.org/officeDocument/2006/relationships/hyperlink" Target="https://www.santaapolonia.com.br/produtos/tornozeleira-par-arktus-630800" TargetMode="External"/><Relationship Id="rId378" Type="http://schemas.openxmlformats.org/officeDocument/2006/relationships/hyperlink" Target="https://www.amazon.com.br/Cadeira-Escrit%C3%B3rio-Presidente-Girat%C3%B3ria-Ergon%C3%B4mica/dp/B07YF1PNKK/ref=asc_df_B07YF1PNKK?mcid=ea1a8e71528a3607a52c280e185f8f58&amp;tag=googleshopp00-20&amp;linkCode=df0&amp;hvadid=709968340981&amp;hvpos=&amp;hvnetw=g&amp;hvrand=8259259321145546668&amp;hvpone=&amp;hvptwo=&amp;hvqmt=&amp;hvdev=c&amp;hvdvcmdl=&amp;hvlocint=&amp;hvlocphy=9101878&amp;hvtargid=pla-871117780682&amp;psc=1&amp;language=pt_BR&amp;gad_source=1" TargetMode="External"/><Relationship Id="rId135" Type="http://schemas.openxmlformats.org/officeDocument/2006/relationships/hyperlink" Target="https://www.santaapolonia.com.br/produtos/tornozeleira-par-arktus-630700" TargetMode="External"/><Relationship Id="rId377" Type="http://schemas.openxmlformats.org/officeDocument/2006/relationships/hyperlink" Target="https://www.casasbahia.com.br/balcao-gabinete-de-pia-madesa-acordes-100-mdf-120-cm-2-portas-branco-brilho/p/1500626346?utm_medium=Cpc&amp;utm_source=google_freelisting&amp;IdSku=1500626346&amp;idLojista=32570&amp;tipoLojista=3P&amp;srsltid=AfmBOorHoc0XC9xzrEZIMyQRo3OgM5eKaPCqoyePcC8OGzIpihOq8XF1sXM" TargetMode="External"/><Relationship Id="rId134" Type="http://schemas.openxmlformats.org/officeDocument/2006/relationships/hyperlink" Target="https://www.mercadolivre.com.br/roda-exercicio-abdominal-lombar-exercise-whell-liveup-cinza/p/MLB26325863?pdp_filters=item_id%3AMLB3927317792&amp;from=gshop&amp;matt_tool=92013967&amp;matt_internal_campaign_id=&amp;matt_word=&amp;matt_source=google&amp;matt_campaign_id=22603531565&amp;matt_ad_group_id=184689824807&amp;matt_match_type=&amp;matt_network=g&amp;matt_device=c&amp;matt_creative=758138322203&amp;matt_keyword=&amp;matt_ad_position=&amp;matt_ad_type=pla&amp;matt_merchant_id=735128761&amp;matt_product_id=MLB26325863-product&amp;matt_product_partition_id=2425720730334&amp;matt_target_id=aud-1966009190540:pla-2425720730334&amp;cq_src=google_ads&amp;cq_cmp=22603531565&amp;cq_net=g&amp;cq_plt=gp&amp;cq_med=pla&amp;gad_source=4&amp;gad_campaignid=22603531565&amp;gbraid=0AAAAAD93qcAkntTB25rNx1Dc3UFmOOmk6&amp;gclid=CjwKCAiA3fnJBhAgEiwAyqmY5dslmu2dFR_DRZIqYW3QztsfLlA1AHyJVoqJIzEsKvmwq2G-G3jNjBoCzBwQAvD_BwE" TargetMode="External"/><Relationship Id="rId376" Type="http://schemas.openxmlformats.org/officeDocument/2006/relationships/hyperlink" Target="https://www.magazineluiza.com.br/armario-misto-02-portas-maxxi-pandin-160-m-azul-e-cinza/p/fk0bd0775h/mo/otmo/?&amp;seller_id=ttcomercioeletronico2&amp;utm_source=google&amp;utm_medium=cpc&amp;utm_term=84393&amp;utm_campaign=google_eco_per_ven_pla_all_apo_3p_adv-funnel-trafego-csp-0326&amp;utm_content=&amp;partner_id=84393&amp;gclsrc=aw.ds&amp;gad_source=4&amp;gad_campaignid=23600723162&amp;gbraid=0AAAAAD4zZmSLiQkl1ewEPGHkwioVvSBxF&amp;gclid=Cj0KCQiA5I_NBhDVARIsAOrqIsYuku7MbudLickFTW7H5dJo9HEDqf6qNlm7Zw27z4rEQLBh3pQ0bEMaAmOWEALw_wcB" TargetMode="External"/><Relationship Id="rId133" Type="http://schemas.openxmlformats.org/officeDocument/2006/relationships/hyperlink" Target="https://www.mercadolivre.com.br/par-muleta-axilar-ajustavel-em-aluminio-130kg-hidrolight-cor-cinza/p/MLB29237404?pdp_filters=item_id%3AMLB5661359324&amp;from=gshop&amp;matt_tool=41970894" TargetMode="External"/><Relationship Id="rId37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72" Type="http://schemas.openxmlformats.org/officeDocument/2006/relationships/hyperlink" Target="https://yuzoorochi.lojavirtualnuvem.com.br/produtos/aparelho-de-laserterapia-caneta-904nm-laserpulse-ibramed/?gad_source=4&amp;gad_campaignid=22946403119&amp;gbraid=0AAAABBPydsTILan4ngpQBFZv8sWfZVB1y&amp;gclid=CjwKCAiA3fnJBhAgEiwAyqmY5TMna1ka8DLlc1v16FNuh5ZYav5wJ1zPnG1TocccFnb35ogskK3T8BoCL4UQAvD_BwE" TargetMode="External"/><Relationship Id="rId171" Type="http://schemas.openxmlformats.org/officeDocument/2006/relationships/hyperlink" Target="https://www.amazon.com.br/Neurodyn-TENS-Burst-Ibramed-Eletrodos/dp/B0BZ22VL7J/ref=asc_df_B0BZ22VL7J?mcid=0987714d132236c5b1e82b0aa0de6a68&amp;tag=googleshopp00-20&amp;linkCode=df0&amp;hvadid=709857204945&amp;hvpos=&amp;hvnetw=g&amp;hvrand=13020077084912439317&amp;hvpone=&amp;hvptwo=&amp;hvqmt=&amp;hvdev=c&amp;hvdvcmdl=&amp;hvlocint=&amp;hvlocphy=1031867&amp;hvtargid=pla-2204973041701&amp;psc=1&amp;language=pt_BR&amp;gad_source=1" TargetMode="External"/><Relationship Id="rId170" Type="http://schemas.openxmlformats.org/officeDocument/2006/relationships/hyperlink" Target="https://www.mercadolivre.com.br/gaveteiro-para-escritorio-3-gavetas-com-rodizios-cali/up/MLBU1973069525?pdp_filters=item_id:MLB3869468633&amp;matt_tool=77625077&amp;matt_internal_campaign_id=&amp;matt_word=&amp;matt_source=google&amp;matt_campaign_id=22120855431&amp;matt_ad_group_id=179138689171&amp;matt_match_type=&amp;matt_network=g&amp;matt_device=c&amp;matt_creative=729092955301&amp;matt_keyword=&amp;matt_ad_position=&amp;matt_ad_type=pla&amp;matt_merchant_id=127659636&amp;matt_product_id=MLB3869468633&amp;matt_product_partition_id=314149632870&amp;matt_target_id=aud-1966857867496:pla-314149632870&amp;cq_src=google_ads&amp;cq_cmp=22120855431&amp;cq_net=g&amp;cq_plt=gp&amp;cq_med=pla&amp;gad_source=1&amp;gad_campaignid=22120855431&amp;gbraid=0AAAAAD93qcB6u2VjLKr5NvwICBmacNgpM&amp;gclid=Cj0KCQiAuvTJBhCwARIsAL6DemjO2D6NL732IvEKjY7jP92wgHDak1lbSohU2DhUN6qgsWcic_JMBEQaApRuEALw_wcB" TargetMode="External"/><Relationship Id="rId165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164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163" Type="http://schemas.openxmlformats.org/officeDocument/2006/relationships/hyperlink" Target="https://www.mercadolivre.com.br/torre-expositor-suporte-para-halteres-estante-sala-fitness-megagym-equipamentos-fitness/p/MLB24728606?pdp_filters=item_id%3AMLB3608440767&amp;from=gshop&amp;matt_tool=45821161&amp;matt_internal_campaign_id=&amp;matt_word=&amp;matt_source=google&amp;matt_campaign_id=22090354238&amp;matt_ad_group_id=173090543916&amp;matt_match_type=&amp;matt_network=g&amp;matt_device=c&amp;matt_creative=727882728219&amp;matt_keyword=&amp;matt_ad_position=&amp;matt_ad_type=pla&amp;matt_merchant_id=735098660&amp;matt_product_id=MLB24728606-product&amp;matt_product_partition_id=2387641794646&amp;matt_target_id=aud-1966857867496:pla-2387641794646&amp;cq_src=google_ads&amp;cq_cmp=22090354238&amp;cq_net=g&amp;cq_plt=gp&amp;cq_med=pla&amp;gad_source=1&amp;gad_campaignid=22090354238&amp;gbraid=0AAAAAD93qcDNjVXAHSzORwaOclq77xSIc&amp;gclid=CjwKCAiA3fnJBhAgEiwAyqmY5WBBD08YVdg0ljRQ5v6BwkeH6AJ20jfturPuDh1g9oNCHkCsQgl6OBoCa0QQAvD_BwE" TargetMode="External"/><Relationship Id="rId162" Type="http://schemas.openxmlformats.org/officeDocument/2006/relationships/hyperlink" Target="https://www.mercadolivre.com.br/maca-fixa-para-rpg--arktus-preto/up/MLBU2910575156?pdp_filters=item_id:MLB3936941185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5543638563&amp;matt_product_id=MLB3936941185&amp;matt_product_partition_id=2392431398095&amp;matt_target_id=aud-1966857867496:pla-2392431398095&amp;cq_src=google_ads&amp;cq_cmp=22120855434&amp;cq_net=g&amp;cq_plt=gp&amp;cq_med=pla&amp;gad_source=4&amp;gad_campaignid=22120855434&amp;gbraid=0AAAAAD93qcDSPKlqltxEKFrlP6BOQ36KQ&amp;gclid=Cj0KCQiAuvTJBhCwARIsAL6DemgGmjbRFeItrLscP1J9-INxELYrLCqeLsLj2J_XAWkyQkntW8aI3XoaAg6REALw_wcB" TargetMode="External"/><Relationship Id="rId169" Type="http://schemas.openxmlformats.org/officeDocument/2006/relationships/hyperlink" Target="https://www.amazon.com.br/Prateleira-Retangular-Branca-100-cm-BEMFIXA-9690/dp/B0777TN5L1/ref=asc_df_B0777TN5L1?mcid=80f4f5ea605135f692f418cfff16aa8e&amp;tag=googleshopp00-20&amp;linkCode=df0&amp;hvadid=709968341176&amp;hvpos=&amp;hvnetw=g&amp;hvrand=16985922898679122492&amp;hvpone=&amp;hvptwo=&amp;hvqmt=&amp;hvdev=c&amp;hvdvcmdl=&amp;hvlocint=&amp;hvlocphy=1031867&amp;hvtargid=pla-919968877100&amp;language=pt_BR&amp;gad_source=1&amp;th=1" TargetMode="External"/><Relationship Id="rId168" Type="http://schemas.openxmlformats.org/officeDocument/2006/relationships/hyperlink" Target="https://www.mercadolivre.com.br/armario-aereo-cozinha-planejada-lux-120cm-100mdf-03-portas/up/MLBU1718894875?pdp_filters=item_id:MLB2651857222&amp;matt_tool=71021180&amp;matt_internal_campaign_id=&amp;matt_word=&amp;matt_source=google&amp;matt_campaign_id=22090354475&amp;matt_ad_group_id=173090604476&amp;matt_match_type=&amp;matt_network=g&amp;matt_device=c&amp;matt_creative=727882732773&amp;matt_keyword=&amp;matt_ad_position=&amp;matt_ad_type=pla&amp;matt_merchant_id=696121384&amp;matt_product_id=MLB2651857222&amp;matt_product_partition_id=2389183630726&amp;matt_target_id=aud-1967156880386:pla-2389183630726&amp;cq_src=google_ads&amp;cq_cmp=22090354475&amp;cq_net=g&amp;cq_plt=gp&amp;cq_med=pla&amp;gad_source=4&amp;gad_campaignid=22090354475&amp;gbraid=0AAAAAD93qcDrwvmxALM9EI6U2o_lH8ito&amp;gclid=Cj0KCQiAuvTJBhCwARIsAL6DemiZdr7ZO6FVjzRdRlFVvbS9q8ztDcTcr8H6JV6xJv85SkV4BV9RLLgaAmMOEALw_wcB" TargetMode="External"/><Relationship Id="rId167" Type="http://schemas.openxmlformats.org/officeDocument/2006/relationships/hyperlink" Target="https://www.mercadolivre.com.br/armario-baixo-maxxi-2-portas-68x89x38-cinza-tranca-pandin/up/MLBU2887577293?pdp_filters=item_id:MLB3929343393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3929343393&amp;matt_product_partition_id=2393015049738&amp;matt_target_id=aud-1966857867496:pla-2393015049738&amp;cq_src=google_ads&amp;cq_cmp=22120855419&amp;cq_net=g&amp;cq_plt=gp&amp;cq_med=pla&amp;gad_source=4&amp;gad_campaignid=22120855419&amp;gbraid=0AAAAAD93qcA0XcshF33kdvRcZ_86jNR6s&amp;gclid=Cj0KCQiAuvTJBhCwARIsAL6DemiS1LSQOmZ1yfVNNHgRoQ3aboXO3lyB1U7shgxadONCht-ElBONHNoaAqstEALw_wcB" TargetMode="External"/><Relationship Id="rId166" Type="http://schemas.openxmlformats.org/officeDocument/2006/relationships/hyperlink" Target="https://www.mercadolivre.com.br/descarte-de-lixo-infectante-conteiner-165l/up/MLBU1153280856?pdp_filters=item_id:MLB3724623322&amp;matt_tool=37064035&amp;matt_internal_campaign_id=&amp;matt_word=&amp;matt_source=google&amp;matt_campaign_id=22090354481&amp;matt_ad_group_id=173090606316&amp;matt_match_type=&amp;matt_network=g&amp;matt_device=c&amp;matt_creative=727882732971&amp;matt_keyword=&amp;matt_ad_position=&amp;matt_ad_type=pla&amp;matt_merchant_id=384489730&amp;matt_product_id=MLB3724623322&amp;matt_product_partition_id=2389652941413&amp;matt_target_id=aud-1967156880386:pla-2389652941413&amp;cq_src=google_ads&amp;cq_cmp=22090354481&amp;cq_net=g&amp;cq_plt=gp&amp;cq_med=pla&amp;gad_source=4&amp;gad_campaignid=22090354481&amp;gbraid=0AAAAAD93qcAxE2j-qzYbXOSF_F-Wb1RIL&amp;gclid=CjwKCAiA3fnJBhAgEiwAyqmY5dxe2MMVXCjOc-PCupFV3GmMLH2Hl28c_1mjDjyO2oOfKFR5Hg6N9BoCwwIQAvD_BwE" TargetMode="External"/><Relationship Id="rId161" Type="http://schemas.openxmlformats.org/officeDocument/2006/relationships/hyperlink" Target="https://www.potencialcirurgica.com.br/www-potencialcirurgica-com-br/moveis-para-hospital/banco-giratorio-totalmente-inox/produto/665/42947?parceiro=1&amp;gad_source=1&amp;gad_campaignid=23296190525&amp;gbraid=0AAAABAjB6gvTIO6rXwbFimMAiB-buddqQ&amp;gclid=CjwKCAiA3fnJBhAgEiwAyqmY5Xb54_DDivSiEuqAGKXwvgzx2NM5FYtJwqeDev5iEZW5NBqExHszjRoCc1oQAvD_BwE" TargetMode="External"/><Relationship Id="rId160" Type="http://schemas.openxmlformats.org/officeDocument/2006/relationships/hyperlink" Target="https://www.potencialcirurgica.com.br/www-potencialcirurgica-com-br/moveis-para-hospital/banco-giratorio-totalmente-inox/produto/665/42947?parceiro=1&amp;gad_source=1&amp;gad_campaignid=23296190525&amp;gbraid=0AAAABAjB6gvTIO6rXwbFimMAiB-buddqQ&amp;gclid=CjwKCAiA3fnJBhAgEiwAyqmY5Xb54_DDivSiEuqAGKXwvgzx2NM5FYtJwqeDev5iEZW5NBqExHszjRoCc1oQAvD_BwE" TargetMode="External"/><Relationship Id="rId159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154" Type="http://schemas.openxmlformats.org/officeDocument/2006/relationships/hyperlink" Target="https://produto.mercadolivre.com.br/MLB-4600764984-cadeira-de-banho-higienica-aluminio-dobravel-140kg-supermedy-_JM" TargetMode="External"/><Relationship Id="rId396" Type="http://schemas.openxmlformats.org/officeDocument/2006/relationships/hyperlink" Target="https://lojaoficialaklimper.com.br/produtos/carrinho-com-gaveta-para-aparelho-e-equipamentos-odontologico/?srsltid=AfmBOooNSIt1nEmuPkuG6ostARWy_ErC_JLEgEyPD6wZs4Ob9AbhnTWwcxQ" TargetMode="External"/><Relationship Id="rId153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395" Type="http://schemas.openxmlformats.org/officeDocument/2006/relationships/hyperlink" Target="https://produto.mercadolivre.com.br/MLB-1977298989-armario-vitrine-02-portas-_JM?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548856185&amp;matt_product_id=MLB1977298989&amp;matt_product_partition_id=2389560632545&amp;matt_target_id=aud-1967156880386:pla-2389560632545&amp;cq_src=google_ads&amp;cq_cmp=22090354076&amp;cq_net=g&amp;cq_plt=gp&amp;cq_med=pla&amp;gad_source=1&amp;gad_campaignid=22090354076&amp;gbraid=0AAAAAD93qcAKTTW-ohSQTAZ4ENj3xhvka&amp;gclid=Cj0KCQiAi9rJBhCYARIsALyPDtsEwMcsy5-v4NO8ZNdfwrpYoqbv1HTnj4FK-fqFxk5xL-G1bGivf7YaArGmEALw_wcB" TargetMode="External"/><Relationship Id="rId152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394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151" Type="http://schemas.openxmlformats.org/officeDocument/2006/relationships/hyperlink" Target="https://www.mercadolivre.com.br/armario-baixo-maxxi-2-portas-68x89x38-cinza-tranca-pandin/up/MLBU2887577293?pdp_filters=item_id:MLB3929343393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3929343393&amp;matt_product_partition_id=2393015049738&amp;matt_target_id=aud-1966857867496:pla-2393015049738&amp;cq_src=google_ads&amp;cq_cmp=22120855419&amp;cq_net=g&amp;cq_plt=gp&amp;cq_med=pla&amp;gad_source=4&amp;gad_campaignid=22120855419&amp;gbraid=0AAAAAD93qcA0XcshF33kdvRcZ_86jNR6s&amp;gclid=Cj0KCQiAuvTJBhCwARIsAL6DemiS1LSQOmZ1yfVNNHgRoQ3aboXO3lyB1U7shgxadONCht-ElBONHNoaAqstEALw_wcB" TargetMode="External"/><Relationship Id="rId393" Type="http://schemas.openxmlformats.org/officeDocument/2006/relationships/hyperlink" Target="https://www.lojadomecanico.com.br/produto/77848/21/159/compressor-de-ar-odontologico-silencioso-1hp-5-pes-30l-220v-schulz-csd-530/153/?utm_source=google&amp;utm_medium=cpc&amp;utm_campaign=MONKS_GG_F_PMAX_Sazonal&amp;utm_content=Fim_de_semana_premiado&amp;utm_source=google&amp;utm_medium=cpc&amp;utm_campaign=MONKS_GG_F_PMAX_Sazonal&amp;utm_content=Fim_de_semana_premiado&amp;gad_source=4&amp;gad_campaignid=21470818203&amp;gbraid=0AAAAADsnw5b4VbrMXWKiRUBdYPr6DB39s&amp;gclid=CjwKCAiAxc_JBhA2EiwAFVs7XGlEYoautenZE5VgPZ9dVeMMUCUmSXJIaBGe3Pr6Qfgqma_Q-x_F-hoCtAgQAvD_BwE" TargetMode="External"/><Relationship Id="rId158" Type="http://schemas.openxmlformats.org/officeDocument/2006/relationships/hyperlink" Target="https://www.potencialcirurgica.com.br/www-potencialcirurgica-com-br/moveis-para-hospital/banco-giratorio-totalmente-inox/produto/665/42947?parceiro=1&amp;gad_source=1&amp;gad_campaignid=23296190525&amp;gbraid=0AAAABAjB6gvTIO6rXwbFimMAiB-buddqQ&amp;gclid=CjwKCAiA3fnJBhAgEiwAyqmY5Xb54_DDivSiEuqAGKXwvgzx2NM5FYtJwqeDev5iEZW5NBqExHszjRoCc1oQAvD_BwE" TargetMode="External"/><Relationship Id="rId157" Type="http://schemas.openxmlformats.org/officeDocument/2006/relationships/hyperlink" Target="https://www.mercadolivre.com.br/balanco-balancim-proprioceptivo-fisioterapia-physio-top/p/MLB26305896?pdp_filters=item_id%3AMLB3634018711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128761&amp;matt_product_id=MLB26305896-product&amp;matt_product_partition_id=2387641794686&amp;matt_target_id=aud-1967156880386:pla-2387641794686&amp;cq_src=google_ads&amp;cq_cmp=22090354529&amp;cq_net=g&amp;cq_plt=gp&amp;cq_med=pla&amp;gad_source=1&amp;gad_campaignid=22090354529&amp;gbraid=0AAAAAD93qcBn-KA7rtWTAeEPWGqOFQhBt&amp;gclid=Cj0KCQiAuvTJBhCwARIsAL6DemjjapuzcIdgAv42ShXXcS2neHmNwV5J0xCE0QGoBb72z6qfFubn3SgaAiH5EALw_wcB" TargetMode="External"/><Relationship Id="rId399" Type="http://schemas.openxmlformats.org/officeDocument/2006/relationships/hyperlink" Target="https://produto.mercadolivre.com.br/MLB-1949334911-bebedouro-de-agua-50l-inox-2-torneiras-1-gelada1-natural-_JM?matt_tool=77625077&amp;matt_internal_campaign_id=&amp;matt_word=&amp;matt_source=google&amp;matt_campaign_id=22120855431&amp;matt_ad_group_id=179138689371&amp;matt_match_type=&amp;matt_network=g&amp;matt_device=c&amp;matt_creative=729092955307&amp;matt_keyword=&amp;matt_ad_position=&amp;matt_ad_type=pla&amp;matt_merchant_id=144006031&amp;matt_product_id=MLB1949334911&amp;matt_product_partition_id=2396368669172&amp;matt_target_id=aud-1966857867496:pla-2396368669172&amp;cq_src=google_ads&amp;cq_cmp=22120855431&amp;cq_net=g&amp;cq_plt=gp&amp;cq_med=pla&amp;gad_source=1&amp;gad_campaignid=22120855431&amp;gbraid=0AAAAAD93qcB6u2VjLKr5NvwICBmacNgpM&amp;gclid=CjwKCAiA3fnJBhAgEiwAyqmY5c4gCtw1tedN8LJLtg9Er62cbeEPDBInbWBAELT1VeFt-9vbbmLakxoCGcUQAvD_BwE" TargetMode="External"/><Relationship Id="rId156" Type="http://schemas.openxmlformats.org/officeDocument/2006/relationships/hyperlink" Target="https://www.fisiomedica.com.br/p-16025209-Mesa-de-Kanavel---ref.-352.2" TargetMode="External"/><Relationship Id="rId398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155" Type="http://schemas.openxmlformats.org/officeDocument/2006/relationships/hyperlink" Target="https://produto.mercadolivre.com.br/MLB-1868011282-longarina-secretaria-3-lugares-tecido-preto-_JM?matt_tool=40300352&amp;matt_internal_campaign_id=&amp;matt_word=&amp;matt_source=google&amp;matt_campaign_id=22090354013&amp;matt_ad_group_id=173090510316&amp;matt_match_type=&amp;matt_network=g&amp;matt_device=c&amp;matt_creative=727882726008&amp;matt_keyword=&amp;matt_ad_position=&amp;matt_ad_type=pla&amp;matt_merchant_id=5595884621&amp;matt_product_id=MLB1868011282&amp;matt_product_partition_id=2417611461724&amp;matt_target_id=aud-1967156880386:pla-2417611461724&amp;cq_src=google_ads&amp;cq_cmp=22090354013&amp;cq_net=g&amp;cq_plt=gp&amp;cq_med=pla&amp;gad_source=4&amp;gad_campaignid=22090354013&amp;gbraid=0AAAAAD93qcA9lVwYr2GhcfGo4slsbCt6u&amp;gclid=Cj0KCQiAi9rJBhCYARIsALyPDttOqvhbaXOEey8u7n_c73P2x2XhVK57oD0gAJcwSvkyHZKLLGOg3fEaArT6EALw_wcB" TargetMode="External"/><Relationship Id="rId397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808" Type="http://schemas.openxmlformats.org/officeDocument/2006/relationships/hyperlink" Target="https://www.amazon.com.br/Neurodyn-TENS-Burst-Ibramed-Eletrodos/dp/B0BZ22VL7J/ref=asc_df_B0BZ22VL7J?mcid=0987714d132236c5b1e82b0aa0de6a68&amp;tag=googleshopp00-20&amp;linkCode=df0&amp;hvadid=709857204945&amp;hvpos=&amp;hvnetw=g&amp;hvrand=13020077084912439317&amp;hvpone=&amp;hvptwo=&amp;hvqmt=&amp;hvdev=c&amp;hvdvcmdl=&amp;hvlocint=&amp;hvlocphy=1031867&amp;hvtargid=pla-2204973041701&amp;psc=1&amp;language=pt_BR&amp;gad_source=1" TargetMode="External"/><Relationship Id="rId807" Type="http://schemas.openxmlformats.org/officeDocument/2006/relationships/hyperlink" Target="https://www.dentalspeed.com/ultrassom-jet-sonic-bp-bivolt-gnatus.html?srsltid=AfmBOoqm4PiovmI0jqWpNkLzKzinJYwsyj9r2QpmXyDg092Xwc4-k5pb8Lw" TargetMode="External"/><Relationship Id="rId806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805" Type="http://schemas.openxmlformats.org/officeDocument/2006/relationships/hyperlink" Target="https://www.mercadolivre.com.br/hamper-inox-com-rodas/p/MLB2038786507?pdp_filters=item_id%3AMLB5094508140&amp;from=gshop&amp;matt_tool=79314260&amp;matt_internal_campaign_id=&amp;matt_word=&amp;matt_source=google&amp;matt_campaign_id=22090354076&amp;matt_ad_group_id=173090536996&amp;matt_match_type=&amp;matt_network=g&amp;matt_device=c&amp;matt_creative=727882727724&amp;matt_keyword=&amp;matt_ad_position=&amp;matt_ad_type=pla&amp;matt_merchant_id=735098639&amp;matt_product_id=MLB2038786507-product&amp;matt_product_partition_id=2388288843481&amp;matt_target_id=pla-2388288843481&amp;cq_src=google_ads&amp;cq_cmp=22090354076&amp;cq_net=g&amp;cq_plt=gp&amp;cq_med=pla&amp;gad_source=1&amp;gad_campaignid=22090354076&amp;gbraid=0AAAAAD93qcBrEO3Hprzgyg7VLOXULPb-L&amp;gclid=Cj0KCQiA5I_NBhDVARIsAOrqIsYDFOkeQTtDKzQASnnrHLfpbkCvPNhaUrErikMQM5Y2H3NQhvFiaI4aAhlREALw_wcB" TargetMode="External"/><Relationship Id="rId809" Type="http://schemas.openxmlformats.org/officeDocument/2006/relationships/hyperlink" Target="https://www.mercadolivre.com.br/mesa-auxiliar-40x40x80cm-cxlxa-pintada-com-rodinhas/p/MLB2040874494?pdp_filters=item_id%3AMLB2662120552&amp;from=gshop&amp;matt_tool=79314260&amp;matt_internal_campaign_id=&amp;matt_word=&amp;matt_source=google&amp;matt_campaign_id=22090354076&amp;matt_ad_group_id=197094181171&amp;matt_match_type=&amp;matt_network=g&amp;matt_device=c&amp;matt_creative=792355616769&amp;matt_keyword=&amp;matt_ad_position=&amp;matt_ad_type=pla&amp;matt_merchant_id=735098639&amp;matt_product_id=MLB2040874494-product&amp;matt_product_partition_id=2454862530688&amp;matt_target_id=pla-2454862530688&amp;cq_src=google_ads&amp;cq_cmp=22090354076&amp;cq_net=g&amp;cq_plt=gp&amp;cq_med=pla&amp;gad_source=1&amp;gad_campaignid=22090354076&amp;gbraid=0AAAAAD93qcBrEO3Hprzgyg7VLOXULPb-L&amp;gclid=Cj0KCQiA5I_NBhDVARIsAOrqIsYxJnf-MGgoRoj3OAuAS5PRwp51fQwQC5lcURtqBkshBWYtsiMR1KcaAhqOEALw_wcB" TargetMode="External"/><Relationship Id="rId800" Type="http://schemas.openxmlformats.org/officeDocument/2006/relationships/hyperlink" Target="https://www.dentalspeed.com/ultrassom-jet-sonic-bp-bivolt-gnatus.html?srsltid=AfmBOoqm4PiovmI0jqWpNkLzKzinJYwsyj9r2QpmXyDg092Xwc4-k5pb8Lw" TargetMode="External"/><Relationship Id="rId804" Type="http://schemas.openxmlformats.org/officeDocument/2006/relationships/hyperlink" Target="https://www.casasbahia.com.br/balcao-gabinete-de-pia-madesa-acordes-100-mdf-120-cm-2-portas-branco-brilho/p/1500626346?utm_medium=Cpc&amp;utm_source=google_freelisting&amp;IdSku=1500626346&amp;idLojista=32570&amp;tipoLojista=3P&amp;srsltid=AfmBOorHoc0XC9xzrEZIMyQRo3OgM5eKaPCqoyePcC8OGzIpihOq8XF1sXM" TargetMode="External"/><Relationship Id="rId803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802" Type="http://schemas.openxmlformats.org/officeDocument/2006/relationships/hyperlink" Target="https://www.medsystemhospitalar.com.br/odontologia/equipamentos-odonto/motores-endodontico/localizador-apical-ipex-ii-nsk?parceiro=7129&amp;gad_source=1&amp;gad_campaignid=22855158452&amp;gbraid=0AAAAAqw-6CgOE6ghcfqGTouycvbJuQZRx&amp;gclid=Cj0KCQiA5I_NBhDVARIsAOrqIsYOzAoDBwn23PQqSUqoAP8GY64KXZ1r7MqvA-3tAH3hr4Ei2Zd7wjUaAvxuEALw_wcB" TargetMode="External"/><Relationship Id="rId801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40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42" Type="http://schemas.openxmlformats.org/officeDocument/2006/relationships/hyperlink" Target="https://www.amazon.com.br/Halter-Bola-Emborrachado-Cada-Preto/dp/B0D2RYJQ78/ref=asc_df_B0D2RYJQ78?mcid=324160279a0f38d7867778d64d2f4dff&amp;tag=googleshopp00-20&amp;linkCode=df0&amp;hvadid=709857070023&amp;hvpos=&amp;hvnetw=g&amp;hvrand=12655254536030517305&amp;hvpone=&amp;hvptwo=&amp;hvqmt=&amp;hvdev=c&amp;hvdvcmdl=&amp;hvlocint=&amp;hvlocphy=1031867&amp;hvtargid=pla-2321874281710&amp;psc=1&amp;language=pt_BR&amp;gad_source=1" TargetMode="External"/><Relationship Id="rId41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44" Type="http://schemas.openxmlformats.org/officeDocument/2006/relationships/hyperlink" Target="https://www.dentalmedsul.com.br/peca-de-mao-reta-rx1---gnatus/p?idsku=12108&amp;gad_source=4&amp;gad_campaignid=20898675974&amp;gbraid=0AAAAAoakH06Xpcob7hfL59iVXnmwCq-S-&amp;gclid=Cj0KCQiA6NTJBhDEARIsAB7QHD2Cvsp7_Y0d0ueLGFibeGaxioe7IQMkYfq4HKUi8k3AQ8QLtggKsmMaArGfEALw_wcB" TargetMode="External"/><Relationship Id="rId43" Type="http://schemas.openxmlformats.org/officeDocument/2006/relationships/hyperlink" Target="https://www.mercadolivre.com.br/par-muleta-axilar-ajustavel-em-aluminio-130kg-hidrolight-cor-cinza/p/MLB29237404?pdp_filters=item_id%3AMLB5661359324&amp;from=gshop&amp;matt_tool=41970894" TargetMode="External"/><Relationship Id="rId46" Type="http://schemas.openxmlformats.org/officeDocument/2006/relationships/hyperlink" Target="https://www.amazon.com.br/T%C3%A1bua-de-Madeira-Proprioceptiva-Redonda/dp/B0B6RXR28W?source=ps-sl-shoppingads-lpcontext&amp;ref_=fplfs&amp;psc=1&amp;smid=A3L2MV640VF0B8" TargetMode="External"/><Relationship Id="rId45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509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508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503" Type="http://schemas.openxmlformats.org/officeDocument/2006/relationships/hyperlink" Target="https://www.mercadolivre.com.br/computador-all-in-one-i5-8gb-ram-ssd-240gb-tela-215-full-hd/up/MLBU3554218175?pdp_filters=item_id%3AMLB5930250716&amp;from=gshop&amp;matt_tool=91562990&amp;matt_internal_campaign_id=&amp;matt_word=&amp;matt_source=google&amp;matt_campaign_id=22090193891&amp;matt_ad_group_id=180228882944&amp;matt_match_type=&amp;matt_network=g&amp;matt_device=c&amp;matt_creative=728942946675&amp;matt_keyword=&amp;matt_ad_position=&amp;matt_ad_type=pla&amp;matt_merchant_id=5387182833&amp;matt_product_id=MLBU3554218175&amp;matt_product_partition_id=2389840739499&amp;matt_target_id=pla-2389840739499&amp;cq_src=google_ads&amp;cq_cmp=22090193891&amp;cq_net=g&amp;cq_plt=gp&amp;cq_med=pla&amp;gad_source=1&amp;gad_campaignid=22090193891&amp;gbraid=0AAAAAD93qcDowZhjpiHe3AXzQR2o262ZK&amp;gclid=Cj0KCQiA5I_NBhDVARIsAOrqIsZ_6G8mktj8NWfR3Gxq6fIJYshnraksjynC_rr6cNKCu0EVblMcC5caAkMaEALw_wcB" TargetMode="External"/><Relationship Id="rId745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502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744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501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743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500" Type="http://schemas.openxmlformats.org/officeDocument/2006/relationships/hyperlink" Target="https://www.mercadolivre.com.br/projetor-powerlite-e24-epson-3600-lumens-xga/p/MLB61372830?pdp_filters=item_id:MLB4414949877&amp;matt_tool=60980622&amp;matt_internal_campaign_id=355674983&amp;matt_word=&amp;matt_source=google&amp;matt_campaign_id=23048606145&amp;matt_ad_group_id=195371357947&amp;matt_match_type=&amp;matt_network=g&amp;matt_device=c&amp;matt_creative=794765380226&amp;matt_keyword=&amp;matt_ad_position=&amp;matt_ad_type=pla&amp;matt_merchant_id=104832315&amp;matt_product_id=MLB4414949877&amp;matt_product_partition_id=2461727733982&amp;matt_target_id=pla-2461727733982&amp;cq_src=google_ads&amp;cq_cmp=23048606145&amp;cq_net=g&amp;cq_plt=gp&amp;cq_med=pla&amp;gad_source=1&amp;gad_campaignid=23048606145&amp;gbraid=0AAAAAD93qcAwntqnldEklhlYTxoFnKzzE&amp;gclid=Cj0KCQiA5I_NBhDVARIsAOrqIsYd4kS8tDIXW03cyKNAjeYWjuThdqd1li8cSwzTaVutFiiLIFFGOQUaAmS8EALw_wcB" TargetMode="External"/><Relationship Id="rId742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507" Type="http://schemas.openxmlformats.org/officeDocument/2006/relationships/hyperlink" Target="https://produto.mercadolivre.com.br/MLB-4600764984-cadeira-de-banho-higienica-aluminio-dobravel-140kg-supermedy-_JM" TargetMode="External"/><Relationship Id="rId749" Type="http://schemas.openxmlformats.org/officeDocument/2006/relationships/hyperlink" Target="https://www.brcirurgica.com.br/moveis-para-hospital/cadeira-de-aco-simples-sl/produto/665/17616?parceiro=9285&amp;srsltid=AfmBOopCpZUnQAGYLlvc7DGbYlx4QXjcyKJvgIXxFp6Czw4k-4QtjGBF9Hc" TargetMode="External"/><Relationship Id="rId506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748" Type="http://schemas.openxmlformats.org/officeDocument/2006/relationships/hyperlink" Target="https://www.mercadolivre.com.br/mesa-escritorio-escrivaninha-150x60-tampo-de-40-mm-2-gaveta/up/MLBU3266379869?pdp_filters=item_id:MLB5471924390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_with_promotion&amp;matt_merchant_id=138294755&amp;matt_product_id=MLB5471924390&amp;matt_product_partition_id=2388009794866&amp;matt_target_id=aud-1967156880386:pla-2388009794866&amp;cq_src=google_ads&amp;cq_cmp=22090354064&amp;cq_net=g&amp;cq_plt=gp&amp;cq_med=pla_with_promotion&amp;gad_source=1&amp;gad_campaignid=22090354064&amp;gbraid=0AAAAAD93qcBuzXCuFv0LWRfgdRIHTKpmj&amp;gclid=Cj0KCQiAuvTJBhCwARIsAL6Demh7XpQv1dCc9du5jPWWhkX7HgfcdcwRQCGHzZK0lF-T1Wr3xCFB_OsaAp_HEALw_wcB" TargetMode="External"/><Relationship Id="rId505" Type="http://schemas.openxmlformats.org/officeDocument/2006/relationships/hyperlink" Target="https://www.madeiramadeira.com.br/escrivaninha-mesa-escritorio-em-l-diretor-tamburato-com-4-gavetas-180cm-730189.html" TargetMode="External"/><Relationship Id="rId747" Type="http://schemas.openxmlformats.org/officeDocument/2006/relationships/hyperlink" Target="https://www.mercadolivre.com.br/armario-aco-escritorio-fechadura-3-prateleiras-ea303-azul/p/MLB25980063?pdp_filters=item_id%3AMLB3993839797&amp;from=gshop&amp;matt_tool=45048704&amp;matt_internal_campaign_id=&amp;matt_word=&amp;matt_source=google&amp;matt_campaign_id=22090354304&amp;matt_ad_group_id=173090583996&amp;matt_match_type=&amp;matt_network=g&amp;matt_device=c&amp;matt_creative=727882731531&amp;matt_keyword=&amp;matt_ad_position=&amp;matt_ad_type=pla&amp;matt_merchant_id=735128188&amp;matt_product_id=MLB25980063-product&amp;matt_product_partition_id=2417611461484&amp;matt_target_id=aud-1966009190540:pla-2417611461484&amp;cq_src=google_ads&amp;cq_cmp=22090354304&amp;cq_net=g&amp;cq_plt=gp&amp;cq_med=pla&amp;gad_source=1&amp;gad_campaignid=22090354304&amp;gbraid=0AAAAAD93qcBbjx1y-0ey_gLlse6_Jv7Cx&amp;gclid=CjwKCAiA3fnJBhAgEiwAyqmY5Wi894--ph3Li6N1Wm6_GX2t4wHjLL6BpHd9oucG-rss01mRi--JTRoCjDMQAvD_BwE" TargetMode="External"/><Relationship Id="rId504" Type="http://schemas.openxmlformats.org/officeDocument/2006/relationships/hyperlink" Target="https://produto.mercadolivre.com.br/MLB-1289907999-armario-alto-fechado-160x80x42-f15mm-_JM?matt_tool=45048704&amp;matt_internal_campaign_id=&amp;matt_word=&amp;matt_source=google&amp;matt_campaign_id=22090354304&amp;matt_ad_group_id=173090583996&amp;matt_match_type=&amp;matt_network=g&amp;matt_device=c&amp;matt_creative=727882731531&amp;matt_keyword=&amp;matt_ad_position=&amp;matt_ad_type=pla&amp;matt_merchant_id=129114765&amp;matt_product_id=MLB1289907999&amp;matt_product_partition_id=2417611461484&amp;matt_target_id=aud-1967156880386:pla-2417611461484&amp;cq_src=google_ads&amp;cq_cmp=22090354304&amp;cq_net=g&amp;cq_plt=gp&amp;cq_med=pla&amp;gad_source=4&amp;gad_campaignid=22090354304&amp;gbraid=0AAAAAD93qcCBfNXewtmdOvKjLbBryoq5Y&amp;gclid=CjwKCAiA3fnJBhAgEiwAyqmY5Y5BZtWqXnudbRlbGLSdk1sRc1T_2AhMTkfhnJBsgOBSVlOkg_V78xoCxAUQAvD_BwE" TargetMode="External"/><Relationship Id="rId746" Type="http://schemas.openxmlformats.org/officeDocument/2006/relationships/hyperlink" Target="https://www.amazon.com.br/Escrit%C3%B3rio-Presidente-Ergon%C3%B4mica-Resist%C3%AAncia-Profissional/dp/B0F8RC7KLN/ref=asc_df_B0F8RC7KLN?mcid=a485c1842d3a3cf4989d6e9168d52d9a&amp;tag=googleshopp00-20&amp;linkCodCA=df0&amp;hvadid=709968340957&amp;hvpos=&amp;hvnetw=g&amp;hvrand=101708620504331131&amp;hvpone=&amp;hvptwo=&amp;hvqmt=&amp;hvdev=c&amp;hvdvcmdl=&amp;hvlocint=&amp;hvlocphy=1031867&amp;hvtargid=pla-2427320754138&amp;psc=1&amp;language=pt_BR&amp;gad_source=4" TargetMode="External"/><Relationship Id="rId48" Type="http://schemas.openxmlformats.org/officeDocument/2006/relationships/hyperlink" Target="https://www.mercadolivre.com.br/escada-auxiliar-bella-2-degraus-marrom-escuro-arktus/up/MLBU3191362256?matt_tool=18956390&amp;utm_source=google_shopping&amp;utm_medium=organic&amp;pdp_filters=item_id:MLB5398958026" TargetMode="External"/><Relationship Id="rId47" Type="http://schemas.openxmlformats.org/officeDocument/2006/relationships/hyperlink" Target="https://www.mercadolivre.com.br/jump-mini-cama-elastica-profissional-academia-150-kg-cor-azul/p/MLB43762527?pdp_filters=item_id%3AMLB5458514308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098639&amp;matt_product_id=MLB43762527-product&amp;matt_product_partition_id=2387641794686&amp;matt_target_id=aud-1967156880386:pla-2387641794686&amp;cq_src=google_ads&amp;cq_cmp=22090354529&amp;cq_net=g&amp;cq_plt=gp&amp;cq_med=pla&amp;gad_source=4&amp;gad_campaignid=22090354529&amp;gbraid=0AAAAAD93qcB2KIPZM_rpSZn6WZETvZyPE&amp;gclid=Cj0KCQiA6NTJBhDEARIsAB7QHD1q3DWVo6k6AW1PfV6YEbYGFoIIB3ikT_X5wO4MuyfCl4xCNsC8Lj4aAkAXEALw_wcB" TargetMode="External"/><Relationship Id="rId49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741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740" Type="http://schemas.openxmlformats.org/officeDocument/2006/relationships/hyperlink" Target="https://www.dentalspeed.com/ultrassom-jet-sonic-bp-bivolt-gnatus.html?srsltid=AfmBOoqm4PiovmI0jqWpNkLzKzinJYwsyj9r2QpmXyDg092Xwc4-k5pb8Lw" TargetMode="External"/><Relationship Id="rId982" Type="http://schemas.openxmlformats.org/officeDocument/2006/relationships/drawing" Target="../drawings/drawing1.xml"/><Relationship Id="rId981" Type="http://schemas.openxmlformats.org/officeDocument/2006/relationships/hyperlink" Target="https://imperiomed.com.br/produto/sonopulse-compact-1-mhz-ibramed/" TargetMode="External"/><Relationship Id="rId980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31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30" Type="http://schemas.openxmlformats.org/officeDocument/2006/relationships/hyperlink" Target="https://www.dentalmedsul.com.br/peca-de-mao-reta-rx1---gnatus/p?idsku=12108&amp;gad_source=4&amp;gad_campaignid=20898675974&amp;gbraid=0AAAAAoakH06Xpcob7hfL59iVXnmwCq-S-&amp;gclid=Cj0KCQiA6NTJBhDEARIsAB7QHD2Cvsp7_Y0d0ueLGFibeGaxioe7IQMkYfq4HKUi8k3AQ8QLtggKsmMaArGfEALw_wcB" TargetMode="External"/><Relationship Id="rId33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32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35" Type="http://schemas.openxmlformats.org/officeDocument/2006/relationships/hyperlink" Target="https://www.amazon.com.br/Bola-Pilates-75cm-Muvin-Fortalecimento/dp/B07FYR8WPV?source=ps-sl-shoppingads-lpcontext&amp;ref_=fplfs&amp;smid=A1ZZFT5FULY4LN&amp;th=1" TargetMode="External"/><Relationship Id="rId34" Type="http://schemas.openxmlformats.org/officeDocument/2006/relationships/hyperlink" Target="https://produto.mercadolivre.com.br/MLB-2653219485-basto-ginastica-fisioterapia-pvc-120mts-com-carga-2kg-_JM?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140812603&amp;matt_product_id=MLB2653219485&amp;matt_product_partition_id=2424443221566&amp;matt_target_id=aud-1967156880386:pla-2424443221566&amp;cq_src=google_ads&amp;cq_cmp=22603531562&amp;cq_net=g&amp;cq_plt=gp&amp;cq_med=pla&amp;gad_source=1&amp;gad_campaignid=22603531562&amp;gbraid=0AAAAAD93qcDRceWVGhjBQuZNWL5guisK3&amp;gclid=Cj0KCQiA6NTJBhDEARIsAB7QHD1ibMwBhFN-ivVn72Ut0Ql78OYWFxRMInCWUkopZLiPfSY-iA4iPyYaAifoEALw_wcB" TargetMode="External"/><Relationship Id="rId739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734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976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733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975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732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974" Type="http://schemas.openxmlformats.org/officeDocument/2006/relationships/hyperlink" Target="https://www.dormed.com.br/estetoscopio-pro-lite-adulto-black-edition-spirit/p?idsku=12090&amp;utm_source=&amp;utm_medium=&amp;utm_campaign=&amp;utm_content=&amp;gad_source=1&amp;gad_campaignid=802491041&amp;gbraid=0AAAAADyu5AKZK6tdgu3UqVZHNT-9ALx1J&amp;gclid=Cj0KCQiA6NTJBhDEARIsAB7QHD07poMpB0nMnqjxnxoFT8TKVeFE2XO9S4Ba0Us2cOCUHjI0MehSw30aAuRFEALw_wcB" TargetMode="External"/><Relationship Id="rId731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973" Type="http://schemas.openxmlformats.org/officeDocument/2006/relationships/hyperlink" Target="https://www.dormed.com.br/estetoscopio-pro-lite-adulto-black-edition-spirit/p?idsku=12090&amp;utm_source=&amp;utm_medium=&amp;utm_campaign=&amp;utm_content=&amp;gad_source=1&amp;gad_campaignid=802491041&amp;gbraid=0AAAAADyu5AKZK6tdgu3UqVZHNT-9ALx1J&amp;gclid=Cj0KCQiA6NTJBhDEARIsAB7QHD07poMpB0nMnqjxnxoFT8TKVeFE2XO9S4Ba0Us2cOCUHjI0MehSw30aAuRFEALw_wcB" TargetMode="External"/><Relationship Id="rId738" Type="http://schemas.openxmlformats.org/officeDocument/2006/relationships/hyperlink" Target="https://www.amazon.com.br/Aparelho-Press%C3%A3o-Arterial-Eletrico-Controle/dp/B0D7MJDHLZ/ref=asc_df_B0D7MJDHLZ?mcid=ceda202ffd6e367da9f5ceedd482aa5e&amp;tag=googleshopp00-20&amp;linkCode=df0&amp;hvadid=709857204930&amp;hvpos=&amp;hvnetw=g&amp;hvrand=5232457311370196229&amp;hvpone=&amp;hvptwo=&amp;hvqmt=&amp;hvdev=c&amp;hvdvcmdl=&amp;hvlocint=&amp;hvlocphy=1031867&amp;hvtargid=pla-2428474733442&amp;psc=1&amp;language=pt_BR&amp;gad_source=4" TargetMode="External"/><Relationship Id="rId737" Type="http://schemas.openxmlformats.org/officeDocument/2006/relationships/hyperlink" Target="https://www.mercadolivre.com.br/purificador-de-agua-everest-slim-branco/p/MLB22762190?pdp_filters=item_id%3AMLB5259304818&amp;from=gshop&amp;matt_tool=13891073&amp;matt_internal_campaign_id=&amp;matt_word=&amp;matt_source=google&amp;matt_campaign_id=22090193717&amp;matt_ad_group_id=174661961924&amp;matt_match_type=&amp;matt_network=g&amp;matt_device=c&amp;matt_creative=727914179479&amp;matt_keyword=&amp;matt_ad_position=&amp;matt_ad_type=pla&amp;matt_merchant_id=735128188&amp;matt_product_id=MLB22762190-product&amp;matt_product_partition_id=2388289386841&amp;matt_target_id=aud-1966857867496:pla-2388289386841&amp;cq_src=google_ads&amp;cq_cmp=22090193717&amp;cq_net=g&amp;cq_plt=gp&amp;cq_med=pla&amp;gad_source=4&amp;gad_campaignid=22090193717&amp;gbraid=0AAAAAD93qcDmMRRo7lU4NCcxPD4INrrk0&amp;gclid=CjwKCAiA3fnJBhAgEiwAyqmY5X0E2LD4LSx1VSYMCEqq3IneH8uFDejGYdn0KHj920D3Yn5UPEEQKxoC3UoQAvD_BwE" TargetMode="External"/><Relationship Id="rId979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736" Type="http://schemas.openxmlformats.org/officeDocument/2006/relationships/hyperlink" Target="https://www.amazon.com.br/Disco-Equil%C3%ADbrio-Balance-Odin-Fit/dp/B07NS2HRDZ?source=ps-sl-shoppingads-lpcontext&amp;ref_=fplfs&amp;psc=1&amp;smid=AKX35CEB3DMAT" TargetMode="External"/><Relationship Id="rId978" Type="http://schemas.openxmlformats.org/officeDocument/2006/relationships/hyperlink" Target="https://www.mercadolivre.com.br/negatoscopio-de-1-corpo-visualizador-de-raio-x/up/MLBU1398365303?pdp_filters=item_id%3AMLB1170992059&amp;gclid=Cj0KCQiA6NTJBhDEARIsAB7QHD0dVLZ9IPnsICizAtktK_DW03n_u_xNDexFtMQ34fRmvpRh7vzeJXsaAvkLEALw_wcB&amp;matt_campaign_id=22120855434&amp;matt_target_id=pla-2392431398095&amp;matt_tool=33369853&amp;matt_source=google&amp;gbraid=0AAAAAD93qcC7xqU6LSu1gidQdTkRxHcBl" TargetMode="External"/><Relationship Id="rId735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977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37" Type="http://schemas.openxmlformats.org/officeDocument/2006/relationships/hyperlink" Target="https://www.mercadolivre.com.br/cadeira-de-rodas-pneu-anti-furo-jaguaribe-1011-semi-obeso/p/MLB39228844?pdp_filters=item_id%3AMLB5198702860&amp;from=gshop&amp;matt_tool=79314260&amp;matt_internal_campaign_id=&amp;matt_word=&amp;matt_source=google&amp;matt_campaign_id=22090354076&amp;matt_ad_group_id=173090537036&amp;matt_match_type=&amp;matt_network=g&amp;matt_device=c&amp;matt_creative=727882727727&amp;matt_keyword=&amp;matt_ad_position=&amp;matt_ad_type=pla&amp;matt_merchant_id=735128761&amp;matt_product_id=MLB39228844-product&amp;matt_product_partition_id=2417613507324&amp;matt_target_id=pla-2417613507324&amp;cq_src=google_ads&amp;cq_cmp=22090354076&amp;cq_net=g&amp;cq_plt=gp&amp;cq_med=pla&amp;gad_source=1&amp;gad_campaignid=22090354076&amp;gbraid=0AAAAAD93qcB24kav7btox8UV7rGANyVkO&amp;gclid=CjwKCAiA3fnJBhAgEiwAyqmY5ZZtZWPlvyF-wnCbpLzJvcBAXfEUcWCq5ykMTZ0lizue-XuD-4CxjRoCXjEQAvD_BwE" TargetMode="External"/><Relationship Id="rId36" Type="http://schemas.openxmlformats.org/officeDocument/2006/relationships/hyperlink" Target="https://www.mercadolivre.com.br/cadeira-de-rodas-pneu-anti-furo-jaguaribe-1011-semi-obeso/p/MLB39228844?pdp_filters=item_id%3AMLB5198702860&amp;from=gshop&amp;matt_tool=79314260&amp;matt_internal_campaign_id=&amp;matt_word=&amp;matt_source=google&amp;matt_campaign_id=22090354076&amp;matt_ad_group_id=173090537036&amp;matt_match_type=&amp;matt_network=g&amp;matt_device=c&amp;matt_creative=727882727727&amp;matt_keyword=&amp;matt_ad_position=&amp;matt_ad_type=pla&amp;matt_merchant_id=735128761&amp;matt_product_id=MLB39228844-product&amp;matt_product_partition_id=2417613507324&amp;matt_target_id=pla-2417613507324&amp;cq_src=google_ads&amp;cq_cmp=22090354076&amp;cq_net=g&amp;cq_plt=gp&amp;cq_med=pla&amp;gad_source=1&amp;gad_campaignid=22090354076&amp;gbraid=0AAAAAD93qcB24kav7btox8UV7rGANyVkO&amp;gclid=CjwKCAiA3fnJBhAgEiwAyqmY5ZZtZWPlvyF-wnCbpLzJvcBAXfEUcWCq5ykMTZ0lizue-XuD-4CxjRoCXjEQAvD_BwE" TargetMode="External"/><Relationship Id="rId39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38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730" Type="http://schemas.openxmlformats.org/officeDocument/2006/relationships/hyperlink" Target="https://www.mercadolivre.com.br/jump-mini-cama-elastica-profissional-academia-150-kg-cor-azul/p/MLB43762527?pdp_filters=item_id%3AMLB5458514308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098639&amp;matt_product_id=MLB43762527-product&amp;matt_product_partition_id=2387641794686&amp;matt_target_id=aud-1967156880386:pla-2387641794686&amp;cq_src=google_ads&amp;cq_cmp=22090354529&amp;cq_net=g&amp;cq_plt=gp&amp;cq_med=pla&amp;gad_source=4&amp;gad_campaignid=22090354529&amp;gbraid=0AAAAAD93qcB2KIPZM_rpSZn6WZETvZyPE&amp;gclid=Cj0KCQiA6NTJBhDEARIsAB7QHD1q3DWVo6k6AW1PfV6YEbYGFoIIB3ikT_X5wO4MuyfCl4xCNsC8Lj4aAkAXEALw_wcB" TargetMode="External"/><Relationship Id="rId972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971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970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20" Type="http://schemas.openxmlformats.org/officeDocument/2006/relationships/hyperlink" Target="https://www.mercadolivre.com.br/balco-para-pia-itatiaia-diamante-com-2-portas-e-4-gavetas-branco/p/MLB61993054?pdp_filters=item_id%3AMLB5922368604&amp;from=gshop&amp;matt_tool=29425971&amp;matt_internal_campaign_id=&amp;matt_word=&amp;matt_source=google&amp;matt_campaign_id=22090354064&amp;matt_ad_group_id=173090530756&amp;matt_match_type=&amp;matt_network=g&amp;matt_device=c&amp;matt_creative=727882727247&amp;matt_keyword=&amp;matt_ad_position=&amp;matt_ad_type=pla&amp;matt_merchant_id=735128188&amp;matt_product_id=MLB61993054-product&amp;matt_product_partition_id=2392712829741&amp;matt_target_id=aud-1967156880386:pla-2392712829741&amp;cq_src=google_ads&amp;cq_cmp=22090354064&amp;cq_net=g&amp;cq_plt=gp&amp;cq_med=pla&amp;gad_source=4&amp;gad_campaignid=22090354064&amp;gbraid=0AAAAAD93qcCK9yNNnq6DAaJJbAA37LH7H&amp;gclid=Cj0KCQiAi9rJBhCYARIsALyPDtvYAFivuIwiMLZacOb96jF4_j_tRVEhGJGToEAsEDK1DkATXdNrLNkaAjhUEALw_wcB" TargetMode="External"/><Relationship Id="rId22" Type="http://schemas.openxmlformats.org/officeDocument/2006/relationships/hyperlink" Target="https://www.mercadolivre.com.br/caixa-do-reformer-caixa-de-exercicios-do-pilates-cor-azul/p/MLB26090493?pdp_filters=item_id%3AMLB3417633357&amp;from=gshop&amp;matt_tool=45821161&amp;matt_internal_campaign_id=&amp;matt_word=&amp;matt_source=google&amp;matt_campaign_id=22090354238&amp;matt_ad_group_id=197094186651&amp;matt_match_type=&amp;matt_network=g&amp;matt_device=c&amp;matt_creative=792355617267&amp;matt_keyword=&amp;matt_ad_position=&amp;matt_ad_type=pla&amp;matt_merchant_id=735098639&amp;matt_product_id=MLB26090493-product&amp;matt_product_partition_id=2454652786201&amp;matt_target_id=pla-2454652786201&amp;cq_src=google_ads&amp;cq_cmp=22090354238&amp;cq_net=g&amp;cq_plt=gp&amp;cq_med=pla&amp;gad_source=1&amp;gad_campaignid=22090354238&amp;gbraid=0AAAAAD93qcD3-ZJqdgRAPanAO6UFTpgLg&amp;gclid=Cj0KCQiA5I_NBhDVARIsAOrqIsaOcxE5eMtn0pD7SOzDHObAZPeUw2sX6z0Z6CvzgNo0eK0uIy9jtBwaAsIMEALw_wcB" TargetMode="External"/><Relationship Id="rId21" Type="http://schemas.openxmlformats.org/officeDocument/2006/relationships/hyperlink" Target="https://www.mercadolivre.com.br/balco-para-pia-itatiaia-diamante-com-2-portas-e-4-gavetas-branco/p/MLB61993054?pdp_filters=item_id%3AMLB5922368604&amp;from=gshop&amp;matt_tool=29425971&amp;matt_internal_campaign_id=&amp;matt_word=&amp;matt_source=google&amp;matt_campaign_id=22090354064&amp;matt_ad_group_id=173090530756&amp;matt_match_type=&amp;matt_network=g&amp;matt_device=c&amp;matt_creative=727882727247&amp;matt_keyword=&amp;matt_ad_position=&amp;matt_ad_type=pla&amp;matt_merchant_id=735128188&amp;matt_product_id=MLB61993054-product&amp;matt_product_partition_id=2392712829741&amp;matt_target_id=aud-1967156880386:pla-2392712829741&amp;cq_src=google_ads&amp;cq_cmp=22090354064&amp;cq_net=g&amp;cq_plt=gp&amp;cq_med=pla&amp;gad_source=4&amp;gad_campaignid=22090354064&amp;gbraid=0AAAAAD93qcCK9yNNnq6DAaJJbAA37LH7H&amp;gclid=Cj0KCQiAi9rJBhCYARIsALyPDtvYAFivuIwiMLZacOb96jF4_j_tRVEhGJGToEAsEDK1DkATXdNrLNkaAjhUEALw_wcB" TargetMode="External"/><Relationship Id="rId24" Type="http://schemas.openxmlformats.org/officeDocument/2006/relationships/hyperlink" Target="https://www.mercadolivre.com.br/totem-dispenser-em-tubo-para-alcool-em-gel-com-pedal/p/MLB32364245" TargetMode="External"/><Relationship Id="rId23" Type="http://schemas.openxmlformats.org/officeDocument/2006/relationships/hyperlink" Target="https://www.amazon.com.br/Conjunto-Dispenser-Toalha-Saboneteira-Consultorio/dp/B07KRKZC41/ref=asc_df_B07KRKZC41?mcid=04f4cace76b63c68bbbb67b77b57aae0&amp;tag=googleshopp00-20&amp;linkCode=df0&amp;hvadid=709968341026&amp;hvpos=&amp;hvnetw=g&amp;hvrand=14945236458744938636&amp;hvpone=&amp;hvptwo=&amp;hvqmt=&amp;hvdev=c&amp;hvdvcmdl=&amp;hvlocint=&amp;hvlocphy=9101878&amp;hvtargid=pla-1105090919272&amp;psc=1&amp;language=pt_BR&amp;gad_source=1" TargetMode="External"/><Relationship Id="rId525" Type="http://schemas.openxmlformats.org/officeDocument/2006/relationships/hyperlink" Target="https://www.mercadolivre.com.br/computador-all-in-one-i5-8gb-ram-ssd-240gb-tela-215-full-hd/up/MLBU3554218175?pdp_filters=item_id%3AMLB5930250716&amp;from=gshop&amp;matt_tool=91562990&amp;matt_internal_campaign_id=&amp;matt_word=&amp;matt_source=google&amp;matt_campaign_id=22090193891&amp;matt_ad_group_id=180228882944&amp;matt_match_type=&amp;matt_network=g&amp;matt_device=c&amp;matt_creative=728942946675&amp;matt_keyword=&amp;matt_ad_position=&amp;matt_ad_type=pla&amp;matt_merchant_id=5387182833&amp;matt_product_id=MLBU3554218175&amp;matt_product_partition_id=2389840739499&amp;matt_target_id=pla-2389840739499&amp;cq_src=google_ads&amp;cq_cmp=22090193891&amp;cq_net=g&amp;cq_plt=gp&amp;cq_med=pla&amp;gad_source=1&amp;gad_campaignid=22090193891&amp;gbraid=0AAAAAD93qcDowZhjpiHe3AXzQR2o262ZK&amp;gclid=Cj0KCQiA5I_NBhDVARIsAOrqIsZ_6G8mktj8NWfR3Gxq6fIJYshnraksjynC_rr6cNKCu0EVblMcC5caAkMaEALw_wcB" TargetMode="External"/><Relationship Id="rId767" Type="http://schemas.openxmlformats.org/officeDocument/2006/relationships/hyperlink" Target="https://www.mercadolivre.com.br/jump-mini-cama-elastica-profissional-academia-150-kg-cor-azul/p/MLB43762527?pdp_filters=item_id%3AMLB5458514308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098639&amp;matt_product_id=MLB43762527-product&amp;matt_product_partition_id=2387641794686&amp;matt_target_id=aud-1967156880386:pla-2387641794686&amp;cq_src=google_ads&amp;cq_cmp=22090354529&amp;cq_net=g&amp;cq_plt=gp&amp;cq_med=pla&amp;gad_source=4&amp;gad_campaignid=22090354529&amp;gbraid=0AAAAAD93qcB2KIPZM_rpSZn6WZETvZyPE&amp;gclid=Cj0KCQiA6NTJBhDEARIsAB7QHD1q3DWVo6k6AW1PfV6YEbYGFoIIB3ikT_X5wO4MuyfCl4xCNsC8Lj4aAkAXEALw_wcB" TargetMode="External"/><Relationship Id="rId524" Type="http://schemas.openxmlformats.org/officeDocument/2006/relationships/hyperlink" Target="https://www.mercadolivre.com.br/computador-all-in-one-i5-8gb-ram-ssd-240gb-tela-215-full-hd/up/MLBU3554218175?pdp_filters=item_id%3AMLB5930250716&amp;from=gshop&amp;matt_tool=91562990&amp;matt_internal_campaign_id=&amp;matt_word=&amp;matt_source=google&amp;matt_campaign_id=22090193891&amp;matt_ad_group_id=180228882944&amp;matt_match_type=&amp;matt_network=g&amp;matt_device=c&amp;matt_creative=728942946675&amp;matt_keyword=&amp;matt_ad_position=&amp;matt_ad_type=pla&amp;matt_merchant_id=5387182833&amp;matt_product_id=MLBU3554218175&amp;matt_product_partition_id=2389840739499&amp;matt_target_id=pla-2389840739499&amp;cq_src=google_ads&amp;cq_cmp=22090193891&amp;cq_net=g&amp;cq_plt=gp&amp;cq_med=pla&amp;gad_source=1&amp;gad_campaignid=22090193891&amp;gbraid=0AAAAAD93qcDowZhjpiHe3AXzQR2o262ZK&amp;gclid=Cj0KCQiA5I_NBhDVARIsAOrqIsZ_6G8mktj8NWfR3Gxq6fIJYshnraksjynC_rr6cNKCu0EVblMcC5caAkMaEALw_wcB" TargetMode="External"/><Relationship Id="rId766" Type="http://schemas.openxmlformats.org/officeDocument/2006/relationships/hyperlink" Target="https://www.amazon.com.br/REFRIGERADOR-CONSUL-LITROS-BRANCO-CRB36AB/dp/B07JGL1WH8/ref=asc_df_B07JGL1WH8?mcid=b6acd287f9cc37338cef6ba9717830f3&amp;tag=googleshopp00-20&amp;linkCode=df0&amp;hvadid=709884460975&amp;hvpos=&amp;hvnetw=g&amp;hvrand=7931948425802879525&amp;hvpone=&amp;hvptwo=&amp;hvqmt=&amp;hvdev=c&amp;hvdvcmdl=&amp;hvlocint=&amp;hvlocphy=9101878&amp;hvtargid=pla-1095777140872&amp;language=pt_BR&amp;gad_source=1&amp;th=1" TargetMode="External"/><Relationship Id="rId523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765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" TargetMode="External"/><Relationship Id="rId522" Type="http://schemas.openxmlformats.org/officeDocument/2006/relationships/hyperlink" Target="https://www.amazon.com.br/Cadeira-Escrit%C3%B3rio-M%C3%B4naco-Base-Girat%C3%B3ria/dp/B0CZBMRDPH?source=ps-sl-shoppingads-lpcontext&amp;ref_=fplfs&amp;smid=A23WN10NF6K5HQ&amp;th=1" TargetMode="External"/><Relationship Id="rId764" Type="http://schemas.openxmlformats.org/officeDocument/2006/relationships/hyperlink" Target="https://www.mercadolivre.com.br/barra-reta-macica-180m-suporta-300kg-para-treino-musculacao/up/MLBU3707025444?matt_tool=18956390&amp;utm_source=google_shopping&amp;utm_medium=organic&amp;pdp_filters=item_id%3AMLB4394486037&amp;from=gshop" TargetMode="External"/><Relationship Id="rId529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528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527" Type="http://schemas.openxmlformats.org/officeDocument/2006/relationships/hyperlink" Target="https://www.mercadolivre.com.br/cadeira-iso-giratoria-com-regulagem-secretaria-recepcao-home-cor-azul-material-do-estofamento-plastico/p/MLB36377521?pdp_filters=item_id%3AMLB3676480491&amp;from=gshop&amp;matt_tool=87728839&amp;matt_internal_campaign_id=&amp;matt_word=&amp;matt_source=google&amp;matt_campaign_id=22090193711&amp;matt_ad_group_id=174661959564&amp;matt_match_type=&amp;matt_network=g&amp;matt_device=c&amp;matt_creative=727914179260&amp;matt_keyword=&amp;matt_ad_position=&amp;matt_ad_type=pla&amp;matt_merchant_id=735098639&amp;matt_product_id=MLB36377521-product&amp;matt_product_partition_id=2388009794786&amp;matt_target_id=pla-2388009794786&amp;cq_src=google_ads&amp;cq_cmp=22090193711&amp;cq_net=g&amp;cq_plt=gp&amp;cq_med=pla&amp;gad_source=1&amp;gad_campaignid=22090193711&amp;gbraid=0AAAAAD93qcCTS6pNN-QDflnCpgv_38i7p&amp;gclid=Cj0KCQiA5I_NBhDVARIsAOrqIsZHxOYsLvwc6cdMkfTXaFge3PDJ_tKNgycoA7_-NNGPhYJT_ob_q94aAmOYEALw_wcB" TargetMode="External"/><Relationship Id="rId769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526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768" Type="http://schemas.openxmlformats.org/officeDocument/2006/relationships/hyperlink" Target="https://www.mercadolivre.com.br/tablado-div-baixo-fisioterapia-neurologica-reabilitaco/p/MLB44008769?pdp_filters=item_id%3AMLB5199245458&amp;from=gshop&amp;matt_tool=79314260&amp;matt_internal_campaign_id=&amp;matt_word=&amp;matt_source=google&amp;matt_campaign_id=22090354076&amp;matt_ad_group_id=173090536996&amp;matt_match_type=&amp;matt_network=g&amp;matt_device=c&amp;matt_creative=727882727724&amp;matt_keyword=&amp;matt_ad_position=&amp;matt_ad_type=pla&amp;matt_merchant_id=735098660&amp;matt_product_id=MLB44008769-product&amp;matt_product_partition_id=2388288843481&amp;matt_target_id=aud-1966009190540:pla-2388288843481&amp;cq_src=google_ads&amp;cq_cmp=22090354076&amp;cq_net=g&amp;cq_plt=gp&amp;cq_med=pla&amp;gad_source=4&amp;gad_campaignid=22090354076&amp;gbraid=0AAAAAD93qcA4lbE4fBMXxx5w9sMVHkdSV&amp;gclid=CjwKCAiA3fnJBhAgEiwAyqmY5VyEQgpx_oRDy8O469r1c2Reb6IH9OqxrEv0tDBIYUQJGOmtQ4VIvhoCkqQQAvD_BwE" TargetMode="External"/><Relationship Id="rId26" Type="http://schemas.openxmlformats.org/officeDocument/2006/relationships/hyperlink" Target="https://www.fisiofernandes.com.br/moveis-clinicos/maca-diva-em-madeira-com-cabeceira-regulavel?parceiro=8547&amp;variant_id=1881&amp;srsltid=AfmBOorj9GwFAAt8Ds7YxUgUhu44oVweOFm8Wqe1-BdCVssaFXZhmMNQTg4" TargetMode="External"/><Relationship Id="rId25" Type="http://schemas.openxmlformats.org/officeDocument/2006/relationships/hyperlink" Target="https://www.mercadolivre.com.br/smart-sport-massageador-automatico-smart-gr/p/MLB26343328?pdp_filters=item_id%3AMLB4333944859&amp;from=gshop&amp;matt_tool=35397717&amp;matt_internal_campaign_id=&amp;matt_word=&amp;matt_source=google&amp;matt_campaign_id=22090354487&amp;matt_ad_group_id=197094213091&amp;matt_match_type=&amp;matt_network=g&amp;matt_device=c&amp;matt_creative=792396419722&amp;matt_keyword=&amp;matt_ad_position=&amp;matt_ad_type=pla&amp;matt_merchant_id=735125422&amp;matt_product_id=MLB26343328-product&amp;matt_product_partition_id=2509827002327&amp;matt_target_id=pla-2509827002327&amp;cq_src=google_ads&amp;cq_cmp=22090354487&amp;cq_net=g&amp;cq_plt=gp&amp;cq_med=pla&amp;gad_source=1&amp;gad_campaignid=22090354487&amp;gbraid=0AAAAAD93qcD-_ZCOJK6DVi71HU_uX_XYR&amp;gclid=Cj0KCQiA5I_NBhDVARIsAOrqIsY4eZPGcjkSqOW3Y_SrNHi8erFnZFN302DyUB5GFvlxpjEYl7YM_gsaAqcXEALw_wcB" TargetMode="External"/><Relationship Id="rId28" Type="http://schemas.openxmlformats.org/officeDocument/2006/relationships/hyperlink" Target="https://www.dentalmedsul.com.br/peca-de-mao-reta-rx1---gnatus/p?idsku=12108&amp;gad_source=4&amp;gad_campaignid=20898675974&amp;gbraid=0AAAAAoakH06Xpcob7hfL59iVXnmwCq-S-&amp;gclid=Cj0KCQiA6NTJBhDEARIsAB7QHD2Cvsp7_Y0d0ueLGFibeGaxioe7IQMkYfq4HKUi8k3AQ8QLtggKsmMaArGfEALw_wcB" TargetMode="External"/><Relationship Id="rId27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521" Type="http://schemas.openxmlformats.org/officeDocument/2006/relationships/hyperlink" Target="https://produto.mercadolivre.com.br/MLB-4600764984-cadeira-de-banho-higienica-aluminio-dobravel-140kg-supermedy-_JM" TargetMode="External"/><Relationship Id="rId763" Type="http://schemas.openxmlformats.org/officeDocument/2006/relationships/hyperlink" Target="https://www.mercadolivre.com.br/suporte-de-soro--aco-carbono/up/MLBU1466637607?matt_tool=18956390&amp;utm_source=google_shopping&amp;utm_medium=organic&amp;pdp_filters=item_id:MLB4362525096" TargetMode="External"/><Relationship Id="rId29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520" Type="http://schemas.openxmlformats.org/officeDocument/2006/relationships/hyperlink" Target="https://www.casasbahia.com.br/geladeira-consul-crm44mb-duplex-inverter-377l-frost-free-branca/p/55070759?utm_medium=Cpc&amp;utm_source=GP_PLA&amp;IdSku=55070759&amp;idLojista=10037&amp;tipoLojista=1P&amp;gclsrc=aw.ds&amp;&amp;utm_campaign=cb_b2c_gg_shopping_core_eldo_refrigerador&amp;gad_source=1&amp;gad_campaignid=22440733097&amp;gbraid=0AAAAADtAamhH0MoIp-QSjCtgKW1esNzQu&amp;gclid=Cj0KCQiA5I_NBhDVARIsAOrqIsbmn8rgq46ySNgC-Ve4LPGO1QE0uojfTVak2HidE5iruTBH6qP8nw4aAkqbEALw_wcB" TargetMode="External"/><Relationship Id="rId762" Type="http://schemas.openxmlformats.org/officeDocument/2006/relationships/hyperlink" Target="https://www.mercadolivre.com.br/suporte-de-soro--aco-carbono/up/MLBU1466637607?matt_tool=18956390&amp;utm_source=google_shopping&amp;utm_medium=organic&amp;pdp_filters=item_id:MLB4362525096" TargetMode="External"/><Relationship Id="rId761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760" Type="http://schemas.openxmlformats.org/officeDocument/2006/relationships/hyperlink" Target="https://www.mercadolivre.com.br/cadeira-iso-rp-longarina-polipropileno-2-lugares-preta/up/MLBU1160649238?pdp_filters=item_id%3AMLB4094878576&amp;from=gshop&amp;matt_tool=40300352&amp;matt_internal_campaign_id=&amp;matt_word=&amp;matt_source=google&amp;matt_campaign_id=22090354013&amp;matt_ad_group_id=195616607208&amp;matt_match_type=&amp;matt_network=g&amp;matt_device=c&amp;matt_creative=787871502239&amp;matt_keyword=&amp;matt_ad_position=&amp;matt_ad_type=pla&amp;matt_merchant_id=5689833445&amp;matt_product_id=MLBU1160649238&amp;matt_product_partition_id=2455355912855&amp;matt_target_id=pla-2455355912855&amp;cq_src=google_ads&amp;cq_cmp=22090354013&amp;cq_net=g&amp;cq_plt=gp&amp;cq_med=pla&amp;gad_source=1&amp;gad_campaignid=22090354013&amp;gbraid=0AAAAAD93qcC0f46ogM1OezHXPsw1DpRqk&amp;gclid=Cj0KCQiA5I_NBhDVARIsAOrqIsbKNoW8Ao4utvOmJo2zaApPBO9282H6BSbjLCjKj0geEV9jrq0oJvgaAiAUEALw_wcB" TargetMode="External"/><Relationship Id="rId11" Type="http://schemas.openxmlformats.org/officeDocument/2006/relationships/hyperlink" Target="https://www.dentalspeed.com/ultrassom-jet-sonic-bp-bivolt-gnatus.html?srsltid=AfmBOoqm4PiovmI0jqWpNkLzKzinJYwsyj9r2QpmXyDg092Xwc4-k5pb8Lw" TargetMode="External"/><Relationship Id="rId10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3" Type="http://schemas.openxmlformats.org/officeDocument/2006/relationships/hyperlink" Target="https://produto.mercadolivre.com.br/MLB-5291276054-organizador-4-gavetas-gavea-com-rodizios-e-chave-_JM?matt_tool=67089616&amp;matt_internal_campaign_id=&amp;matt_word=&amp;matt_source=google&amp;matt_campaign_id=22090193651&amp;matt_ad_group_id=174661941564&amp;matt_match_type=&amp;matt_network=g&amp;matt_device=c&amp;matt_creative=727914177496&amp;matt_keyword=&amp;matt_ad_position=&amp;matt_ad_type=pla&amp;matt_merchant_id=668847494&amp;matt_product_id=MLB5291276054&amp;matt_product_partition_id=2387641942006&amp;matt_target_id=aud-1966857867496:pla-2387641942006&amp;cq_src=google_ads&amp;cq_cmp=22090193651&amp;cq_net=g&amp;cq_plt=gp&amp;cq_med=pla&amp;gad_source=4&amp;gad_campaignid=22090193651&amp;gbraid=0AAAAAD93qcDpNBuZOSvAM_pzmxkvFVQmd&amp;gclid=Cj0KCQiA6NTJBhDEARIsAB7QHD0ChuVZIPGSDpolRCReA1ybLXz7dNl-EyGxN2EGrYpli1aQX3BWacQaAgquEALw_wcB" TargetMode="External"/><Relationship Id="rId12" Type="http://schemas.openxmlformats.org/officeDocument/2006/relationships/hyperlink" Target="https://www.mercadolivre.com.br/destilador-de-agua-cristofoli-220v-autoclave-38l-de-bancada/up/MLBU1744169011?pdp_filters=item_id%3AMLB4209728142&amp;from=gshop&amp;matt_tool=77625077&amp;matt_internal_campaign_id=&amp;matt_word=&amp;matt_source=google&amp;matt_campaign_id=22120855431&amp;matt_ad_group_id=179138689371&amp;matt_match_type=&amp;matt_network=g&amp;matt_device=c&amp;matt_creative=729092955307&amp;matt_keyword=&amp;matt_ad_position=&amp;matt_ad_type=pla&amp;matt_merchant_id=645168673&amp;matt_product_id=MLBU1744169011&amp;matt_product_partition_id=2396368669172&amp;matt_target_id=pla-2396368669172&amp;cq_src=google_ads&amp;cq_cmp=22120855431&amp;cq_net=g&amp;cq_plt=gp&amp;cq_med=pla&amp;gad_source=1&amp;gad_campaignid=22120855431&amp;gbraid=0AAAAAD93qcCmoEGRbt1c8Q-zYOzeebXCT&amp;gclid=Cj0KCQiA5I_NBhDVARIsAOrqIsbM4Rb8ovmYF20oTceTOEjExlqwv1CoS4cALgsvFCm_rt4VU4XU4NUaAiFmEALw_wcB" TargetMode="External"/><Relationship Id="rId519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514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756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513" Type="http://schemas.openxmlformats.org/officeDocument/2006/relationships/hyperlink" Target="https://www.amazon.com.br/Notebook-HP-Gera%C3%A7%C3%A3o-Mem%C3%B3ria-Windows/dp/B0F63YHGGR/ref=asc_df_B0F63YHGGR?mcid=4f7cdfe0e6f23c9eb595653d34cd51e3&amp;tag=googleshopp00-20&amp;linkCode=df0&amp;hvadid=709884378364&amp;hvpos=&amp;hvnetw=g&amp;hvrand=7679138051252135479&amp;hvpone=&amp;hvptwo=&amp;hvqmt=&amp;hvdev=c&amp;hvdvcmdl=&amp;hvlocint=&amp;hvlocphy=9101878&amp;hvtargid=pla-2431042952079&amp;psc=1&amp;language=pt_BR&amp;gad_source=1" TargetMode="External"/><Relationship Id="rId755" Type="http://schemas.openxmlformats.org/officeDocument/2006/relationships/hyperlink" Target="https://www.amazon.com.br/Lixeira-Acabamento-Polido-Litros-Tramontina/dp/B01M1PC86E/ref=asc_df_B01M1PC86E?mcid=8d49642a880930f99ffe1a2fe03ca0cf&amp;tag=googleshopp00-20&amp;linkCode=df0&amp;hvadid=709968341173&amp;hvpos=&amp;hvnetw=g&amp;hvrand=11854265985682655876&amp;hvpone=&amp;hvptwo=&amp;hvqmt=&amp;hvdev=c&amp;hvdvcmdl=&amp;hvlocint=&amp;hvlocphy=1031867&amp;hvtargid=pla-840177394524&amp;psc=1&amp;language=pt_BR&amp;gad_source=1" TargetMode="External"/><Relationship Id="rId512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754" Type="http://schemas.openxmlformats.org/officeDocument/2006/relationships/hyperlink" Target="https://www.brcirurgica.com.br/moveis-para-hospital/cadeira-de-aco-simples-sl/produto/665/17616?parceiro=9285&amp;srsltid=AfmBOopCpZUnQAGYLlvc7DGbYlx4QXjcyKJvgIXxFp6Czw4k-4QtjGBF9Hc" TargetMode="External"/><Relationship Id="rId511" Type="http://schemas.openxmlformats.org/officeDocument/2006/relationships/hyperlink" Target="https://produto.mercadolivre.com.br/MLB-4600764984-cadeira-de-banho-higienica-aluminio-dobravel-140kg-supermedy-_JM" TargetMode="External"/><Relationship Id="rId753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518" Type="http://schemas.openxmlformats.org/officeDocument/2006/relationships/hyperlink" Target="https://www.mercadolivre.com.br/computador-2eletro-speed-intel-core-i5-8gb-ram-ssd-512gb-hdmi-bivolt-audio-hd-cd2e-0102sp/p/MLB53799869?pdp_filters=item_id%3AMLB6222036276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735128761&amp;matt_product_id=MLB53799869-product&amp;matt_product_partition_id=2389840739899&amp;matt_target_id=pla-2389840739899&amp;cq_src=google_ads&amp;cq_cmp=22090193891&amp;cq_net=g&amp;cq_plt=gp&amp;cq_med=pla&amp;gad_source=1&amp;gad_campaignid=22090193891&amp;gbraid=0AAAAAD93qcDowZhjpiHe3AXzQR2o262ZK&amp;gclid=Cj0KCQiA5I_NBhDVARIsAOrqIsblsVqYlkxyfoXlocHjhnSZ1HA6bt2QBuAF9ozWg0Ww97GZPSvTkVEaAkwaEALw_wcB" TargetMode="External"/><Relationship Id="rId517" Type="http://schemas.openxmlformats.org/officeDocument/2006/relationships/hyperlink" Target="https://www.mercadolivre.com.br/arquivo-de-aco-4-gavetas-pandin-slm-cinza/p/MLB39028635?pdp_filters=item_id%3AMLB4027074707&amp;from=gshop&amp;matt_tool=14476645&amp;matt_internal_campaign_id=&amp;matt_word=&amp;matt_source=google&amp;matt_campaign_id=22090193660&amp;matt_ad_group_id=191545507322&amp;matt_match_type=&amp;matt_network=g&amp;matt_device=c&amp;matt_creative=787871501651&amp;matt_keyword=&amp;matt_ad_position=&amp;matt_ad_type=pla&amp;matt_merchant_id=735098660&amp;matt_product_id=MLB39028635-product&amp;matt_product_partition_id=2455355885895&amp;matt_target_id=pla-2455355885895&amp;cq_src=google_ads&amp;cq_cmp=22090193660&amp;cq_net=g&amp;cq_plt=gp&amp;cq_med=pla&amp;gad_source=1&amp;gad_campaignid=22090193660&amp;gbraid=0AAAAAD93qcDJzagKrex6d6NFRsQoAuoy0&amp;gclid=Cj0KCQiA5I_NBhDVARIsAOrqIsaDB09x5TPd8f-aA_Qmw8ca6VzWBPIJyOyyS-wJs9AxB0LRkbqKxHUaAlXuEALw_wcB" TargetMode="External"/><Relationship Id="rId759" Type="http://schemas.openxmlformats.org/officeDocument/2006/relationships/hyperlink" Target="https://www.mercadolivre.com.br/jump-mini-cama-elastica-profissional-academia-150-kg-cor-azul/p/MLB43762527?pdp_filters=item_id%3AMLB5458514308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098639&amp;matt_product_id=MLB43762527-product&amp;matt_product_partition_id=2387641794686&amp;matt_target_id=aud-1967156880386:pla-2387641794686&amp;cq_src=google_ads&amp;cq_cmp=22090354529&amp;cq_net=g&amp;cq_plt=gp&amp;cq_med=pla&amp;gad_source=4&amp;gad_campaignid=22090354529&amp;gbraid=0AAAAAD93qcB2KIPZM_rpSZn6WZETvZyPE&amp;gclid=Cj0KCQiA6NTJBhDEARIsAB7QHD1q3DWVo6k6AW1PfV6YEbYGFoIIB3ikT_X5wO4MuyfCl4xCNsC8Lj4aAkAXEALw_wcB" TargetMode="External"/><Relationship Id="rId516" Type="http://schemas.openxmlformats.org/officeDocument/2006/relationships/hyperlink" Target="https://www.amazon.com.br/Notebook-Lenovo-IdeaPad-i3-1315U-Windows/dp/B0FCW8Q2MX/ref=asc_df_B0FCW8Q2MX?mcid=19e6f4e8d02d3a1a9f07c31fb16a9191&amp;tag=googleshopp00-20&amp;linkCode=df0&amp;hvadid=709884378364&amp;hvpos=&amp;hvnetw=g&amp;hvrand=3766334344178110355&amp;hvpone=&amp;hvptwo=&amp;hvqmt=&amp;hvdev=c&amp;hvdvcmdl=&amp;hvlocint=&amp;hvlocphy=9101878&amp;hvtargid=pla-2433925307983&amp;psc=1&amp;language=pt_BR&amp;gad_source=1" TargetMode="External"/><Relationship Id="rId758" Type="http://schemas.openxmlformats.org/officeDocument/2006/relationships/hyperlink" Target="https://www.mercadolivre.com.br/cadeira-secretaria-estofada-em-preto-confortavel-zy033b/up/MLBU3505414473" TargetMode="External"/><Relationship Id="rId515" Type="http://schemas.openxmlformats.org/officeDocument/2006/relationships/hyperlink" Target="https://www.amazon.com.br/Computador-i7-6600U-Alto-Falantes-Integrados-Teclado/dp/B0G52YJHL9/ref=asc_df_B0G52YJHL9?mcid=c30413eb42ad39b9aef6a4e60c398f7b&amp;tag=googleshopp00-20&amp;linkCode=df0&amp;hvadid=709884378172&amp;hvpos=&amp;hvnetw=g&amp;hvrand=16031713850516422216&amp;hvpone=&amp;hvptwo=&amp;hvqmt=&amp;hvdev=c&amp;hvdvcmdl=&amp;hvlocint=&amp;hvlocphy=9101878&amp;hvtargid=pla-2455107224566&amp;psc=1&amp;language=pt_BR&amp;gad_source=1" TargetMode="External"/><Relationship Id="rId757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15" Type="http://schemas.openxmlformats.org/officeDocument/2006/relationships/hyperlink" Target="https://www.fisiofernandes.com.br/moveis-clinicos/maca-diva-em-madeira-com-cabeceira-regulavel?parceiro=8547&amp;variant_id=87&amp;srsltid=AfmBOooZJN3kbyjM14uXHyqleoqnPnDAOWzc8GxxyF4fFi8ucNl4iD_dR6M" TargetMode="External"/><Relationship Id="rId14" Type="http://schemas.openxmlformats.org/officeDocument/2006/relationships/hyperlink" Target="https://www.magazineluiza.com.br/cadeira-prisma-iso-para-recepcao-sala-de-espera-desmontavel-azul-sintonia-flex/p/dkfe5c2be0/mo/cdfi/?&amp;seller_id=sintoniaflex&amp;utm_source=google&amp;utm_medium=cpc&amp;utm_term=84393&amp;utm_campaign=google_eco_per_ven_pla_all_apo_3p_adv-funnel-trafego-csp-0326&amp;utm_content=&amp;partner_id=84393&amp;gclsrc=aw.ds&amp;gad_source=4&amp;gad_campaignid=23600723162&amp;gbraid=0AAAAAD4zZmSLiQkl1ewEPGHkwioVvSBxF&amp;gclid=Cj0KCQiA5I_NBhDVARIsAOrqIsY7EA_LKTiWdBLrrCoMVyVs1Ys0XQ7xmytiIcpNH1QCBZZUwK7rSTUaAgGmEALw_wcB" TargetMode="External"/><Relationship Id="rId17" Type="http://schemas.openxmlformats.org/officeDocument/2006/relationships/hyperlink" Target="https://www.mercadolivre.com.br/aparelho-de-pilates-ladder-barrel-classic-azul-claro-arktus/p/MLB50137331?pdp_filters=item_id%3AMLB4264165557&amp;from=gshop&amp;matt_tool=45821161&amp;matt_internal_campaign_id=&amp;matt_word=&amp;matt_source=google&amp;matt_campaign_id=22090354238&amp;matt_ad_group_id=197094186651&amp;matt_match_type=&amp;matt_network=g&amp;matt_device=c&amp;matt_creative=792355617267&amp;matt_keyword=&amp;matt_ad_position=&amp;matt_ad_type=pla&amp;matt_merchant_id=735125422&amp;matt_product_id=MLB50137331-product&amp;matt_product_partition_id=2454652786201&amp;matt_target_id=pla-2454652786201&amp;cq_src=google_ads&amp;cq_cmp=22090354238&amp;cq_net=g&amp;cq_plt=gp&amp;cq_med=pla&amp;gad_source=1&amp;gad_campaignid=22090354238&amp;gbraid=0AAAAAD93qcD3-ZJqdgRAPanAO6UFTpgLg&amp;gclid=Cj0KCQiA5I_NBhDVARIsAOrqIsYYcGXC2S32-L4dJUAFEJz29W5iMEFt5GskLVYQ4HhPE1AJS0A66gEaApETEALw_wcB" TargetMode="External"/><Relationship Id="rId16" Type="http://schemas.openxmlformats.org/officeDocument/2006/relationships/hyperlink" Target="https://ispsaude.com.br/aparelho-de-pilates-reformer-classic-clinico-arktus-estofado-e-vendido-separadamente-nao-acompanha-o-produto--p-PA00566A?gad_source=1&amp;gad_campaignid=19716399081&amp;gbraid=0AAAAAD9tr_zyQZN3fZJUgVzzrFcrNcA92&amp;gclid=Cj0KCQiA5I_NBhDVARIsAOrqIsbv9uGFBZRRVJbKBfl64ti5wWcz1nEjqctoh_UEYIX-QOUhS96GV6AaAjepEALw_wcB" TargetMode="External"/><Relationship Id="rId19" Type="http://schemas.openxmlformats.org/officeDocument/2006/relationships/hyperlink" Target="https://www.mercadolivre.com.br/balco-para-pia-itatiaia-diamante-com-2-portas-e-4-gavetas-branco/p/MLB61993054?pdp_filters=item_id%3AMLB5922368604&amp;from=gshop&amp;matt_tool=29425971&amp;matt_internal_campaign_id=&amp;matt_word=&amp;matt_source=google&amp;matt_campaign_id=22090354064&amp;matt_ad_group_id=173090530756&amp;matt_match_type=&amp;matt_network=g&amp;matt_device=c&amp;matt_creative=727882727247&amp;matt_keyword=&amp;matt_ad_position=&amp;matt_ad_type=pla&amp;matt_merchant_id=735128188&amp;matt_product_id=MLB61993054-product&amp;matt_product_partition_id=2392712829741&amp;matt_target_id=aud-1967156880386:pla-2392712829741&amp;cq_src=google_ads&amp;cq_cmp=22090354064&amp;cq_net=g&amp;cq_plt=gp&amp;cq_med=pla&amp;gad_source=4&amp;gad_campaignid=22090354064&amp;gbraid=0AAAAAD93qcCK9yNNnq6DAaJJbAA37LH7H&amp;gclid=Cj0KCQiAi9rJBhCYARIsALyPDtvYAFivuIwiMLZacOb96jF4_j_tRVEhGJGToEAsEDK1DkATXdNrLNkaAjhUEALw_wcB" TargetMode="External"/><Relationship Id="rId510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752" Type="http://schemas.openxmlformats.org/officeDocument/2006/relationships/hyperlink" Target="https://lojaoficialaklimper.com.br/produtos/carrinho-com-gaveta-para-aparelho-e-equipamentos-odontologico/?srsltid=AfmBOooNSIt1nEmuPkuG6ostARWy_ErC_JLEgEyPD6wZs4Ob9AbhnTWwcxQ" TargetMode="External"/><Relationship Id="rId18" Type="http://schemas.openxmlformats.org/officeDocument/2006/relationships/hyperlink" Target="https://www.mercadolivre.com.br/step-chair-studio-contemporaneo-cadeira-de-pilates-fisiofit/up/MLBU3456088160?pdp_filters=item_id%3AMLB5751286794&amp;from=gshop&amp;matt_tool=45821161&amp;matt_internal_campaign_id=&amp;matt_word=&amp;matt_source=google&amp;matt_campaign_id=22090354238&amp;matt_ad_group_id=197094186651&amp;matt_match_type=&amp;matt_network=g&amp;matt_device=c&amp;matt_creative=792355617267&amp;matt_keyword=&amp;matt_ad_position=&amp;matt_ad_type=pla&amp;matt_merchant_id=377721674&amp;matt_product_id=MLBU3456088160&amp;matt_product_partition_id=2454652786201&amp;matt_target_id=pla-2454652786201&amp;cq_src=google_ads&amp;cq_cmp=22090354238&amp;cq_net=g&amp;cq_plt=gp&amp;cq_med=pla&amp;gad_source=1&amp;gad_campaignid=22090354238&amp;gbraid=0AAAAAD93qcD3-ZJqdgRAPanAO6UFTpgLg&amp;gclid=Cj0KCQiA5I_NBhDVARIsAOrqIsZtrUz8OofUyZ3qlPDiZ3tgra-PXNRujNG3LHSLN9b__cRboT-J9AQaAsMzEALw_wcB" TargetMode="External"/><Relationship Id="rId751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750" Type="http://schemas.openxmlformats.org/officeDocument/2006/relationships/hyperlink" Target="https://produto.mercadolivre.com.br/MLB-1977298989-armario-vitrine-02-portas-_JM?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548856185&amp;matt_product_id=MLB1977298989&amp;matt_product_partition_id=2389560632545&amp;matt_target_id=aud-1967156880386:pla-2389560632545&amp;cq_src=google_ads&amp;cq_cmp=22090354076&amp;cq_net=g&amp;cq_plt=gp&amp;cq_med=pla&amp;gad_source=1&amp;gad_campaignid=22090354076&amp;gbraid=0AAAAAD93qcAKTTW-ohSQTAZ4ENj3xhvka&amp;gclid=Cj0KCQiAi9rJBhCYARIsALyPDtsEwMcsy5-v4NO8ZNdfwrpYoqbv1HTnj4FK-fqFxk5xL-G1bGivf7YaArGmEALw_wcB" TargetMode="External"/><Relationship Id="rId84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83" Type="http://schemas.openxmlformats.org/officeDocument/2006/relationships/hyperlink" Target="https://www.dentalmedsul.com.br/peca-de-mao-reta-rx1---gnatus/p?idsku=12108&amp;gad_source=4&amp;gad_campaignid=20898675974&amp;gbraid=0AAAAAoakH06Xpcob7hfL59iVXnmwCq-S-&amp;gclid=Cj0KCQiA6NTJBhDEARIsAB7QHD2Cvsp7_Y0d0ueLGFibeGaxioe7IQMkYfq4HKUi8k3AQ8QLtggKsmMaArGfEALw_wcB" TargetMode="External"/><Relationship Id="rId86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85" Type="http://schemas.openxmlformats.org/officeDocument/2006/relationships/hyperlink" Target="https://www.mercadolivre.com.br/negatoscopio-slim-led-telerradiografico-biotron/p/MLB27238770?pdp_filters=item_id:MLB3562634321&amp;matt_tool=63454239&amp;matt_internal_campaign_id=228483048&amp;matt_word=&amp;matt_source=google&amp;matt_campaign_id=22060114741&amp;matt_ad_group_id=182368294722&amp;matt_match_type=&amp;matt_network=g&amp;matt_device=c&amp;matt_creative=757618488415&amp;matt_keyword=&amp;matt_ad_position=&amp;matt_ad_type=pla&amp;matt_merchant_id=293183437&amp;matt_product_id=MLB3562634321&amp;matt_product_partition_id=1467388425520&amp;matt_target_id=pla-1467388425520&amp;cq_src=google_ads&amp;cq_cmp=22060114741&amp;cq_net=g&amp;cq_plt=gp&amp;cq_med=pla&amp;gad_source=1&amp;gad_campaignid=22060114741&amp;gbraid=0AAAAAD93qcCRjOz_4URriztmPHOpMDFCE&amp;gclid=Cj0KCQiAi9rJBhCYARIsALyPDttrrv-IWJfqrmhqPgepoQimcjFskWSOnkmsdWk6aH0uXFu_6lTTsBgaAiw5EALw_wcB" TargetMode="External"/><Relationship Id="rId88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87" Type="http://schemas.openxmlformats.org/officeDocument/2006/relationships/hyperlink" Target="https://lojaoficialaklimper.com.br/produtos/carrinho-com-gaveta-para-aparelho-e-equipamentos-odontologico/?srsltid=AfmBOooNSIt1nEmuPkuG6ostARWy_ErC_JLEgEyPD6wZs4Ob9AbhnTWwcxQ" TargetMode="External"/><Relationship Id="rId89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709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708" Type="http://schemas.openxmlformats.org/officeDocument/2006/relationships/hyperlink" Target="https://produto.mercadolivre.com.br/MLB-1289907999-armario-alto-fechado-160x80x42-f15mm-_JM?matt_tool=45048704&amp;matt_internal_campaign_id=&amp;matt_word=&amp;matt_source=google&amp;matt_campaign_id=22090354304&amp;matt_ad_group_id=173090583996&amp;matt_match_type=&amp;matt_network=g&amp;matt_device=c&amp;matt_creative=727882731531&amp;matt_keyword=&amp;matt_ad_position=&amp;matt_ad_type=pla&amp;matt_merchant_id=129114765&amp;matt_product_id=MLB1289907999&amp;matt_product_partition_id=2417611461484&amp;matt_target_id=aud-1967156880386:pla-2417611461484&amp;cq_src=google_ads&amp;cq_cmp=22090354304&amp;cq_net=g&amp;cq_plt=gp&amp;cq_med=pla&amp;gad_source=4&amp;gad_campaignid=22090354304&amp;gbraid=0AAAAAD93qcCBfNXewtmdOvKjLbBryoq5Y&amp;gclid=CjwKCAiA3fnJBhAgEiwAyqmY5Y5BZtWqXnudbRlbGLSdk1sRc1T_2AhMTkfhnJBsgOBSVlOkg_V78xoCxAUQAvD_BwE" TargetMode="External"/><Relationship Id="rId707" Type="http://schemas.openxmlformats.org/officeDocument/2006/relationships/hyperlink" Target="https://www.mercadolivre.com.br/halter-12-kg-500gramas-pesinho-unidade/up/MLBU2113566780?pdp_filters=item_id:MLB2119571282&amp;matt_tool=45821161&amp;matt_internal_campaign_id=&amp;matt_word=&amp;matt_source=google&amp;matt_campaign_id=22090354238&amp;matt_ad_group_id=191786779601&amp;matt_match_type=&amp;matt_network=g&amp;matt_device=c&amp;matt_creative=782869962869&amp;matt_keyword=&amp;matt_ad_position=&amp;matt_ad_type=pla&amp;matt_merchant_id=282343370&amp;matt_product_id=MLB2119571282&amp;matt_product_partition_id=2389876708948&amp;matt_target_id=aud-1966857867496:pla-2389876708948&amp;cq_src=google_ads&amp;cq_cmp=22090354238&amp;cq_net=g&amp;cq_plt=gp&amp;cq_med=pla&amp;gad_source=1&amp;gad_campaignid=22090354238&amp;gbraid=0AAAAAD93qcCAXm3J3_ndRCMimT1QMUpjK&amp;gclid=Cj0KCQiAi9rJBhCYARIsALyPDtty8-Ow6CPQYcartHVilsI23EaUQE7d_990u9SEkm_yHbeFyhR4SOsaAi5iEALw_wcB" TargetMode="External"/><Relationship Id="rId949" Type="http://schemas.openxmlformats.org/officeDocument/2006/relationships/hyperlink" Target="https://produto.mercadolivre.com.br/MLB-5537796930-muleta-axilar-universal-com-ajustes-134-a-193m-dellamed-_JM?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5562092234&amp;matt_product_id=MLB5537796930&amp;matt_product_partition_id=2424443219726&amp;matt_target_id=pla-2424443219726&amp;cq_src=google_ads&amp;cq_cmp=22603531562&amp;cq_net=g&amp;cq_plt=gp&amp;cq_med=pla&amp;gad_source=1&amp;gad_campaignid=22603531562&amp;gbraid=0AAAAAD93qcDRceWVGhjBQuZNWL5guisK3&amp;gclid=Cj0KCQiA6NTJBhDEARIsAB7QHD0iapXSfToIjrg8suFifO6XnPpflu0JQ4VdlfxAV__RnDV46g6aQRgaAu1sEALw_wcB" TargetMode="External"/><Relationship Id="rId706" Type="http://schemas.openxmlformats.org/officeDocument/2006/relationships/hyperlink" Target="https://www.amazon.com.br/Halter-Emborrachado-Pvc-4-Kg/dp/B085S73P5H?source=ps-sl-shoppingads-lpcontext&amp;ref_=fplfs&amp;psc=1&amp;smid=A35AR2PW4M3E2E" TargetMode="External"/><Relationship Id="rId948" Type="http://schemas.openxmlformats.org/officeDocument/2006/relationships/hyperlink" Target="https://www.amazon.com.br/Estante-prateleiras-regul%C3%A1veis-cinza-multiuso/dp/B0F19G3YYC/ref=asc_df_B0F19G3YYC?mcid=bd7cc301a1ab33f3b1d9a333a8f180b6&amp;tag=googleshopp00-20&amp;linkCode=df0&amp;hvadid=709968340957&amp;hvpos=&amp;hvnetw=g&amp;hvrand=1903770595014569830&amp;hvpone=&amp;hvptwo=&amp;hvqmt=&amp;hvdev=c&amp;hvdvcmdl=&amp;hvlocint=&amp;hvlocphy=1031867&amp;hvtargid=pla-2418873625146&amp;psc=1&amp;language=pt_BR&amp;gad_source=4" TargetMode="External"/><Relationship Id="rId80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82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81" Type="http://schemas.openxmlformats.org/officeDocument/2006/relationships/hyperlink" Target="https://www.amazon.com.br/Estabilizador-Revolution-Speedy300S-SMS-16520/dp/B0755K3ZNZ/ref=asc_df_B0755K3ZNZ?mcid=1e12a1f459893318a9a77f1c075824f5&amp;tag=googleshopp00-20&amp;linkCode=df0&amp;hvadid=709884378157&amp;hvpos=&amp;hvnetw=g&amp;hvrand=8314495616823259269&amp;hvpone=&amp;hvptwo=&amp;hvqmt=&amp;hvdev=c&amp;hvdvcmdl=&amp;hvlocint=&amp;hvlocphy=1031867&amp;hvtargid=pla-840178902124&amp;psc=1&amp;language=pt_BR&amp;gad_source=1" TargetMode="External"/><Relationship Id="rId701" Type="http://schemas.openxmlformats.org/officeDocument/2006/relationships/hyperlink" Target="https://www.santaapolonia.com.br/produtos/tornozeleira-par-arktus-630601" TargetMode="External"/><Relationship Id="rId943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00" Type="http://schemas.openxmlformats.org/officeDocument/2006/relationships/hyperlink" Target="https://www.santaapolonia.com.br/produtos/tornozeleira-par-arktus-630800" TargetMode="External"/><Relationship Id="rId942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941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940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705" Type="http://schemas.openxmlformats.org/officeDocument/2006/relationships/hyperlink" Target="https://www.mercadolivre.com.br/halter-emborrachado-1-kg-cinza/p/MLB24731962?pdp_filters=item_id%3AMLB3674330117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128761&amp;matt_product_id=MLB24731962-product&amp;matt_product_partition_id=2387641794446&amp;matt_target_id=aud-1967156880386:pla-2387641794446&amp;cq_src=google_ads&amp;cq_cmp=22090193885&amp;cq_net=g&amp;cq_plt=gp&amp;cq_med=pla&amp;gad_source=1&amp;gad_campaignid=22090193885&amp;gbraid=0AAAAAD93qcBH8BSEF1Qz6BdT6LFClxePB&amp;gclid=Cj0KCQiAi9rJBhCYARIsALyPDtuI-nI35Mhj-Qd3QelAPP3UeOWCViROi1GN97DBP-HnIQ6atZtfZTUaAihmEALw_wcB" TargetMode="External"/><Relationship Id="rId947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704" Type="http://schemas.openxmlformats.org/officeDocument/2006/relationships/hyperlink" Target="https://www.mercadolivre.com.br/halter-5kg-bola-emborrachados-rmg8-fit-cor-preto/p/MLB47404975?pdp_filters=item_id:MLB4274628449" TargetMode="External"/><Relationship Id="rId946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703" Type="http://schemas.openxmlformats.org/officeDocument/2006/relationships/hyperlink" Target="https://www.dentalmedsul.com.br/peca-de-mao-reta-rx1---gnatus/p?idsku=12108&amp;gad_source=4&amp;gad_campaignid=20898675974&amp;gbraid=0AAAAAoakH06Xpcob7hfL59iVXnmwCq-S-&amp;gclid=Cj0KCQiA6NTJBhDEARIsAB7QHD2Cvsp7_Y0d0ueLGFibeGaxioe7IQMkYfq4HKUi8k3AQ8QLtggKsmMaArGfEALw_wcB" TargetMode="External"/><Relationship Id="rId945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702" Type="http://schemas.openxmlformats.org/officeDocument/2006/relationships/hyperlink" Target="https://www.santaapolonia.com.br/produtos/tornozeleira-par-arktus-630602" TargetMode="External"/><Relationship Id="rId944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3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72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75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74" Type="http://schemas.openxmlformats.org/officeDocument/2006/relationships/hyperlink" Target="https://www.dentalodonthomaz.com.br/seladora-bivolt-30cm-cristofoli?utm_source=Site&amp;utm_medium=GoogleMerchant&amp;utm_campaign=GoogleMerchant&amp;srsltid=AfmBOorrB5wgd3fP-JaSjg-ITpABb0SillSk1tYtW2VCsy4ucl2yTBiC15U" TargetMode="External"/><Relationship Id="rId77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76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79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78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939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938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937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71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70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932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931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930" Type="http://schemas.openxmlformats.org/officeDocument/2006/relationships/hyperlink" Target="https://www.mercadolivre.com.br/computador-2eletro-speed-intel-core-i5-8gb-ram-ssd-512gb-hdmi-bivolt-audio-hd-cd2e-0102sp/p/MLB53799869?pdp_filters=item_id%3AMLB6222036276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735128761&amp;matt_product_id=MLB53799869-product&amp;matt_product_partition_id=2389840739899&amp;matt_target_id=pla-2389840739899&amp;cq_src=google_ads&amp;cq_cmp=22090193891&amp;cq_net=g&amp;cq_plt=gp&amp;cq_med=pla&amp;gad_source=1&amp;gad_campaignid=22090193891&amp;gbraid=0AAAAAD93qcDowZhjpiHe3AXzQR2o262ZK&amp;gclid=Cj0KCQiA5I_NBhDVARIsAOrqIsblsVqYlkxyfoXlocHjhnSZ1HA6bt2QBuAF9ozWg0Ww97GZPSvTkVEaAkwaEALw_wcB" TargetMode="External"/><Relationship Id="rId936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935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934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933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62" Type="http://schemas.openxmlformats.org/officeDocument/2006/relationships/hyperlink" Target="https://www.mercadolivre.com.br/camara-escura-branca-com-iluminacao-gold-line-vh/up/MLBU1116939201" TargetMode="External"/><Relationship Id="rId61" Type="http://schemas.openxmlformats.org/officeDocument/2006/relationships/hyperlink" Target="https://www.amazon.com.br/Estabilizador-Revolution-Speedy300S-SMS-16520/dp/B0755K3ZNZ/ref=asc_df_B0755K3ZNZ?mcid=1e12a1f459893318a9a77f1c075824f5&amp;tag=googleshopp00-20&amp;linkCode=df0&amp;hvadid=709884378157&amp;hvpos=&amp;hvnetw=g&amp;hvrand=8314495616823259269&amp;hvpone=&amp;hvptwo=&amp;hvqmt=&amp;hvdev=c&amp;hvdvcmdl=&amp;hvlocint=&amp;hvlocphy=1031867&amp;hvtargid=pla-840178902124&amp;psc=1&amp;language=pt_BR&amp;gad_source=1" TargetMode="External"/><Relationship Id="rId64" Type="http://schemas.openxmlformats.org/officeDocument/2006/relationships/hyperlink" Target="https://www.amazon.com.br/Computador-i7-6600U-Alto-Falantes-Integrados-Teclado/dp/B0G52YJHL9/ref=asc_df_B0G52YJHL9?mcid=c30413eb42ad39b9aef6a4e60c398f7b&amp;tag=googleshopp00-20&amp;linkCode=df0&amp;hvadid=709884378172&amp;hvpos=&amp;hvnetw=g&amp;hvrand=16031713850516422216&amp;hvpone=&amp;hvptwo=&amp;hvqmt=&amp;hvdev=c&amp;hvdvcmdl=&amp;hvlocint=&amp;hvlocphy=9101878&amp;hvtargid=pla-2455107224566&amp;psc=1&amp;language=pt_BR&amp;gad_source=1" TargetMode="External"/><Relationship Id="rId63" Type="http://schemas.openxmlformats.org/officeDocument/2006/relationships/hyperlink" Target="https://martiflex.com.br/loja/tipo/poltronas/poltrona-giratoria-presidente-tescaro/?attribute_pa_cor=preto&amp;srsltid=AfmBOoroQ22nhVXUvhQCPUwjLrhIL8tQjW4PbPHazzaANqsY5ZTTZy25YS8" TargetMode="External"/><Relationship Id="rId66" Type="http://schemas.openxmlformats.org/officeDocument/2006/relationships/hyperlink" Target="https://www.amazon.com.br/Estante-prateleiras-regul%C3%A1veis-cinza-multiuso/dp/B0F19G3YYC/ref=asc_df_B0F19G3YYC?mcid=bd7cc301a1ab33f3b1d9a333a8f180b6&amp;tag=googleshopp00-20&amp;linkCode=df0&amp;hvadid=709968340957&amp;hvpos=&amp;hvnetw=g&amp;hvrand=1903770595014569830&amp;hvpone=&amp;hvptwo=&amp;hvqmt=&amp;hvdev=c&amp;hvdvcmdl=&amp;hvlocint=&amp;hvlocphy=1031867&amp;hvtargid=pla-2418873625146&amp;psc=1&amp;language=pt_BR&amp;gad_source=4" TargetMode="External"/><Relationship Id="rId65" Type="http://schemas.openxmlformats.org/officeDocument/2006/relationships/hyperlink" Target="https://www.dentalspeed.com/ultrassom-jet-sonic-bp-bivolt-gnatus.html?srsltid=AfmBOoqm4PiovmI0jqWpNkLzKzinJYwsyj9r2QpmXyDg092Xwc4-k5pb8Lw" TargetMode="External"/><Relationship Id="rId68" Type="http://schemas.openxmlformats.org/officeDocument/2006/relationships/hyperlink" Target="https://produto.mercadolivre.com.br/MLB-4600764984-cadeira-de-banho-higienica-aluminio-dobravel-140kg-supermedy-_JM" TargetMode="External"/><Relationship Id="rId67" Type="http://schemas.openxmlformats.org/officeDocument/2006/relationships/hyperlink" Target="https://produto.mercadolivre.com.br/MLB-4600764984-cadeira-de-banho-higienica-aluminio-dobravel-140kg-supermedy-_JM" TargetMode="External"/><Relationship Id="rId729" Type="http://schemas.openxmlformats.org/officeDocument/2006/relationships/hyperlink" Target="https://www.mercadolivre.com.br/tablado-div-baixo-fisioterapia-neurologica-reabilitaco/p/MLB44008769?pdp_filters=item_id%3AMLB5199245458&amp;from=gshop&amp;matt_tool=79314260&amp;matt_internal_campaign_id=&amp;matt_word=&amp;matt_source=google&amp;matt_campaign_id=22090354076&amp;matt_ad_group_id=173090536996&amp;matt_match_type=&amp;matt_network=g&amp;matt_device=c&amp;matt_creative=727882727724&amp;matt_keyword=&amp;matt_ad_position=&amp;matt_ad_type=pla&amp;matt_merchant_id=735098660&amp;matt_product_id=MLB44008769-product&amp;matt_product_partition_id=2388288843481&amp;matt_target_id=aud-1966009190540:pla-2388288843481&amp;cq_src=google_ads&amp;cq_cmp=22090354076&amp;cq_net=g&amp;cq_plt=gp&amp;cq_med=pla&amp;gad_source=4&amp;gad_campaignid=22090354076&amp;gbraid=0AAAAAD93qcA4lbE4fBMXxx5w9sMVHkdSV&amp;gclid=CjwKCAiA3fnJBhAgEiwAyqmY5VyEQgpx_oRDy8O469r1c2Reb6IH9OqxrEv0tDBIYUQJGOmtQ4VIvhoCkqQQAvD_BwE" TargetMode="External"/><Relationship Id="rId728" Type="http://schemas.openxmlformats.org/officeDocument/2006/relationships/hyperlink" Target="https://www.mercadolivre.com.br/stimulus-physio-htm-4-canais-correntes-tens-fes-russa-sf-hf/p/MLB25814876?pdp_filters=item_id%3AMLB4002848535&amp;from=gshop&amp;matt_tool=71447492&amp;matt_internal_campaign_id=&amp;matt_word=&amp;matt_source=google&amp;matt_campaign_id=22090193645&amp;matt_ad_group_id=174661929484&amp;matt_match_type=&amp;matt_network=g&amp;matt_device=c&amp;matt_creative=727914177049&amp;matt_keyword=&amp;matt_ad_position=&amp;matt_ad_type=pla_with_promotion&amp;matt_merchant_id=735128761&amp;matt_product_id=MLB25814876-product&amp;matt_product_partition_id=2388009999586&amp;matt_target_id=pla-2388009999586&amp;cq_src=google_ads&amp;cq_cmp=22090193645&amp;cq_net=g&amp;cq_plt=gp&amp;cq_med=pla_with_promotion&amp;gad_source=1&amp;gad_campaignid=22090193645&amp;gbraid=0AAAAAD93qcDBecV36Ca4GQIW2rJhaF6z-&amp;gclid=CjwKCAiA3fnJBhAgEiwAyqmY5TcIsP_SzynoZXU6VZy2vZlIecN2boz9o2488AF_xK17s9tFhDCx3BoCIQ0QAvD_BwE" TargetMode="External"/><Relationship Id="rId60" Type="http://schemas.openxmlformats.org/officeDocument/2006/relationships/hyperlink" Target="https://www.mercadolivre.com.br/refletor-persus-led-aliage-saevo-gnatus-dabi-atlante-d700/up/MLBU3083061603" TargetMode="External"/><Relationship Id="rId723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965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22" Type="http://schemas.openxmlformats.org/officeDocument/2006/relationships/hyperlink" Target="https://yuzoorochi.lojavirtualnuvem.com.br/produtos/aparelho-de-laserterapia-caneta-904nm-laserpulse-ibramed/?gad_source=4&amp;gad_campaignid=22946403119&amp;gbraid=0AAAABBPydsTILan4ngpQBFZv8sWfZVB1y&amp;gclid=CjwKCAiA3fnJBhAgEiwAyqmY5TMna1ka8DLlc1v16FNuh5ZYav5wJ1zPnG1TocccFnb35ogskK3T8BoCL4UQAvD_BwE" TargetMode="External"/><Relationship Id="rId964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21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963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20" Type="http://schemas.openxmlformats.org/officeDocument/2006/relationships/hyperlink" Target="https://www.mercadolivre.com.br/bicicleta-ergometrica-magnetica-horizontal-gallant-elite-preto/p/MLB23127838?pdp_filters=item_id%3AMLB3545753883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128761&amp;matt_product_id=MLB23127838-product&amp;matt_product_partition_id=2387641794446&amp;matt_target_id=aud-1967156880386:pla-2387641794446&amp;cq_src=google_ads&amp;cq_cmp=22090193885&amp;cq_net=g&amp;cq_plt=gp&amp;cq_med=pla&amp;gad_source=4&amp;gad_campaignid=22090193885&amp;gbraid=0AAAAAD93qcA-BVeMhc6Hp34UIalcTGQQI&amp;gclid=CjwKCAiA3fnJBhAgEiwAyqmY5QWEqyxlvD2XHbJh9_LqmYnFUrMvqqxSFtO9Doy74UWmDrZ4_rhTZRoCpI8QAvD_BwE" TargetMode="External"/><Relationship Id="rId962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27" Type="http://schemas.openxmlformats.org/officeDocument/2006/relationships/hyperlink" Target="https://www.bcmed.com.br/novo-beauty-dermo-htm-aparelho-de-vacuoterapia-e-endermoterapia?gad_source=1&amp;gad_campaignid=20395991955&amp;gbraid=0AAAAADvQY5FB8g9P-0WPMsVVWCFBGqPvD&amp;gclid=CjwKCAiA3fnJBhAgEiwAyqmY5fCBn-0FyxC4unN5e67CGITkY3pLk2mI-pJfTq5yyavwOMmiIUQXnxoC0IsQAvD_BwE" TargetMode="External"/><Relationship Id="rId969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26" Type="http://schemas.openxmlformats.org/officeDocument/2006/relationships/hyperlink" Target="https://lojaoficialaklimper.com.br/produtos/carrinho-com-gaveta-para-aparelho-e-equipamentos-odontologico/?srsltid=AfmBOooNSIt1nEmuPkuG6ostARWy_ErC_JLEgEyPD6wZs4Ob9AbhnTWwcxQ" TargetMode="External"/><Relationship Id="rId968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25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967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24" Type="http://schemas.openxmlformats.org/officeDocument/2006/relationships/hyperlink" Target="https://www.mercadolivre.com.br/par-muleta-axilar-ajustavel-em-aluminio-130kg-hidrolight-cor-cinza/p/MLB29237404?pdp_filters=item_id%3AMLB5661359324&amp;from=gshop&amp;matt_tool=41970894" TargetMode="External"/><Relationship Id="rId966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69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961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960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51" Type="http://schemas.openxmlformats.org/officeDocument/2006/relationships/hyperlink" Target="https://www.mercadolivre.com.br/refletor-persus-led-aliage-saevo-gnatus-dabi-atlante-d700/up/MLBU3083061603" TargetMode="External"/><Relationship Id="rId50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53" Type="http://schemas.openxmlformats.org/officeDocument/2006/relationships/hyperlink" Target="https://www.magazineluiza.com.br/mini-system-lg-bluetooth-2350w-usb-xboom-cl87/p/240204500/ea/eami/?seller_id=magazineluiza&amp;srsltid=AfmBOoqducoecbVm2HflJMHaECJu0xNTBy_RAha8-6ZoGMDJX4aYO0jVSe4" TargetMode="External"/><Relationship Id="rId52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55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54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57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56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719" Type="http://schemas.openxmlformats.org/officeDocument/2006/relationships/hyperlink" Target="https://www.mercadolivre.com.br/suporte-de-soro--aco-carbono/up/MLBU1466637607?matt_tool=18956390&amp;utm_source=google_shopping&amp;utm_medium=organic&amp;pdp_filters=item_id:MLB4362525096" TargetMode="External"/><Relationship Id="rId718" Type="http://schemas.openxmlformats.org/officeDocument/2006/relationships/hyperlink" Target="https://www.mercadolivre.com.br/balanco-balancim-proprioceptivo-fisioterapia-physio-top/p/MLB26305896?pdp_filters=item_id%3AMLB3634018711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128761&amp;matt_product_id=MLB26305896-product&amp;matt_product_partition_id=2387641794686&amp;matt_target_id=aud-1967156880386:pla-2387641794686&amp;cq_src=google_ads&amp;cq_cmp=22090354529&amp;cq_net=g&amp;cq_plt=gp&amp;cq_med=pla&amp;gad_source=1&amp;gad_campaignid=22090354529&amp;gbraid=0AAAAAD93qcBn-KA7rtWTAeEPWGqOFQhBt&amp;gclid=Cj0KCQiAuvTJBhCwARIsAL6DemjjapuzcIdgAv42ShXXcS2neHmNwV5J0xCE0QGoBb72z6qfFubn3SgaAiH5EALw_wcB" TargetMode="External"/><Relationship Id="rId717" Type="http://schemas.openxmlformats.org/officeDocument/2006/relationships/hyperlink" Target="https://www.mercadolivre.com.br/rampa-de-alongamento-de-panturrilha-para-fisioterapia/p/MLB27780832?pdp_filters=item_id%3AMLB3714595181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128761&amp;matt_product_id=MLB27780832-product&amp;matt_product_partition_id=2387641794606&amp;matt_target_id=aud-1966857867496:pla-2387641794606&amp;cq_src=google_ads&amp;cq_cmp=22090193885&amp;cq_net=g&amp;cq_plt=gp&amp;cq_med=pla&amp;gad_source=4&amp;gad_campaignid=22090193885&amp;gbraid=0AAAAAD93qcA-BVeMhc6Hp34UIalcTGQQI&amp;gclid=CjwKCAiA3fnJBhAgEiwAyqmY5ep6_ZT0k-WqIipbjqqVbAqmeFKinjXekHNWuwgIZQCX3xg5xk14uRoCfCMQAvD_BwE" TargetMode="External"/><Relationship Id="rId959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712" Type="http://schemas.openxmlformats.org/officeDocument/2006/relationships/hyperlink" Target="https://www.casasbahia.com.br/comoda-10-gavetas-espresso-moveis-branco/p/1568594178?utm_medium=Cpc&amp;utm_source=google_freelisting&amp;IdSku=1568594178&amp;idLojista=10798&amp;tipoLojista=3P&amp;srsltid=AfmBOool9B3wM87BImnTdvGUSwQziR3_iofnJiQCJcGySGl1clFz71zO7OE" TargetMode="External"/><Relationship Id="rId954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711" Type="http://schemas.openxmlformats.org/officeDocument/2006/relationships/hyperlink" Target="https://www.odontoatual.com.br/equipamentos-protese/amalgamador-vibramat-capsular-speed-ii-schuster?parceiro=5577&amp;srsltid=AfmBOorP6XgvlePK0F8cWmpIkVxuZBHA7l-QfRVJdcmUvTKa7neNWiLBtJ4" TargetMode="External"/><Relationship Id="rId953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710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952" Type="http://schemas.openxmlformats.org/officeDocument/2006/relationships/hyperlink" Target="https://www.amazon.com.br/T%C3%A1bua-de-Madeira-Proprioceptiva-Redonda/dp/B0B6RXR28W?source=ps-sl-shoppingads-lpcontext&amp;ref_=fplfs&amp;psc=1&amp;smid=A3L2MV640VF0B8" TargetMode="External"/><Relationship Id="rId951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716" Type="http://schemas.openxmlformats.org/officeDocument/2006/relationships/hyperlink" Target="https://www.amazon.com.br/T%C3%A1bua-Proprioceptiva-Retangular-Preta-Arktus/dp/B08XM2JM52?source=ps-sl-shoppingads-lpcontext&amp;ref_=fplfs&amp;psc=1&amp;smid=A23EC3JPJWXM20" TargetMode="External"/><Relationship Id="rId958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15" Type="http://schemas.openxmlformats.org/officeDocument/2006/relationships/hyperlink" Target="https://www.mercadolivre.com.br/balanca-mecanica-antropometrica-cauduro-160-kg-ler-descricao/up/MLBU3396455532" TargetMode="External"/><Relationship Id="rId957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714" Type="http://schemas.openxmlformats.org/officeDocument/2006/relationships/hyperlink" Target="https://www.suryadental.com.br/central-de-jateamento-trijato-evolution-essence-dental.html?___store=default&amp;utm_source=GoogleShopping&amp;gad_source=4&amp;gad_campaignid=22922657249&amp;gbraid=0AAAAADfOxdvxwC7hFTKWZqcC0ESzg1AfA&amp;gclid=CjwKCAiA3fnJBhAgEiwAyqmY5fkBuDMk3Iv-az01Og2WTIpjYtQktCU-v_Lf8UpA7wrZ6DRhQpPbqRoCvDwQAvD_BwE" TargetMode="External"/><Relationship Id="rId956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713" Type="http://schemas.openxmlformats.org/officeDocument/2006/relationships/hyperlink" Target="https://www.dentalcremer.com.br/soldador-soldamaxx-basic-essence-dental.html?gad_source=4&amp;gad_campaignid=20402073101&amp;gbraid=0AAAAADg0b6gvMTbERPLyn7vMa_RfBZkiS&amp;gclid=CjwKCAiA3fnJBhAgEiwAyqmY5WlJJ51aFuKGJk0xBQGMHMM367QvfH6NzGeD0RpWsoXtVd3LpvoDLBoCjR8QAvD_BwE" TargetMode="External"/><Relationship Id="rId955" Type="http://schemas.openxmlformats.org/officeDocument/2006/relationships/hyperlink" Target="https://www.mafraespecialidades.com.br/produto/balancim-aco-pintado-/5344959?srsltid=AfmBOoqVhz5UHKplbaphW6gEBy5H5GIGUO3rOrdFki_SQ8P9q4CJxFzc0ow" TargetMode="External"/><Relationship Id="rId59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58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950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590" Type="http://schemas.openxmlformats.org/officeDocument/2006/relationships/hyperlink" Target="https://www.amazon.com.br/FRAGMENTADORA-PAPEL-AURORA-FOLHAS-CART%C3%83O/dp/B07DFYW8VC/ref=asc_df_B07DFYW8VC?mcid=4a393dfc20d73ae29f786f9053f8d328&amp;tag=googleshopp00-20&amp;linkCode=df0&amp;hvadid=709857322242&amp;hvpos=&amp;hvnetw=g&amp;hvrand=5272769884883363117&amp;hvpone=&amp;hvptwo=&amp;hvqmt=&amp;hvdev=c&amp;hvdvcmdl=&amp;hvlocint=&amp;hvlocphy=9101877&amp;hvtargid=pla-930179502956&amp;psc=1&amp;language=pt_BR&amp;gad_source=1" TargetMode="External"/><Relationship Id="rId107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349" Type="http://schemas.openxmlformats.org/officeDocument/2006/relationships/hyperlink" Target="https://www.lojadomecanico.com.br/produto/584688/59/513/kit-com-12-cadeiras-com-bracos-bertioga-basic-branca-tramontina-k7364/153/?utm_source=google&amp;utm_medium=cpc&amp;utm_campaign=MONKS_GG_F_PMAX_OUTROS&amp;utm_content=Melhores_Produtos&amp;utm_source=google&amp;utm_medium=cpc&amp;utm_campaign=MONKS_GG_F_PMAX_Outros&amp;utm_content=Outros&amp;gad_source=1&amp;gad_campaignid=22919306101&amp;gbraid=0AAAAADsnw5a2ESy1I6uGvb99oZtWVjPCK&amp;gclid=CjwKCAiAqprNBhB6EiwAMe3yhgvCKlLXDpzAV3LUzfS6n1PbbJp0TJQviRaxaLtkr3B57xHRa_YORRoCxccQAvD_BwE" TargetMode="External"/><Relationship Id="rId106" Type="http://schemas.openxmlformats.org/officeDocument/2006/relationships/hyperlink" Target="https://www.mercadolivre.com.br/refletor-persus-led-aliage-saevo-gnatus-dabi-atlante-d700/up/MLBU3083061603" TargetMode="External"/><Relationship Id="rId348" Type="http://schemas.openxmlformats.org/officeDocument/2006/relationships/hyperlink" Target="https://www.lojadomecanico.com.br/produto/77848/21/159/compressor-de-ar-odontologico-silencioso-1hp-5-pes-30l-220v-schulz-csd-530/153/?utm_source=google&amp;utm_medium=cpc&amp;utm_campaign=MONKS_GG_F_PMAX_Sazonal&amp;utm_content=Fim_de_semana_premiado&amp;utm_source=google&amp;utm_medium=cpc&amp;utm_campaign=MONKS_GG_F_PMAX_Sazonal&amp;utm_content=Fim_de_semana_premiado&amp;gad_source=4&amp;gad_campaignid=21470818203&amp;gbraid=0AAAAADsnw5b4VbrMXWKiRUBdYPr6DB39s&amp;gclid=CjwKCAiAxc_JBhA2EiwAFVs7XGlEYoautenZE5VgPZ9dVeMMUCUmSXJIaBGe3Pr6Qfgqma_Q-x_F-hoCtAgQAvD_BwE" TargetMode="External"/><Relationship Id="rId10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347" Type="http://schemas.openxmlformats.org/officeDocument/2006/relationships/hyperlink" Target="https://www.dentalcremer.com.br/soldador-soldamaxx-basic-essence-dental.html?gad_source=4&amp;gad_campaignid=20402073101&amp;gbraid=0AAAAADg0b6gvMTbERPLyn7vMa_RfBZkiS&amp;gclid=CjwKCAiA3fnJBhAgEiwAyqmY5WlJJ51aFuKGJk0xBQGMHMM367QvfH6NzGeD0RpWsoXtVd3LpvoDLBoCjR8QAvD_BwE" TargetMode="External"/><Relationship Id="rId589" Type="http://schemas.openxmlformats.org/officeDocument/2006/relationships/hyperlink" Target="https://www.mercadolivre.com.br/prensa-termica-camiseta-plana-29x38-sublimaco-gaveta-transfer-estampa-importway-iwpts-29220/p/MLB23139592?pdp_filters=item_id%3AMLB5425788524&amp;from=gshop&amp;matt_tool=40300352&amp;matt_internal_campaign_id=&amp;matt_word=&amp;matt_source=google&amp;matt_campaign_id=22090354013&amp;matt_ad_group_id=195616607448&amp;matt_match_type=&amp;matt_network=g&amp;matt_device=c&amp;matt_creative=787871502368&amp;matt_keyword=&amp;matt_ad_position=&amp;matt_ad_type=pla&amp;matt_merchant_id=735098639&amp;matt_product_id=MLB23139592-product&amp;matt_product_partition_id=2453251344176&amp;matt_target_id=pla-2453251344176&amp;cq_src=google_ads&amp;cq_cmp=22090354013&amp;cq_net=g&amp;cq_plt=gp&amp;cq_med=pla&amp;gad_source=4&amp;gad_campaignid=22090354013&amp;gbraid=0AAAAAD93qcAMGTJ19_mb2dU9Sl3oOvXFZ&amp;gclid=Cj0KCQiA5I_NBhDVARIsAOrqIsayF8NsdKXdZDzaZbWJgBL6LnrXWl3_9qslAOflSuEUdIY9SQGTKqAaAiqLEALw_wcB" TargetMode="External"/><Relationship Id="rId104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346" Type="http://schemas.openxmlformats.org/officeDocument/2006/relationships/hyperlink" Target="https://www.casasbahia.com.br/armario-aereo-triplo-itatiaia-luce-com-3-portas-e-2-prateleiras-105cm-de-largura/p/55059823?utm_medium=Cpc&amp;utm_source=GP_PLA&amp;IdSku=55059823&amp;nocache=639012605774734020&amp;idLojista=10037&amp;tipoLojista=1P&amp;gclsrc=aw.ds&amp;&amp;utm_campaign=cb_b2c_gg_shopping_core_move_cozinha&amp;gad_source=1&amp;gad_campaignid=23196590630&amp;gbraid=0AAAAADtAamgFehDlw1x8FCMtjLWCd26KM&amp;gclid=Cj0KCQiAuvTJBhCwARIsAL6DemgfwrFuNMbasQ92pn3s-6v6l5VkRdaKi9MFXFmOmtzTlegP1WjQAQMaAnXMEALw_wcB" TargetMode="External"/><Relationship Id="rId588" Type="http://schemas.openxmlformats.org/officeDocument/2006/relationships/hyperlink" Target="https://www.amazon.com.br/Samsung-Smart-Crystal-U8100F-2025/dp/B0F5X6L24G/ref=asc_df_B0F5X6L24G?mcid=062bc32d652e3f2f930cfb2987609584&amp;tag=googleshopp00-20&amp;linkCode=df0&amp;hvadid=709964502896&amp;hvpos=&amp;hvnetw=g&amp;hvrand=624404781536020974&amp;hvpone=&amp;hvptwo=&amp;hvqmt=&amp;hvdev=c&amp;hvdvcmdl=&amp;hvlocint=&amp;hvlocphy=9101877&amp;hvtargid=pla-2426432380558&amp;psc=1&amp;language=pt_BR&amp;gad_source=1" TargetMode="External"/><Relationship Id="rId109" Type="http://schemas.openxmlformats.org/officeDocument/2006/relationships/hyperlink" Target="https://lojaoficialaklimper.com.br/produtos/carrinho-com-gaveta-para-aparelho-e-equipamentos-odontologico/?srsltid=AfmBOooNSIt1nEmuPkuG6ostARWy_ErC_JLEgEyPD6wZs4Ob9AbhnTWwcxQ" TargetMode="External"/><Relationship Id="rId108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341" Type="http://schemas.openxmlformats.org/officeDocument/2006/relationships/hyperlink" Target="https://www.mercadolivre.com.br/mesa-auxiliar-pintada-50x40x80cm-cxlxa-com-rodinhas/up/MLBU1436480778?pdp_filters=item_id:MLB3083907865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494988289&amp;matt_product_id=MLB3083907865&amp;matt_product_partition_id=2389560632545&amp;matt_target_id=aud-1966857867496:pla-2389560632545&amp;cq_src=google_ads&amp;cq_cmp=22090354076&amp;cq_net=g&amp;cq_plt=gp&amp;cq_med=pla&amp;gad_source=4&amp;gad_campaignid=22090354076&amp;gbraid=0AAAAAD93qcAscxb6MSiSTVdwgeSNMuGjz&amp;gclid=Cj0KCQiAi9rJBhCYARIsALyPDtt1cH_YOgNDc6pFM-AA4K50D9fAu0ZnOL6rEhRnnH_hbeyqTG0_GpEaArQsEALw_wcB" TargetMode="External"/><Relationship Id="rId583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340" Type="http://schemas.openxmlformats.org/officeDocument/2006/relationships/hyperlink" Target="https://www.dentalspeed.com/ultrassom-jet-sonic-bp-bivolt-gnatus.html?srsltid=AfmBOoqm4PiovmI0jqWpNkLzKzinJYwsyj9r2QpmXyDg092Xwc4-k5pb8Lw" TargetMode="External"/><Relationship Id="rId582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581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580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103" Type="http://schemas.openxmlformats.org/officeDocument/2006/relationships/hyperlink" Target="https://www.mercadolivre.com.br/monitor-pc-lg-195-20mk400h-b-led-hd-hdmi-vga-d-sub-75hz-2msgtg-ajuste-de-inclinaco-reader-mode/p/MLB15121865?pdp_filters=item_id%3AMLB5469203514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&amp;matt_merchant_id=735128761&amp;matt_product_id=MLB15121865-product&amp;matt_product_partition_id=2388112038373&amp;matt_target_id=pla-2388112038373&amp;cq_src=google_ads&amp;cq_cmp=22090193891&amp;cq_net=g&amp;cq_plt=gp&amp;cq_med=pla&amp;gad_source=1&amp;gad_campaignid=22090193891&amp;gbraid=0AAAAAD93qcDowZhjpiHe3AXzQR2o262ZK&amp;gclid=Cj0KCQiA5I_NBhDVARIsAOrqIsYg0UngBI5TeYNiRAdbeAL7qCBLwueSlvBewHpER8aePtpcWeFvToEaApYlEALw_wcB" TargetMode="External"/><Relationship Id="rId345" Type="http://schemas.openxmlformats.org/officeDocument/2006/relationships/hyperlink" Target="https://www.casasbahia.com.br/armario-aereo-triplo-itatiaia-luce-com-3-portas-e-2-prateleiras-105cm-de-largura/p/55059823?utm_medium=Cpc&amp;utm_source=GP_PLA&amp;IdSku=55059823&amp;nocache=639012605774734020&amp;idLojista=10037&amp;tipoLojista=1P&amp;gclsrc=aw.ds&amp;&amp;utm_campaign=cb_b2c_gg_shopping_core_move_cozinha&amp;gad_source=1&amp;gad_campaignid=23196590630&amp;gbraid=0AAAAADtAamgFehDlw1x8FCMtjLWCd26KM&amp;gclid=Cj0KCQiAuvTJBhCwARIsAL6DemgfwrFuNMbasQ92pn3s-6v6l5VkRdaKi9MFXFmOmtzTlegP1WjQAQMaAnXMEALw_wcB" TargetMode="External"/><Relationship Id="rId587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102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344" Type="http://schemas.openxmlformats.org/officeDocument/2006/relationships/hyperlink" Target="https://www.dentalstilo.com.br/seladora-odontologica-selamaxx-vh-bivolt-c-guilhotina?srsltid=AfmBOop-USxGNHTXh1fxmIO3SGggVcZf7dGhQfbsB3Lh25jAqOLvh6tAyi0" TargetMode="External"/><Relationship Id="rId586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101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343" Type="http://schemas.openxmlformats.org/officeDocument/2006/relationships/hyperlink" Target="https://www.mercadolivre.com.br/tripe-de-iluminaco-greika-fc-s288l-280m-aco-inox-env-hoje/p/MLB30158809?pdp_filters=item_id%3AMLB3902428089&amp;from=gshop&amp;matt_tool=91562990&amp;matt_internal_campaign_id=&amp;matt_word=&amp;matt_source=google&amp;matt_campaign_id=22090193891&amp;matt_ad_group_id=174661982084&amp;matt_match_type=&amp;matt_network=g&amp;matt_device=c&amp;matt_creative=727914180943&amp;matt_keyword=&amp;matt_ad_position=&amp;matt_ad_type=pla&amp;matt_merchant_id=735128761&amp;matt_product_id=MLB30158809-product&amp;matt_product_partition_id=2389848129525&amp;matt_target_id=aud-1966009190540:pla-2389848129525&amp;cq_src=google_ads&amp;cq_cmp=22090193891&amp;cq_net=g&amp;cq_plt=gp&amp;cq_med=pla&amp;gad_source=4&amp;gad_campaignid=22090193891&amp;gbraid=0AAAAAD93qcDu4CeA1EF-beRpsfBts9kG-&amp;gclid=CjwKCAiA3fnJBhAgEiwAyqmY5QcVLrVF_MPm4b4aSYDDuX5m41DceP22_QVJcfS_Cx4Ro1zk9y6p7xoCgSQQAvD_BwE" TargetMode="External"/><Relationship Id="rId585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100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342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584" Type="http://schemas.openxmlformats.org/officeDocument/2006/relationships/hyperlink" Target="https://www.amazon.com.br/Condicionado-24000-Inverter-Midea-Ecomaster/dp/B0FCSTHGV4/ref=asc_df_B0FCSTHGV4?mcid=12c002f24cbb3974862fc8b5611eeef2&amp;tag=googleshopp00-20&amp;linkCode=df0&amp;hvadid=709968341215&amp;hvpos=&amp;hvnetw=g&amp;hvrand=4330878174469930516&amp;hvpone=&amp;hvptwo=&amp;hvqmt=&amp;hvdev=c&amp;hvdvcmdl=&amp;hvlocint=&amp;hvlocphy=9101878&amp;hvtargid=pla-2495342208677&amp;psc=1&amp;language=pt_BR&amp;gad_source=1" TargetMode="External"/><Relationship Id="rId338" Type="http://schemas.openxmlformats.org/officeDocument/2006/relationships/hyperlink" Target="https://lojaoficialaklimper.com.br/produtos/carrinho-com-gaveta-para-aparelho-e-equipamentos-odontologico/?srsltid=AfmBOooNSIt1nEmuPkuG6ostARWy_ErC_JLEgEyPD6wZs4Ob9AbhnTWwcxQ" TargetMode="External"/><Relationship Id="rId337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579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336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578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335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577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339" Type="http://schemas.openxmlformats.org/officeDocument/2006/relationships/hyperlink" Target="https://www.odontoatual.com.br/equipamentos-protese/amalgamador-vibramat-capsular-speed-ii-schuster?parceiro=5577&amp;srsltid=AfmBOorP6XgvlePK0F8cWmpIkVxuZBHA7l-QfRVJdcmUvTKa7neNWiLBtJ4" TargetMode="External"/><Relationship Id="rId330" Type="http://schemas.openxmlformats.org/officeDocument/2006/relationships/hyperlink" Target="https://www.mercadolivre.com.br/lixeira-inox-12-litros-com-pedal-e-cesto-removivel/p/MLB22365996?pdp_filters=item_id%3AMLB3949424089&amp;from=gshop&amp;matt_tool=13891073&amp;matt_internal_campaign_id=&amp;matt_word=&amp;matt_source=google&amp;matt_campaign_id=22090193717&amp;matt_ad_group_id=174661960724&amp;matt_match_type=&amp;matt_network=g&amp;matt_device=c&amp;matt_creative=727914179434&amp;matt_keyword=&amp;matt_ad_position=&amp;matt_ad_type=pla&amp;matt_merchant_id=735128761&amp;matt_product_id=MLB22365996-product&amp;matt_product_partition_id=2392714357581&amp;matt_target_id=aud-1966857867496:pla-2392714357581&amp;cq_src=google_ads&amp;cq_cmp=22090193717&amp;cq_net=g&amp;cq_plt=gp&amp;cq_med=pla&amp;gad_source=4&amp;gad_campaignid=22090193717&amp;gbraid=0AAAAAD93qcCZi2M97XkhXSpvQf1LuDWCV&amp;gclid=Cj0KCQiAi9rJBhCYARIsALyPDtsC6jaHpmVp-GfhqiA98N6nSuDYCkJyXgOP9jyZqpZBbKIzWLlGZ5waAg3qEALw_wcB" TargetMode="External"/><Relationship Id="rId572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571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570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34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576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333" Type="http://schemas.openxmlformats.org/officeDocument/2006/relationships/hyperlink" Target="https://www.mercadolivre.com.br/mesa-escritorio-escrivaninha-150x60-tampo-de-40-mm-2-gaveta/up/MLBU3266379869?pdp_filters=item_id:MLB5471924390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_with_promotion&amp;matt_merchant_id=138294755&amp;matt_product_id=MLB5471924390&amp;matt_product_partition_id=2388009794866&amp;matt_target_id=aud-1967156880386:pla-2388009794866&amp;cq_src=google_ads&amp;cq_cmp=22090354064&amp;cq_net=g&amp;cq_plt=gp&amp;cq_med=pla_with_promotion&amp;gad_source=1&amp;gad_campaignid=22090354064&amp;gbraid=0AAAAAD93qcBuzXCuFv0LWRfgdRIHTKpmj&amp;gclid=Cj0KCQiAuvTJBhCwARIsAL6Demh7XpQv1dCc9du5jPWWhkX7HgfcdcwRQCGHzZK0lF-T1Wr3xCFB_OsaAp_HEALw_wcB" TargetMode="External"/><Relationship Id="rId575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332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574" Type="http://schemas.openxmlformats.org/officeDocument/2006/relationships/hyperlink" Target="https://www.magazineluiza.com.br/ar-condicionado-split-inverter-piso-teto-36000-btus-gree-g-prime-compact-so-frio-guld36zd1-a-s-guld36w1-nha-s-220v/p/jcd7d2f2fe/ar/aciv/?&amp;seller_id=frigelar2&amp;utm_source=google&amp;utm_medium=cpc&amp;utm_term=84397&amp;utm_campaign=google_eco_per_ven_pla_arp_sor_3p_ar-a-0326&amp;utm_content=&amp;partner_id=84397&amp;gclsrc=aw.ds&amp;gad_source=1&amp;gad_campaignid=23595300606&amp;gbraid=0AAAAAD4zZmRYwzSmpJV7PgU17EvkaA9bf&amp;gclid=CjwKCAiAqprNBhB6EiwAMe3yhrhJ4UFY9K-zRsMGtU6-ICs-NNEUEjcmBnQWyNMu_1hezRIlNcZoxhoCRngQAvD_BwE" TargetMode="External"/><Relationship Id="rId331" Type="http://schemas.openxmlformats.org/officeDocument/2006/relationships/hyperlink" Target="https://www.amazon.com.br/Lixeira-Acabamento-Polido-Litros-Tramontina/dp/B01M1PC86E/ref=asc_df_B01M1PC86E?mcid=8d49642a880930f99ffe1a2fe03ca0cf&amp;tag=googleshopp00-20&amp;linkCode=df0&amp;hvadid=709968341173&amp;hvpos=&amp;hvnetw=g&amp;hvrand=11854265985682655876&amp;hvpone=&amp;hvptwo=&amp;hvqmt=&amp;hvdev=c&amp;hvdvcmdl=&amp;hvlocint=&amp;hvlocphy=1031867&amp;hvtargid=pla-840177394524&amp;psc=1&amp;language=pt_BR&amp;gad_source=1" TargetMode="External"/><Relationship Id="rId573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70" Type="http://schemas.openxmlformats.org/officeDocument/2006/relationships/hyperlink" Target="https://www.mercadolivre.com.br/arquivo-de-aco-4-gavetas-pandin-slm-cinza/p/MLB39028635?pdp_filters=item_id%3AMLB4027074707&amp;from=gshop&amp;matt_tool=14476645&amp;matt_internal_campaign_id=&amp;matt_word=&amp;matt_source=google&amp;matt_campaign_id=22090193660&amp;matt_ad_group_id=191545507322&amp;matt_match_type=&amp;matt_network=g&amp;matt_device=c&amp;matt_creative=787871501651&amp;matt_keyword=&amp;matt_ad_position=&amp;matt_ad_type=pla&amp;matt_merchant_id=735098660&amp;matt_product_id=MLB39028635-product&amp;matt_product_partition_id=2455355885895&amp;matt_target_id=pla-2455355885895&amp;cq_src=google_ads&amp;cq_cmp=22090193660&amp;cq_net=g&amp;cq_plt=gp&amp;cq_med=pla&amp;gad_source=1&amp;gad_campaignid=22090193660&amp;gbraid=0AAAAAD93qcDJzagKrex6d6NFRsQoAuoy0&amp;gclid=Cj0KCQiA5I_NBhDVARIsAOrqIsaDB09x5TPd8f-aA_Qmw8ca6VzWBPIJyOyyS-wJs9AxB0LRkbqKxHUaAlXuEALw_wcB" TargetMode="External"/><Relationship Id="rId129" Type="http://schemas.openxmlformats.org/officeDocument/2006/relationships/hyperlink" Target="https://www.mercadolivre.com.br/halter-emborrachado-1-kg-cinza/p/MLB24731962?pdp_filters=item_id%3AMLB3674330117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128761&amp;matt_product_id=MLB24731962-product&amp;matt_product_partition_id=2387641794446&amp;matt_target_id=aud-1967156880386:pla-2387641794446&amp;cq_src=google_ads&amp;cq_cmp=22090193885&amp;cq_net=g&amp;cq_plt=gp&amp;cq_med=pla&amp;gad_source=1&amp;gad_campaignid=22090193885&amp;gbraid=0AAAAAD93qcBH8BSEF1Qz6BdT6LFClxePB&amp;gclid=Cj0KCQiAi9rJBhCYARIsALyPDtuI-nI35Mhj-Qd3QelAPP3UeOWCViROi1GN97DBP-HnIQ6atZtfZTUaAihmEALw_wcB" TargetMode="External"/><Relationship Id="rId128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127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369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26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368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21" Type="http://schemas.openxmlformats.org/officeDocument/2006/relationships/hyperlink" Target="https://www.mercadolivre.com.br/bola-feijao-liveup-90x45cm-liveup-sports/p/MLB22534558?pdp_filters=item_id%3AMLB5474469854&amp;from=gshop&amp;matt_tool=63319127&amp;matt_internal_campaign_id=&amp;matt_word=&amp;matt_source=google&amp;matt_campaign_id=22090193885&amp;matt_ad_group_id=174661972204&amp;matt_match_type=&amp;matt_network=g&amp;matt_device=c&amp;matt_creative=727914180211&amp;matt_keyword=&amp;matt_ad_position=&amp;matt_ad_type=pla&amp;matt_merchant_id=735098639&amp;matt_product_id=MLB22534558-product&amp;matt_product_partition_id=2388289308601&amp;matt_target_id=aud-1966857867496:pla-2388289308601&amp;cq_src=google_ads&amp;cq_cmp=22090193885&amp;cq_net=g&amp;cq_plt=gp&amp;cq_med=pla&amp;gad_source=1&amp;gad_campaignid=22090193885&amp;gbraid=0AAAAAD93qcCbFXc58uyCgwLiIOSdXuY_D&amp;gclid=CjwKCAiA3fnJBhAgEiwAyqmY5SPYUMVKbwhUC8to6TpT96Bw4MWN_chPAcL2cmx3QvQ5YNk5gLJ9bxoCEpYQAvD_BwE" TargetMode="External"/><Relationship Id="rId363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20" Type="http://schemas.openxmlformats.org/officeDocument/2006/relationships/hyperlink" Target="https://produto.mercadolivre.com.br/MLB-4257092989-tamanhos-de-bola-de-ioga-45-95cm-_JM?matt_tool=18956390&amp;utm_source=google_shopping&amp;utm_medium=organic" TargetMode="External"/><Relationship Id="rId362" Type="http://schemas.openxmlformats.org/officeDocument/2006/relationships/hyperlink" Target="https://www.mercadolivre.com.br/arquivo-de-aco-4-gavetas-pandin-slm-cinza/p/MLB39028635?pdp_filters=item_id%3AMLB4027074707&amp;from=gshop&amp;matt_tool=14476645&amp;matt_internal_campaign_id=&amp;matt_word=&amp;matt_source=google&amp;matt_campaign_id=22090193660&amp;matt_ad_group_id=191545507322&amp;matt_match_type=&amp;matt_network=g&amp;matt_device=c&amp;matt_creative=787871501651&amp;matt_keyword=&amp;matt_ad_position=&amp;matt_ad_type=pla&amp;matt_merchant_id=735098660&amp;matt_product_id=MLB39028635-product&amp;matt_product_partition_id=2455355885895&amp;matt_target_id=pla-2455355885895&amp;cq_src=google_ads&amp;cq_cmp=22090193660&amp;cq_net=g&amp;cq_plt=gp&amp;cq_med=pla&amp;gad_source=1&amp;gad_campaignid=22090193660&amp;gbraid=0AAAAAD93qcDJzagKrex6d6NFRsQoAuoy0&amp;gclid=Cj0KCQiA5I_NBhDVARIsAOrqIsaDB09x5TPd8f-aA_Qmw8ca6VzWBPIJyOyyS-wJs9AxB0LRkbqKxHUaAlXuEALw_wcB" TargetMode="External"/><Relationship Id="rId361" Type="http://schemas.openxmlformats.org/officeDocument/2006/relationships/hyperlink" Target="https://www.magazineluiza.com.br/armario-roupeiro-de-aco-4-portas-pandin-moveis/p/kde56860k2/pi/arou/?&amp;seller_id=madeiramadeira-openapi&amp;utm_source=google&amp;utm_medium=cpc&amp;utm_term=84393&amp;utm_campaign=google_eco_per_ven_pla_all_apo_3p_adv-funnel-trafego-csp-0326&amp;utm_content=&amp;partner_id=84393&amp;gclsrc=aw.ds&amp;gad_source=1&amp;gad_campaignid=23600723162&amp;gbraid=0AAAAAD4zZmR2m8PchBJYe4QTc_7CD9n7I&amp;gclid=Cj0KCQiA5I_NBhDVARIsAOrqIsYOWk2EgOscpf1UYKaAoSti7uJ_mGiMG21kMR-S_teXyWrPIbSvdIMaAih4EALw_wcB" TargetMode="External"/><Relationship Id="rId360" Type="http://schemas.openxmlformats.org/officeDocument/2006/relationships/hyperlink" Target="https://www.magazineluiza.com.br/armario-roupeiro-de-aco-4-portas-pandin-moveis/p/kde56860k2/pi/arou/?&amp;seller_id=madeiramadeira-openapi&amp;utm_source=google&amp;utm_medium=cpc&amp;utm_term=84393&amp;utm_campaign=google_eco_per_ven_pla_all_apo_3p_adv-funnel-trafego-csp-0326&amp;utm_content=&amp;partner_id=84393&amp;gclsrc=aw.ds&amp;gad_source=1&amp;gad_campaignid=23600723162&amp;gbraid=0AAAAAD4zZmR2m8PchBJYe4QTc_7CD9n7I&amp;gclid=Cj0KCQiA5I_NBhDVARIsAOrqIsYOWk2EgOscpf1UYKaAoSti7uJ_mGiMG21kMR-S_teXyWrPIbSvdIMaAih4EALw_wcB" TargetMode="External"/><Relationship Id="rId125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367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24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366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123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36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22" Type="http://schemas.openxmlformats.org/officeDocument/2006/relationships/hyperlink" Target="https://www.amazon.com.br/Bola-Pilates-75cm-Muvin-Fortalecimento/dp/B07FYR8WPV?source=ps-sl-shoppingads-lpcontext&amp;ref_=fplfs&amp;smid=A1ZZFT5FULY4LN&amp;th=1" TargetMode="External"/><Relationship Id="rId364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9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94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97" Type="http://schemas.openxmlformats.org/officeDocument/2006/relationships/hyperlink" Target="https://www.dentalspeed.com/ultrassom-jet-sonic-bp-bivolt-gnatus.html?srsltid=AfmBOoqm4PiovmI0jqWpNkLzKzinJYwsyj9r2QpmXyDg092Xwc4-k5pb8Lw" TargetMode="External"/><Relationship Id="rId96" Type="http://schemas.openxmlformats.org/officeDocument/2006/relationships/hyperlink" Target="https://www.mercadolivre.com.br/camara-escura-branca-com-iluminacao-gold-line-vh/up/MLBU1116939201" TargetMode="External"/><Relationship Id="rId99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98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91" Type="http://schemas.openxmlformats.org/officeDocument/2006/relationships/hyperlink" Target="https://www.mercadolivre.com.br/armario-aereo-de-cozinha-cor-branco-aco-3-portas-rose-itatiaia/p/MLB27988013?pdp_filters=item_id%3AMLB3947958871&amp;from=gshop&amp;matt_tool=71021180&amp;matt_internal_campaign_id=&amp;matt_word=&amp;matt_source=google&amp;matt_campaign_id=22090354475&amp;matt_ad_group_id=173090604476&amp;matt_match_type=&amp;matt_network=g&amp;matt_device=c&amp;matt_creative=727882732773&amp;matt_keyword=&amp;matt_ad_position=&amp;matt_ad_type=pla&amp;matt_merchant_id=735128188&amp;matt_product_id=MLB27988013-product&amp;matt_product_partition_id=2392712848981&amp;matt_target_id=aud-1966857867496:pla-2392712848981&amp;cq_src=google_ads&amp;cq_cmp=22090354475&amp;cq_net=g&amp;cq_plt=gp&amp;cq_med=pla&amp;gad_source=4&amp;gad_campaignid=22090354475&amp;gbraid=0AAAAAD93qcA0b6NWqP8k6RgldxQHhW7gH&amp;gclid=CjwKCAiAxc_JBhA2EiwAFVs7XIpZMIo5y-JPkiRUoNPwTBmrtHT2HWDZdwf6mwblHGR7RsrHo4fE9BoCj24QAvD_BwE" TargetMode="External"/><Relationship Id="rId90" Type="http://schemas.openxmlformats.org/officeDocument/2006/relationships/hyperlink" Target="https://www.amazon.com.br/REFRIGERADOR-CONSUL-LITROS-BRANCO-CRB36AB/dp/B07JGL1WH8/ref=asc_df_B07JGL1WH8?mcid=b6acd287f9cc37338cef6ba9717830f3&amp;tag=googleshopp00-20&amp;linkCode=df0&amp;hvadid=709884460975&amp;hvpos=&amp;hvnetw=g&amp;hvrand=7931948425802879525&amp;hvpone=&amp;hvptwo=&amp;hvqmt=&amp;hvdev=c&amp;hvdvcmdl=&amp;hvlocint=&amp;hvlocphy=9101878&amp;hvtargid=pla-1095777140872&amp;language=pt_BR&amp;gad_source=1&amp;th=1" TargetMode="External"/><Relationship Id="rId93" Type="http://schemas.openxmlformats.org/officeDocument/2006/relationships/hyperlink" Target="https://www.mercadolivre.com.br/compressor-de-ar-eletrico-portatil-motomil-cmo-850-br-50l-2hp/p/MLB15385365?pdp_filters=item_id%3AMLB3596312001&amp;from=gshop&amp;matt_tool=56938998&amp;matt_internal_campaign_id=&amp;matt_word=&amp;matt_source=google&amp;matt_campaign_id=22090193672&amp;matt_ad_group_id=174661944404&amp;matt_match_type=&amp;matt_network=g&amp;matt_device=c&amp;matt_creative=727914178234&amp;matt_keyword=&amp;matt_ad_position=&amp;matt_ad_type=pla&amp;matt_merchant_id=735125422&amp;matt_product_id=MLB15385365-product&amp;matt_product_partition_id=2417612878684&amp;matt_target_id=pla-2417612878684&amp;cq_src=google_ads&amp;cq_cmp=22090193672&amp;cq_net=g&amp;cq_plt=gp&amp;cq_med=pla&amp;gad_source=4&amp;gad_campaignid=22090193672&amp;gbraid=0AAAAAD93qcAi4CkWoxvMxprBim3WK1O_o&amp;gclid=CjwKCAiAxc_JBhA2EiwAFVs7XGTIVfABqf3d7tHVgKnjVu2qSyXukmNoPe_lbQBIhFbyR0veal9VLxoC6h4QAvD_BwE" TargetMode="External"/><Relationship Id="rId92" Type="http://schemas.openxmlformats.org/officeDocument/2006/relationships/hyperlink" Target="https://www.mercadolivre.com.br/balco-para-pia-itatiaia-diamante-com-2-portas-e-4-gavetas-branco/p/MLB61993054?pdp_filters=item_id%3AMLB5922368604&amp;from=gshop&amp;matt_tool=29425971&amp;matt_internal_campaign_id=&amp;matt_word=&amp;matt_source=google&amp;matt_campaign_id=22090354064&amp;matt_ad_group_id=173090530756&amp;matt_match_type=&amp;matt_network=g&amp;matt_device=c&amp;matt_creative=727882727247&amp;matt_keyword=&amp;matt_ad_position=&amp;matt_ad_type=pla&amp;matt_merchant_id=735128188&amp;matt_product_id=MLB61993054-product&amp;matt_product_partition_id=2392712829741&amp;matt_target_id=aud-1967156880386:pla-2392712829741&amp;cq_src=google_ads&amp;cq_cmp=22090354064&amp;cq_net=g&amp;cq_plt=gp&amp;cq_med=pla&amp;gad_source=4&amp;gad_campaignid=22090354064&amp;gbraid=0AAAAAD93qcCK9yNNnq6DAaJJbAA37LH7H&amp;gclid=Cj0KCQiAi9rJBhCYARIsALyPDtvYAFivuIwiMLZacOb96jF4_j_tRVEhGJGToEAsEDK1DkATXdNrLNkaAjhUEALw_wcB" TargetMode="External"/><Relationship Id="rId118" Type="http://schemas.openxmlformats.org/officeDocument/2006/relationships/hyperlink" Target="https://www.mercadolivre.com.br/compressor-de-ar-eletrico-portatil-motomil-cmo-850-br-50l-2hp/p/MLB15385365?pdp_filters=item_id%3AMLB3596312001&amp;from=gshop&amp;matt_tool=56938998&amp;matt_internal_campaign_id=&amp;matt_word=&amp;matt_source=google&amp;matt_campaign_id=22090193672&amp;matt_ad_group_id=174661944404&amp;matt_match_type=&amp;matt_network=g&amp;matt_device=c&amp;matt_creative=727914178234&amp;matt_keyword=&amp;matt_ad_position=&amp;matt_ad_type=pla&amp;matt_merchant_id=735125422&amp;matt_product_id=MLB15385365-product&amp;matt_product_partition_id=2417612878684&amp;matt_target_id=pla-2417612878684&amp;cq_src=google_ads&amp;cq_cmp=22090193672&amp;cq_net=g&amp;cq_plt=gp&amp;cq_med=pla&amp;gad_source=4&amp;gad_campaignid=22090193672&amp;gbraid=0AAAAAD93qcAi4CkWoxvMxprBim3WK1O_o&amp;gclid=CjwKCAiAxc_JBhA2EiwAFVs7XGTIVfABqf3d7tHVgKnjVu2qSyXukmNoPe_lbQBIhFbyR0veal9VLxoC6h4QAvD_BwE" TargetMode="External"/><Relationship Id="rId117" Type="http://schemas.openxmlformats.org/officeDocument/2006/relationships/hyperlink" Target="https://www.mercadolivre.com.br/camara-escura-branca-com-iluminacao-gold-line-vh/up/MLBU1116939201" TargetMode="External"/><Relationship Id="rId359" Type="http://schemas.openxmlformats.org/officeDocument/2006/relationships/hyperlink" Target="https://produto.mercadolivre.com.br/MLB-3692234345-suporte-para-impressora-com-rodinhas-e-gaveta-em-mdf-_JM?matt_tool=56885173&amp;matt_internal_campaign_id=&amp;matt_word=&amp;matt_source=google&amp;matt_campaign_id=22090354256&amp;matt_ad_group_id=173090556396&amp;matt_match_type=&amp;matt_network=g&amp;matt_device=c&amp;matt_creative=727882729371&amp;matt_keyword=&amp;matt_ad_position=&amp;matt_ad_type=pla&amp;matt_merchant_id=118369991&amp;matt_product_id=MLB3692234345&amp;matt_product_partition_id=2390058779960&amp;matt_target_id=pla-2390058779960&amp;cq_src=google_ads&amp;cq_cmp=22090354256&amp;cq_net=g&amp;cq_plt=gp&amp;cq_med=pla&amp;gad_source=4&amp;gad_campaignid=22090354256&amp;gbraid=0AAAAAD93qcB0hdUDaKMMLuc9g0AiDafWt&amp;gclid=Cj0KCQiA5I_NBhDVARIsAOrqIsb-DNaEvOk8DUoKCSGDEK9zGaomnu8ADwn-ieLHqNMkBRZDbLBXbVsaAkT9EALw_wcB" TargetMode="External"/><Relationship Id="rId116" Type="http://schemas.openxmlformats.org/officeDocument/2006/relationships/hyperlink" Target="https://www.lojadomecanico.com.br/produto/77848/21/159/compressor-de-ar-odontologico-silencioso-1hp-5-pes-30l-220v-schulz-csd-530/153/?utm_source=google&amp;utm_medium=cpc&amp;utm_campaign=MONKS_GG_F_PMAX_Sazonal&amp;utm_content=Fim_de_semana_premiado&amp;utm_source=google&amp;utm_medium=cpc&amp;utm_campaign=MONKS_GG_F_PMAX_Sazonal&amp;utm_content=Fim_de_semana_premiado&amp;gad_source=4&amp;gad_campaignid=21470818203&amp;gbraid=0AAAAADsnw5b4VbrMXWKiRUBdYPr6DB39s&amp;gclid=CjwKCAiAxc_JBhA2EiwAFVs7XGlEYoautenZE5VgPZ9dVeMMUCUmSXJIaBGe3Pr6Qfgqma_Q-x_F-hoCtAgQAvD_BwE" TargetMode="External"/><Relationship Id="rId358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115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357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599" Type="http://schemas.openxmlformats.org/officeDocument/2006/relationships/hyperlink" Target="https://www.amazon.com.br/Samsung-Smart-Crystal-U8100F-2025/dp/B0F5X4NPK2/ref=asc_df_B0F5X4NPK2?mcid=ff8554b52dfa3ee9bea11fe4c4975b89&amp;tag=googleshopp00-20&amp;linkCode=df0&amp;hvadid=709964502896&amp;hvpos=&amp;hvnetw=g&amp;hvrand=13810993296865960111&amp;hvpone=&amp;hvptwo=&amp;hvqmt=&amp;hvdev=c&amp;hvdvcmdl=&amp;hvlocint=&amp;hvlocphy=9101877&amp;hvtargid=pla-2424566218549&amp;psc=1&amp;language=pt_BR&amp;gad_source=1" TargetMode="External"/><Relationship Id="rId119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110" Type="http://schemas.openxmlformats.org/officeDocument/2006/relationships/hyperlink" Target="https://www.isamaqseladora.com.br/seladoras-comerciais/seladora-de-pedal/seladora-para-selar-sacos-plasticos-pedal-30cm-127220v?parceiro=4741&amp;srsltid=AfmBOoq5fQhA6LXpE795KReTFxdb4D7jDljzfVgUDYO5e4ubDRj28dirO8M" TargetMode="External"/><Relationship Id="rId352" Type="http://schemas.openxmlformats.org/officeDocument/2006/relationships/hyperlink" Target="https://www.mercadolivre.com.br/mesa-poltrona-maca-exame-ginecologico-hospitalar-go-branca/up/MLBU3024483879?matt_tool=18956390&amp;utm_source=google_shopping&amp;utm_medium=organic&amp;pdp_filters=item_id%3AMLB5294288044&amp;from=gshop" TargetMode="External"/><Relationship Id="rId594" Type="http://schemas.openxmlformats.org/officeDocument/2006/relationships/hyperlink" Target="https://www.mercadolivre.com.br/prensa-termica-cilindrica-manual-deko-350w-para-sublimaco-canecas/p/MLB15182681?pdp_filters=item_id%3AMLB4474059045&amp;from=gshop&amp;matt_tool=40300352&amp;matt_internal_campaign_id=&amp;matt_word=&amp;matt_source=google&amp;matt_campaign_id=22090354013&amp;matt_ad_group_id=195616607448&amp;matt_match_type=&amp;matt_network=g&amp;matt_device=c&amp;matt_creative=787871502368&amp;matt_keyword=&amp;matt_ad_position=&amp;matt_ad_type=pla&amp;matt_merchant_id=735098660&amp;matt_product_id=MLB15182681-product&amp;matt_product_partition_id=2453251344176&amp;matt_target_id=pla-2453251344176&amp;cq_src=google_ads&amp;cq_cmp=22090354013&amp;cq_net=g&amp;cq_plt=gp&amp;cq_med=pla&amp;gad_source=4&amp;gad_campaignid=22090354013&amp;gbraid=0AAAAAD93qcAMGTJ19_mb2dU9Sl3oOvXFZ&amp;gclid=Cj0KCQiA5I_NBhDVARIsAOrqIsa73dFEtIOoZXvPwLxGBNOd156zjBjw9rbvxAyjD9XNcIQMlU-mWsEaAlojEALw_wcB" TargetMode="External"/><Relationship Id="rId351" Type="http://schemas.openxmlformats.org/officeDocument/2006/relationships/hyperlink" Target="https://www.mercadolivre.com.br/escrivaninha-londres-118cm-2-gavetas-corredica-telescopica-mdf-mdp-mesa-para-computador-home-office-cor-canela/p/MLB59150919?pdp_filters=item_id%3AMLB5778726002&amp;from=gshop&amp;matt_tool=30040270&amp;matt_word=&amp;matt_source=google&amp;matt_campaign_id=23440873668&amp;matt_ad_group_id=197094210171&amp;matt_match_type=&amp;matt_network=g&amp;matt_device=c&amp;matt_creative=792396423511&amp;matt_keyword=&amp;matt_ad_position=&amp;matt_ad_type=pla&amp;matt_merchant_id=735128761&amp;matt_product_id=MLB59150919-product&amp;matt_product_partition_id=2388009795026&amp;matt_target_id=pla-2388009795026&amp;cq_src=google_ads&amp;cq_cmp=23440873668&amp;cq_net=g&amp;cq_plt=gp&amp;cq_med=pla&amp;gad_source=1&amp;gad_campaignid=23440873668&amp;gbraid=0AAAAAD93qcDaeB8_sfQnaO4IbjwgNaPM5&amp;gclid=Cj0KCQiA5I_NBhDVARIsAOrqIsbJW9PxKBuB5tEu2QqwhA78OZIyLPAbacp69HKj5xxUBehSS4TGe50aApb1EALw_wcB" TargetMode="External"/><Relationship Id="rId593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350" Type="http://schemas.openxmlformats.org/officeDocument/2006/relationships/hyperlink" Target="https://www.mercadolivre.com.br/central-telefonica-digital-impacta-68i-pabx-hibrida-intelbras/p/MLB25936916?pdp_filters=item_id%3AMLB4497837659&amp;from=gshop&amp;matt_tool=14476645&amp;matt_internal_campaign_id=&amp;matt_word=&amp;matt_source=google&amp;matt_campaign_id=22090193660&amp;matt_ad_group_id=191545507162&amp;matt_match_type=&amp;matt_network=g&amp;matt_device=c&amp;matt_creative=787871501648&amp;matt_keyword=&amp;matt_ad_position=&amp;matt_ad_type=pla&amp;matt_merchant_id=735128761&amp;matt_product_id=MLB25936916-product&amp;matt_product_partition_id=2456670868758&amp;matt_target_id=pla-2456670868758&amp;cq_src=google_ads&amp;cq_cmp=22090193660&amp;cq_net=g&amp;cq_plt=gp&amp;cq_med=pla&amp;gad_source=1&amp;gad_campaignid=22090193660&amp;gbraid=0AAAAAD93qcDJzagKrex6d6NFRsQoAuoy0&amp;gclid=Cj0KCQiA5I_NBhDVARIsAOrqIsZrALv2J5r1eg4ov6YIVm79Cls7COrjcJYO5lLxdSomSIPezPe9ILEaAl3TEALw_wcB" TargetMode="External"/><Relationship Id="rId592" Type="http://schemas.openxmlformats.org/officeDocument/2006/relationships/hyperlink" Target="https://www.mercadolivre.com.br/kit-softbox-iluminador-led-50x70cm-c-bolsa-p-fotografia-t/up/MLBU1420794007?pdp_filters=item_id%3AMLB1991211668&amp;from=gshop&amp;matt_tool=91562990&amp;matt_internal_campaign_id=&amp;matt_word=&amp;matt_source=google&amp;matt_campaign_id=22090193891&amp;matt_ad_group_id=174661982084&amp;matt_match_type=&amp;matt_network=g&amp;matt_device=c&amp;matt_creative=727914180943&amp;matt_keyword=&amp;matt_ad_position=&amp;matt_ad_type=pla&amp;matt_merchant_id=211900920&amp;matt_product_id=MLBU1420794007&amp;matt_product_partition_id=2389848129525&amp;matt_target_id=pla-2389848129525&amp;cq_src=google_ads&amp;cq_cmp=22090193891&amp;cq_net=g&amp;cq_plt=gp&amp;cq_med=pla&amp;gad_source=4&amp;gad_campaignid=22090193891&amp;gbraid=0AAAAAD93qcDhaiHEvTyF4P8xR6KY3tNUR&amp;gclid=Cj0KCQiA5I_NBhDVARIsAOrqIsYRNS6bbLdEFy9jH2eQ_x2ApgOidQR9m2MWkDTN3bxRdgplhN8TwqIaAmLqEALw_wcB" TargetMode="External"/><Relationship Id="rId591" Type="http://schemas.openxmlformats.org/officeDocument/2006/relationships/hyperlink" Target="https://www.mercadolivre.com.br/kit-softbox-iluminador-led-50x70cm-c-bolsa-p-fotografia-t/up/MLBU1420794007?pdp_filters=item_id%3AMLB1991211668&amp;from=gshop&amp;matt_tool=91562990&amp;matt_internal_campaign_id=&amp;matt_word=&amp;matt_source=google&amp;matt_campaign_id=22090193891&amp;matt_ad_group_id=174661982084&amp;matt_match_type=&amp;matt_network=g&amp;matt_device=c&amp;matt_creative=727914180943&amp;matt_keyword=&amp;matt_ad_position=&amp;matt_ad_type=pla&amp;matt_merchant_id=211900920&amp;matt_product_id=MLBU1420794007&amp;matt_product_partition_id=2389848129525&amp;matt_target_id=pla-2389848129525&amp;cq_src=google_ads&amp;cq_cmp=22090193891&amp;cq_net=g&amp;cq_plt=gp&amp;cq_med=pla&amp;gad_source=4&amp;gad_campaignid=22090193891&amp;gbraid=0AAAAAD93qcDhaiHEvTyF4P8xR6KY3tNUR&amp;gclid=Cj0KCQiA5I_NBhDVARIsAOrqIsYRNS6bbLdEFy9jH2eQ_x2ApgOidQR9m2MWkDTN3bxRdgplhN8TwqIaAmLqEALw_wcB" TargetMode="External"/><Relationship Id="rId114" Type="http://schemas.openxmlformats.org/officeDocument/2006/relationships/hyperlink" Target="https://www.mercadolivre.com.br/mesa-retangular-pe-aco-120x60-pescritorio-cor-cinza/up/MLBU1441719012?pdp_filters=item_id:MLB3074722367&amp;matt_tool=40300352&amp;matt_internal_campaign_id=&amp;matt_word=&amp;matt_source=google&amp;matt_campaign_id=22090354013&amp;matt_ad_group_id=191786746761&amp;matt_match_type=&amp;matt_network=g&amp;matt_device=c&amp;matt_creative=782869960688&amp;matt_keyword=&amp;matt_ad_position=&amp;matt_ad_type=pla&amp;matt_merchant_id=124623750&amp;matt_product_id=MLB3074722367&amp;matt_product_partition_id=2388364059839&amp;matt_target_id=aud-1966857867496:pla-2388364059839&amp;cq_src=google_ads&amp;cq_cmp=22090354013&amp;cq_net=g&amp;cq_plt=gp&amp;cq_med=pla&amp;gad_source=4&amp;gad_campaignid=22090354013&amp;gbraid=0AAAAAD93qcCQJU46mzvrnA0nknvansqw8&amp;gclid=CjwKCAiAxc_JBhA2EiwAFVs7XNcdh2yv4PWinqSs2ZLtMIZOhTQT0af7kQcN1B0uxIkKOEU_hdDsTRoCkg4QAvD_BwE" TargetMode="External"/><Relationship Id="rId356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598" Type="http://schemas.openxmlformats.org/officeDocument/2006/relationships/hyperlink" Target="https://www.mercadolivre.com.br/suporte-tv-de-cho-tipo-rack-37-a-70-c-rodinha-aquario/p/MLB27938198?pdp_filters=item_id%3AMLB5143273692&amp;from=gshop&amp;matt_tool=56164162&amp;matt_internal_campaign_id=&amp;matt_word=&amp;matt_source=google&amp;matt_campaign_id=22090193744&amp;matt_ad_group_id=172956707906&amp;matt_match_type=&amp;matt_network=g&amp;matt_device=c&amp;matt_creative=728942946669&amp;matt_keyword=&amp;matt_ad_position=&amp;matt_ad_type=pla&amp;matt_merchant_id=735128188&amp;matt_product_id=MLB27938198-product&amp;matt_product_partition_id=2417613607084&amp;matt_target_id=pla-2417613607084&amp;cq_src=google_ads&amp;cq_cmp=22090193744&amp;cq_net=g&amp;cq_plt=gp&amp;cq_med=pla&amp;gad_source=1&amp;gad_campaignid=22090193744&amp;gbraid=0AAAAAD93qcD1YXJ-7mbTs9sY9xU5DsIxx&amp;gclid=Cj0KCQiA5I_NBhDVARIsAOrqIsb--sWA7kLZYmfjsR1dKRAmn14dDNpGT7bOITPiNjW1QZ8nrT2sMgEaAgSnEALw_wcB" TargetMode="External"/><Relationship Id="rId113" Type="http://schemas.openxmlformats.org/officeDocument/2006/relationships/hyperlink" Target="https://www.mercadolivre.com.br/armario-aereo-de-cozinha-cor-branco-aco-3-portas-rose-itatiaia/p/MLB27988013?pdp_filters=item_id%3AMLB3947958871&amp;from=gshop&amp;matt_tool=71021180&amp;matt_internal_campaign_id=&amp;matt_word=&amp;matt_source=google&amp;matt_campaign_id=22090354475&amp;matt_ad_group_id=173090604476&amp;matt_match_type=&amp;matt_network=g&amp;matt_device=c&amp;matt_creative=727882732773&amp;matt_keyword=&amp;matt_ad_position=&amp;matt_ad_type=pla&amp;matt_merchant_id=735128188&amp;matt_product_id=MLB27988013-product&amp;matt_product_partition_id=2392712848981&amp;matt_target_id=aud-1966857867496:pla-2392712848981&amp;cq_src=google_ads&amp;cq_cmp=22090354475&amp;cq_net=g&amp;cq_plt=gp&amp;cq_med=pla&amp;gad_source=4&amp;gad_campaignid=22090354475&amp;gbraid=0AAAAAD93qcA0b6NWqP8k6RgldxQHhW7gH&amp;gclid=CjwKCAiAxc_JBhA2EiwAFVs7XIpZMIo5y-JPkiRUoNPwTBmrtHT2HWDZdwf6mwblHGR7RsrHo4fE9BoCj24QAvD_BwE" TargetMode="External"/><Relationship Id="rId35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597" Type="http://schemas.openxmlformats.org/officeDocument/2006/relationships/hyperlink" Target="https://www.amazon.com.br/Mini-Desktop-Intel-240gb-bluetooth/dp/B0CKG8X8VG/ref=asc_df_B0CKG8X8VG?mcid=61eb944b8b683de5bc6c123b745c8222&amp;tag=googleshopp00-20&amp;linkCode=df0&amp;hvadid=709884378370&amp;hvpos=&amp;hvnetw=g&amp;hvrand=3931852236686048335&amp;hvpone=&amp;hvptwo=&amp;hvqmt=&amp;hvdev=c&amp;hvdvcmdl=&amp;hvlocint=&amp;hvlocphy=9101878&amp;hvtargid=pla-2271423249562&amp;psc=1&amp;language=pt_BR&amp;gad_source=1" TargetMode="External"/><Relationship Id="rId112" Type="http://schemas.openxmlformats.org/officeDocument/2006/relationships/hyperlink" Target="https://www.odontoatual.com.br/equipamentos-protese/amalgamador-vibramat-capsular-speed-ii-schuster?parceiro=5577&amp;srsltid=AfmBOorP6XgvlePK0F8cWmpIkVxuZBHA7l-QfRVJdcmUvTKa7neNWiLBtJ4" TargetMode="External"/><Relationship Id="rId354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596" Type="http://schemas.openxmlformats.org/officeDocument/2006/relationships/hyperlink" Target="https://www.mercadolivre.com.br/balanca-pediatrica-com-capa-elp25bbc-baby-care-balmak/p/MLB36556469?pdp_filters=item_id%3AMLB4666670894&amp;from=gshop&amp;matt_tool=41970894&amp;matt_internal_campaign_id=&amp;matt_word=&amp;matt_source=google&amp;matt_campaign_id=22090193723&amp;matt_ad_group_id=194474622154&amp;matt_match_type=&amp;matt_network=g&amp;matt_device=c&amp;matt_creative=792355615173&amp;matt_keyword=&amp;matt_ad_position=&amp;matt_ad_type=pla&amp;matt_merchant_id=735098639&amp;matt_product_id=MLB36556469-product&amp;matt_product_partition_id=2454861833248&amp;matt_target_id=pla-2454861833248&amp;cq_src=google_ads&amp;cq_cmp=22090193723&amp;cq_net=g&amp;cq_plt=gp&amp;cq_med=pla&amp;gad_source=1&amp;gad_campaignid=22090193723&amp;gbraid=0AAAAAD93qcB3aLVJmh18QOzL1XIfoTAnD&amp;gclid=Cj0KCQiA5I_NBhDVARIsAOrqIsa_BHQZSMsdFaB9Yj41x1d9O_IWHa8_BT84q-B-HbUfSKYeCfu6B6UaAs3WEALw_wcB" TargetMode="External"/><Relationship Id="rId111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353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595" Type="http://schemas.openxmlformats.org/officeDocument/2006/relationships/hyperlink" Target="https://www.amazon.com.br/Frigobar-Compact-Branco-Efb81-110v/dp/B0C9F2YRPN/ref=asc_df_B0C9F2YRPN?mcid=ada54f80fe843662b56c13b1ca330e00&amp;tag=googleshopp00-20&amp;linkCode=df0&amp;hvadid=709884460975&amp;hvpos=&amp;hvnetw=g&amp;hvrand=2447697802204676284&amp;hvpone=&amp;hvptwo=&amp;hvqmt=&amp;hvdev=c&amp;hvdvcmdl=&amp;hvlocint=&amp;hvlocphy=9101877&amp;hvtargid=pla-2330850548077&amp;psc=1&amp;language=pt_BR&amp;gad_source=1" TargetMode="External"/><Relationship Id="rId305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547" Type="http://schemas.openxmlformats.org/officeDocument/2006/relationships/hyperlink" Target="https://produto.mercadolivre.com.br/MLB-4600764984-cadeira-de-banho-higienica-aluminio-dobravel-140kg-supermedy-_JM" TargetMode="External"/><Relationship Id="rId789" Type="http://schemas.openxmlformats.org/officeDocument/2006/relationships/hyperlink" Target="https://www.dentalspeed.com/ultrassom-jet-sonic-bp-bivolt-gnatus.html?srsltid=AfmBOoqm4PiovmI0jqWpNkLzKzinJYwsyj9r2QpmXyDg092Xwc4-k5pb8Lw" TargetMode="External"/><Relationship Id="rId304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546" Type="http://schemas.openxmlformats.org/officeDocument/2006/relationships/hyperlink" Target="https://www.amazon.com.br/Computador-i7-6600U-Alto-Falantes-Integrados-Teclado/dp/B0G52YJHL9/ref=asc_df_B0G52YJHL9?mcid=c30413eb42ad39b9aef6a4e60c398f7b&amp;tag=googleshopp00-20&amp;linkCode=df0&amp;hvadid=709884378172&amp;hvpos=&amp;hvnetw=g&amp;hvrand=16031713850516422216&amp;hvpone=&amp;hvptwo=&amp;hvqmt=&amp;hvdev=c&amp;hvdvcmdl=&amp;hvlocint=&amp;hvlocphy=9101878&amp;hvtargid=pla-2455107224566&amp;psc=1&amp;language=pt_BR&amp;gad_source=1" TargetMode="External"/><Relationship Id="rId788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303" Type="http://schemas.openxmlformats.org/officeDocument/2006/relationships/hyperlink" Target="https://www.mercadolivre.com.br/mesa-retangular-pe-aco-120x60-pescritorio-cor-cinza/up/MLBU1441719012?pdp_filters=item_id:MLB3074722367&amp;matt_tool=40300352&amp;matt_internal_campaign_id=&amp;matt_word=&amp;matt_source=google&amp;matt_campaign_id=22090354013&amp;matt_ad_group_id=191786746761&amp;matt_match_type=&amp;matt_network=g&amp;matt_device=c&amp;matt_creative=782869960688&amp;matt_keyword=&amp;matt_ad_position=&amp;matt_ad_type=pla&amp;matt_merchant_id=124623750&amp;matt_product_id=MLB3074722367&amp;matt_product_partition_id=2388364059839&amp;matt_target_id=aud-1966857867496:pla-2388364059839&amp;cq_src=google_ads&amp;cq_cmp=22090354013&amp;cq_net=g&amp;cq_plt=gp&amp;cq_med=pla&amp;gad_source=4&amp;gad_campaignid=22090354013&amp;gbraid=0AAAAAD93qcCQJU46mzvrnA0nknvansqw8&amp;gclid=CjwKCAiAxc_JBhA2EiwAFVs7XNcdh2yv4PWinqSs2ZLtMIZOhTQT0af7kQcN1B0uxIkKOEU_hdDsTRoCkg4QAvD_BwE" TargetMode="External"/><Relationship Id="rId545" Type="http://schemas.openxmlformats.org/officeDocument/2006/relationships/hyperlink" Target="https://www.mercadolivre.com.br/monitor-pc-lg-195-20mk400h-b-led-hd-hdmi-vga-d-sub-75hz-2msgtg-ajuste-de-inclinaco-reader-mode/p/MLB15121865?pdp_filters=item_id%3AMLB5469203514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&amp;matt_merchant_id=735128761&amp;matt_product_id=MLB15121865-product&amp;matt_product_partition_id=2388112038373&amp;matt_target_id=pla-2388112038373&amp;cq_src=google_ads&amp;cq_cmp=22090193891&amp;cq_net=g&amp;cq_plt=gp&amp;cq_med=pla&amp;gad_source=1&amp;gad_campaignid=22090193891&amp;gbraid=0AAAAAD93qcDowZhjpiHe3AXzQR2o262ZK&amp;gclid=Cj0KCQiA5I_NBhDVARIsAOrqIsYg0UngBI5TeYNiRAdbeAL7qCBLwueSlvBewHpER8aePtpcWeFvToEaApYlEALw_wcB" TargetMode="External"/><Relationship Id="rId787" Type="http://schemas.openxmlformats.org/officeDocument/2006/relationships/hyperlink" Target="https://www.leroymerlin.com.br/armario-baixo-p25-pandin-80-cm--largura--em-mdp-cor-castanheira-natural-com-2-portas-1-e-prateleira_1572464121?region=outros" TargetMode="External"/><Relationship Id="rId302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544" Type="http://schemas.openxmlformats.org/officeDocument/2006/relationships/hyperlink" Target="https://www.mercadolivre.com.br/monitor-samsung-essential-s3-22-fhd-100-hz-cor-preto/p/MLB46442976?pdp_filters=item_id%3AMLB5533866804&amp;from=gshop&amp;matt_tool=31485049&amp;matt_internal_campaign_id=&amp;matt_word=&amp;matt_source=google&amp;matt_campaign_id=22090354244&amp;matt_ad_group_id=173090555516&amp;matt_match_type=&amp;matt_network=g&amp;matt_device=c&amp;matt_creative=727882729092&amp;matt_keyword=&amp;matt_ad_position=&amp;matt_ad_type=pla&amp;matt_merchant_id=735128761&amp;matt_product_id=MLB46442976-product&amp;matt_product_partition_id=2388112038453&amp;matt_target_id=pla-2388112038453&amp;cq_src=google_ads&amp;cq_cmp=22090354244&amp;cq_net=g&amp;cq_plt=gp&amp;cq_med=pla&amp;gad_source=1&amp;gad_campaignid=22090354244&amp;gbraid=0AAAAAD93qcBhPv4ydH2jMP1qKIc0GH1rD&amp;gclid=Cj0KCQiA5I_NBhDVARIsAOrqIsbng3rUqoqQC72wZx0gCB8YKAEi6UxGmcknqXtGHe3GtQ7X13lvJecaAi5LEALw_wcB" TargetMode="External"/><Relationship Id="rId786" Type="http://schemas.openxmlformats.org/officeDocument/2006/relationships/hyperlink" Target="https://www.mercadolivre.com.br/mesa-para-escritorio-reta-120-pc/up/MLBU3472455577?pdp_filters=item_id%3AMLB5775934272&amp;from=gshop&amp;matt_tool=87728839&amp;matt_internal_campaign_id=&amp;matt_word=&amp;matt_source=google&amp;matt_campaign_id=22090193711&amp;matt_ad_group_id=174661959564&amp;matt_match_type=&amp;matt_network=g&amp;matt_device=c&amp;matt_creative=727914179260&amp;matt_keyword=&amp;matt_ad_position=&amp;matt_ad_type=pla&amp;matt_merchant_id=5514184223&amp;matt_product_id=MLBU3472455577&amp;matt_product_partition_id=2388009794786&amp;matt_target_id=pla-2388009794786&amp;cq_src=google_ads&amp;cq_cmp=22090193711&amp;cq_net=g&amp;cq_plt=gp&amp;cq_med=pla&amp;gad_source=4&amp;gad_campaignid=22090193711&amp;gbraid=0AAAAAD93qcBOMPeP42ALYM3Fr8CZb8cNM&amp;gclid=Cj0KCQiA5I_NBhDVARIsAOrqIsYOB3pYYV59wvD7vx-cY9YmoeJ4JOHBQ-jXjXsr_MHsLx45OyUUHiwaAtgGEALw_wcB" TargetMode="External"/><Relationship Id="rId309" Type="http://schemas.openxmlformats.org/officeDocument/2006/relationships/hyperlink" Target="https://www.amazon.com.br/Balc%C3%A3o-Cozinha-Portas-Gavetas-Itatiaia/dp/B07NQHQHLL?source=ps-sl-shoppingads-lpcontext&amp;ref_=fplfs&amp;psc=1&amp;smid=AFBHDRJPRDZPC" TargetMode="External"/><Relationship Id="rId308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307" Type="http://schemas.openxmlformats.org/officeDocument/2006/relationships/hyperlink" Target="https://www.lojadomecanico.com.br/produto/77848/21/159/compressor-de-ar-odontologico-silencioso-1hp-5-pes-30l-220v-schulz-csd-530/153/?utm_source=google&amp;utm_medium=cpc&amp;utm_campaign=MONKS_GG_F_PMAX_Sazonal&amp;utm_content=Fim_de_semana_premiado&amp;utm_source=google&amp;utm_medium=cpc&amp;utm_campaign=MONKS_GG_F_PMAX_Sazonal&amp;utm_content=Fim_de_semana_premiado&amp;gad_source=4&amp;gad_campaignid=21470818203&amp;gbraid=0AAAAADsnw5b4VbrMXWKiRUBdYPr6DB39s&amp;gclid=CjwKCAiAxc_JBhA2EiwAFVs7XGlEYoautenZE5VgPZ9dVeMMUCUmSXJIaBGe3Pr6Qfgqma_Q-x_F-hoCtAgQAvD_BwE" TargetMode="External"/><Relationship Id="rId549" Type="http://schemas.openxmlformats.org/officeDocument/2006/relationships/hyperlink" Target="https://produto.mercadolivre.com.br/MLB-4600764984-cadeira-de-banho-higienica-aluminio-dobravel-140kg-supermedy-_JM" TargetMode="External"/><Relationship Id="rId306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548" Type="http://schemas.openxmlformats.org/officeDocument/2006/relationships/hyperlink" Target="https://produto.mercadolivre.com.br/MLB-4600764984-cadeira-de-banho-higienica-aluminio-dobravel-140kg-supermedy-_JM" TargetMode="External"/><Relationship Id="rId781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780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301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543" Type="http://schemas.openxmlformats.org/officeDocument/2006/relationships/hyperlink" Target="https://www.mercadolivre.com.br/computador-2eletro-speed-intel-core-i5-8gb-ram-ssd-512gb-hdmi-bivolt-audio-hd-cd2e-0102sp/p/MLB53799869?pdp_filters=item_id%3AMLB6222036276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735128761&amp;matt_product_id=MLB53799869-product&amp;matt_product_partition_id=2389840739899&amp;matt_target_id=pla-2389840739899&amp;cq_src=google_ads&amp;cq_cmp=22090193891&amp;cq_net=g&amp;cq_plt=gp&amp;cq_med=pla&amp;gad_source=1&amp;gad_campaignid=22090193891&amp;gbraid=0AAAAAD93qcDowZhjpiHe3AXzQR2o262ZK&amp;gclid=Cj0KCQiA5I_NBhDVARIsAOrqIsblsVqYlkxyfoXlocHjhnSZ1HA6bt2QBuAF9ozWg0Ww97GZPSvTkVEaAkwaEALw_wcB" TargetMode="External"/><Relationship Id="rId785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300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542" Type="http://schemas.openxmlformats.org/officeDocument/2006/relationships/hyperlink" Target="https://www.mercadolivre.com.br/computador-2eletro-speed-intel-core-i5-8gb-ram-ssd-512gb-hdmi-bivolt-audio-hd-cd2e-0102sp/p/MLB53799869?pdp_filters=item_id%3AMLB6222036276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735128761&amp;matt_product_id=MLB53799869-product&amp;matt_product_partition_id=2389840739899&amp;matt_target_id=pla-2389840739899&amp;cq_src=google_ads&amp;cq_cmp=22090193891&amp;cq_net=g&amp;cq_plt=gp&amp;cq_med=pla&amp;gad_source=1&amp;gad_campaignid=22090193891&amp;gbraid=0AAAAAD93qcDowZhjpiHe3AXzQR2o262ZK&amp;gclid=Cj0KCQiA5I_NBhDVARIsAOrqIsblsVqYlkxyfoXlocHjhnSZ1HA6bt2QBuAF9ozWg0Ww97GZPSvTkVEaAkwaEALw_wcB" TargetMode="External"/><Relationship Id="rId784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541" Type="http://schemas.openxmlformats.org/officeDocument/2006/relationships/hyperlink" Target="https://www.mercadolivre.com.br/monitor-samsung-essential-s3-22-fhd-100-hz-cor-preto/p/MLB46442976?pdp_filters=item_id%3AMLB5533866804&amp;from=gshop&amp;matt_tool=31485049&amp;matt_internal_campaign_id=&amp;matt_word=&amp;matt_source=google&amp;matt_campaign_id=22090354244&amp;matt_ad_group_id=173090555516&amp;matt_match_type=&amp;matt_network=g&amp;matt_device=c&amp;matt_creative=727882729092&amp;matt_keyword=&amp;matt_ad_position=&amp;matt_ad_type=pla&amp;matt_merchant_id=735128761&amp;matt_product_id=MLB46442976-product&amp;matt_product_partition_id=2388112038453&amp;matt_target_id=pla-2388112038453&amp;cq_src=google_ads&amp;cq_cmp=22090354244&amp;cq_net=g&amp;cq_plt=gp&amp;cq_med=pla&amp;gad_source=1&amp;gad_campaignid=22090354244&amp;gbraid=0AAAAAD93qcBhPv4ydH2jMP1qKIc0GH1rD&amp;gclid=Cj0KCQiA5I_NBhDVARIsAOrqIsbng3rUqoqQC72wZx0gCB8YKAEi6UxGmcknqXtGHe3GtQ7X13lvJecaAi5LEALw_wcB" TargetMode="External"/><Relationship Id="rId783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540" Type="http://schemas.openxmlformats.org/officeDocument/2006/relationships/hyperlink" Target="https://www.mercadolivre.com.br/monitor-samsung-essential-s3-22-fhd-100-hz-cor-preto/p/MLB46442976?pdp_filters=item_id%3AMLB5533866804&amp;from=gshop&amp;matt_tool=31485049&amp;matt_internal_campaign_id=&amp;matt_word=&amp;matt_source=google&amp;matt_campaign_id=22090354244&amp;matt_ad_group_id=173090555516&amp;matt_match_type=&amp;matt_network=g&amp;matt_device=c&amp;matt_creative=727882729092&amp;matt_keyword=&amp;matt_ad_position=&amp;matt_ad_type=pla&amp;matt_merchant_id=735128761&amp;matt_product_id=MLB46442976-product&amp;matt_product_partition_id=2388112038453&amp;matt_target_id=pla-2388112038453&amp;cq_src=google_ads&amp;cq_cmp=22090354244&amp;cq_net=g&amp;cq_plt=gp&amp;cq_med=pla&amp;gad_source=1&amp;gad_campaignid=22090354244&amp;gbraid=0AAAAAD93qcBhPv4ydH2jMP1qKIc0GH1rD&amp;gclid=Cj0KCQiA5I_NBhDVARIsAOrqIsbng3rUqoqQC72wZx0gCB8YKAEi6UxGmcknqXtGHe3GtQ7X13lvJecaAi5LEALw_wcB" TargetMode="External"/><Relationship Id="rId782" Type="http://schemas.openxmlformats.org/officeDocument/2006/relationships/hyperlink" Target="https://www.odontoatual.com.br/equipamentos-protese/amalgamador-vibramat-capsular-speed-ii-schuster?parceiro=5577&amp;srsltid=AfmBOorP6XgvlePK0F8cWmpIkVxuZBHA7l-QfRVJdcmUvTKa7neNWiLBtJ4" TargetMode="External"/><Relationship Id="rId536" Type="http://schemas.openxmlformats.org/officeDocument/2006/relationships/hyperlink" Target="https://www.mercadolivre.com.br/monitor-samsung-essential-s3-22-fhd-100-hz-cor-preto/p/MLB46442976?pdp_filters=item_id%3AMLB5533866804&amp;from=gshop&amp;matt_tool=31485049&amp;matt_internal_campaign_id=&amp;matt_word=&amp;matt_source=google&amp;matt_campaign_id=22090354244&amp;matt_ad_group_id=173090555516&amp;matt_match_type=&amp;matt_network=g&amp;matt_device=c&amp;matt_creative=727882729092&amp;matt_keyword=&amp;matt_ad_position=&amp;matt_ad_type=pla&amp;matt_merchant_id=735128761&amp;matt_product_id=MLB46442976-product&amp;matt_product_partition_id=2388112038453&amp;matt_target_id=pla-2388112038453&amp;cq_src=google_ads&amp;cq_cmp=22090354244&amp;cq_net=g&amp;cq_plt=gp&amp;cq_med=pla&amp;gad_source=1&amp;gad_campaignid=22090354244&amp;gbraid=0AAAAAD93qcBhPv4ydH2jMP1qKIc0GH1rD&amp;gclid=Cj0KCQiA5I_NBhDVARIsAOrqIsbng3rUqoqQC72wZx0gCB8YKAEi6UxGmcknqXtGHe3GtQ7X13lvJecaAi5LEALw_wcB" TargetMode="External"/><Relationship Id="rId778" Type="http://schemas.openxmlformats.org/officeDocument/2006/relationships/hyperlink" Target="https://www.mercadolivre.com.br/frigobar-electrolux-121l-efficient-com-controle-de-temperatura-cor-branca-em120-110v/p/MLB35176641?pdp_filters=item_id%3AMLB3677891225&amp;from=gshop&amp;matt_tool=44882740&amp;matt_internal_campaign_id=&amp;matt_word=&amp;matt_source=google&amp;matt_campaign_id=22090193750&amp;matt_ad_group_id=194474625314&amp;matt_match_type=&amp;matt_network=g&amp;matt_device=c&amp;matt_creative=792355615605&amp;matt_keyword=&amp;matt_ad_position=&amp;matt_ad_type=pla&amp;matt_merchant_id=735098660&amp;matt_product_id=MLB35176641-product&amp;matt_product_partition_id=2454863168848&amp;matt_target_id=pla-2454863168848&amp;cq_src=google_ads&amp;cq_cmp=22090193750&amp;cq_net=g&amp;cq_plt=gp&amp;cq_med=pla&amp;gad_source=1&amp;gad_campaignid=22090193750&amp;gbraid=0AAAAAD93qcCiCkJgTjbWYwi-6MhVRuoGU&amp;gclid=Cj0KCQiA5I_NBhDVARIsAOrqIsboH3obCaLLV0sE9Mrkcr5zaO8YavzhTeANXIe1cQZ0YQHoLEClF54aAg_eEALw_wcB" TargetMode="External"/><Relationship Id="rId535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777" Type="http://schemas.openxmlformats.org/officeDocument/2006/relationships/hyperlink" Target="https://www.mercadolivre.com.br/mesa-para-escritorio-reta-120-pc/up/MLBU3472455577?pdp_filters=item_id%3AMLB5775934272&amp;from=gshop&amp;matt_tool=87728839&amp;matt_internal_campaign_id=&amp;matt_word=&amp;matt_source=google&amp;matt_campaign_id=22090193711&amp;matt_ad_group_id=174661959564&amp;matt_match_type=&amp;matt_network=g&amp;matt_device=c&amp;matt_creative=727914179260&amp;matt_keyword=&amp;matt_ad_position=&amp;matt_ad_type=pla&amp;matt_merchant_id=5514184223&amp;matt_product_id=MLBU3472455577&amp;matt_product_partition_id=2388009794786&amp;matt_target_id=pla-2388009794786&amp;cq_src=google_ads&amp;cq_cmp=22090193711&amp;cq_net=g&amp;cq_plt=gp&amp;cq_med=pla&amp;gad_source=4&amp;gad_campaignid=22090193711&amp;gbraid=0AAAAAD93qcBOMPeP42ALYM3Fr8CZb8cNM&amp;gclid=Cj0KCQiA5I_NBhDVARIsAOrqIsYOB3pYYV59wvD7vx-cY9YmoeJ4JOHBQ-jXjXsr_MHsLx45OyUUHiwaAtgGEALw_wcB" TargetMode="External"/><Relationship Id="rId534" Type="http://schemas.openxmlformats.org/officeDocument/2006/relationships/hyperlink" Target="https://www.mercadolivre.com.br/case-para-hd-notebook-sata-25-adaptador-ssd-usb-30-pc-ps4-xbox-tv-kp-hd821/p/MLB51115966?pdp_filters=item_id%3AMLB5429495900&amp;from=gshop&amp;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735128761&amp;matt_product_id=MLB51115966-product&amp;matt_product_partition_id=2429959781261&amp;matt_target_id=pla-2429959781261&amp;cq_src=google_ads&amp;cq_cmp=22603531562&amp;cq_net=g&amp;cq_plt=gp&amp;cq_med=pla&amp;gad_source=4&amp;gad_campaignid=22603531562&amp;gbraid=0AAAAAD93qcAiO8_CMuoJBeVE7Gk3xJFaY&amp;gclid=Cj0KCQiA5I_NBhDVARIsAOrqIsYMX7rzRG_SyE_IDHp2ashjq3OkJAkqc3KjhzTEOJJW8-QbWNQIQ08aAn_1EALw_wcB" TargetMode="External"/><Relationship Id="rId776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533" Type="http://schemas.openxmlformats.org/officeDocument/2006/relationships/hyperlink" Target="https://www.mercadolivre.com.br/hd-externo-500gb-usb-20/up/MLBU1726979993?pdp_filters=item_id%3AMLB3307249473&amp;from=gshop&amp;matt_tool=83591963&amp;matt_internal_campaign_id=&amp;matt_word=&amp;matt_source=google&amp;matt_campaign_id=22090193903&amp;matt_ad_group_id=194474632514&amp;matt_match_type=&amp;matt_network=g&amp;matt_device=c&amp;matt_creative=792355616058&amp;matt_keyword=&amp;matt_ad_position=&amp;matt_ad_type=pla&amp;matt_merchant_id=248935999&amp;matt_product_id=MLBU1726979993&amp;matt_product_partition_id=2453249239376&amp;matt_target_id=pla-2453249239376&amp;cq_src=google_ads&amp;cq_cmp=22090193903&amp;cq_net=g&amp;cq_plt=gp&amp;cq_med=pla&amp;gad_source=1&amp;gad_campaignid=22090193903&amp;gbraid=0AAAAAD93qcBnWWf-bq0P3f1b-Gv3LMPes&amp;gclid=Cj0KCQiA5I_NBhDVARIsAOrqIsa37gUuup_f05JRn469MGrrzVLHtdrsLHjfx5MGPvtzBE0fql7sQc0aAvSuEALw_wcB" TargetMode="External"/><Relationship Id="rId775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539" Type="http://schemas.openxmlformats.org/officeDocument/2006/relationships/hyperlink" Target="https://www.mercadolivre.com.br/monitor-samsung-essential-s3-22-fhd-100-hz-cor-preto/p/MLB46442976?pdp_filters=item_id%3AMLB5533866804&amp;from=gshop&amp;matt_tool=31485049&amp;matt_internal_campaign_id=&amp;matt_word=&amp;matt_source=google&amp;matt_campaign_id=22090354244&amp;matt_ad_group_id=173090555516&amp;matt_match_type=&amp;matt_network=g&amp;matt_device=c&amp;matt_creative=727882729092&amp;matt_keyword=&amp;matt_ad_position=&amp;matt_ad_type=pla&amp;matt_merchant_id=735128761&amp;matt_product_id=MLB46442976-product&amp;matt_product_partition_id=2388112038453&amp;matt_target_id=pla-2388112038453&amp;cq_src=google_ads&amp;cq_cmp=22090354244&amp;cq_net=g&amp;cq_plt=gp&amp;cq_med=pla&amp;gad_source=1&amp;gad_campaignid=22090354244&amp;gbraid=0AAAAAD93qcBhPv4ydH2jMP1qKIc0GH1rD&amp;gclid=Cj0KCQiA5I_NBhDVARIsAOrqIsbng3rUqoqQC72wZx0gCB8YKAEi6UxGmcknqXtGHe3GtQ7X13lvJecaAi5LEALw_wcB" TargetMode="External"/><Relationship Id="rId538" Type="http://schemas.openxmlformats.org/officeDocument/2006/relationships/hyperlink" Target="https://www.mercadolivre.com.br/monitor-samsung-essential-s3-22-fhd-100-hz-cor-preto/p/MLB46442976?pdp_filters=item_id%3AMLB5533866804&amp;from=gshop&amp;matt_tool=31485049&amp;matt_internal_campaign_id=&amp;matt_word=&amp;matt_source=google&amp;matt_campaign_id=22090354244&amp;matt_ad_group_id=173090555516&amp;matt_match_type=&amp;matt_network=g&amp;matt_device=c&amp;matt_creative=727882729092&amp;matt_keyword=&amp;matt_ad_position=&amp;matt_ad_type=pla&amp;matt_merchant_id=735128761&amp;matt_product_id=MLB46442976-product&amp;matt_product_partition_id=2388112038453&amp;matt_target_id=pla-2388112038453&amp;cq_src=google_ads&amp;cq_cmp=22090354244&amp;cq_net=g&amp;cq_plt=gp&amp;cq_med=pla&amp;gad_source=1&amp;gad_campaignid=22090354244&amp;gbraid=0AAAAAD93qcBhPv4ydH2jMP1qKIc0GH1rD&amp;gclid=Cj0KCQiA5I_NBhDVARIsAOrqIsbng3rUqoqQC72wZx0gCB8YKAEi6UxGmcknqXtGHe3GtQ7X13lvJecaAi5LEALw_wcB" TargetMode="External"/><Relationship Id="rId537" Type="http://schemas.openxmlformats.org/officeDocument/2006/relationships/hyperlink" Target="https://www.mercadolivre.com.br/computador-2eletro-speed-intel-core-i5-8gb-ram-ssd-512gb-hdmi-bivolt-audio-hd-cd2e-0102sp/p/MLB53799869?pdp_filters=item_id%3AMLB6222036276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735128761&amp;matt_product_id=MLB53799869-product&amp;matt_product_partition_id=2389840739899&amp;matt_target_id=pla-2389840739899&amp;cq_src=google_ads&amp;cq_cmp=22090193891&amp;cq_net=g&amp;cq_plt=gp&amp;cq_med=pla&amp;gad_source=1&amp;gad_campaignid=22090193891&amp;gbraid=0AAAAAD93qcDowZhjpiHe3AXzQR2o262ZK&amp;gclid=Cj0KCQiA5I_NBhDVARIsAOrqIsblsVqYlkxyfoXlocHjhnSZ1HA6bt2QBuAF9ozWg0Ww97GZPSvTkVEaAkwaEALw_wcB" TargetMode="External"/><Relationship Id="rId779" Type="http://schemas.openxmlformats.org/officeDocument/2006/relationships/hyperlink" Target="https://www.mercadolivre.com.br/lixeira-redonda-com-pedal-12-litros-branca-mollie-cor-branco/p/MLB27998466?pdp_filters=item_id%3AMLB6143583164&amp;from=gshop&amp;matt_tool=13891073&amp;matt_internal_campaign_id=&amp;matt_word=&amp;matt_source=google&amp;matt_campaign_id=22090193717&amp;matt_ad_group_id=174661960724&amp;matt_match_type=&amp;matt_network=g&amp;matt_device=c&amp;matt_creative=727914179434&amp;matt_keyword=&amp;matt_ad_position=&amp;matt_ad_type=pla&amp;matt_merchant_id=735098639&amp;matt_product_id=MLB27998466-product&amp;matt_product_partition_id=2392714357581&amp;matt_target_id=pla-2392714357581&amp;cq_src=google_ads&amp;cq_cmp=22090193717&amp;cq_net=g&amp;cq_plt=gp&amp;cq_med=pla&amp;gad_source=1&amp;gad_campaignid=22090193717&amp;gbraid=0AAAAAD93qcBqybriN3jC52kfMwXx_bj7H&amp;gclid=Cj0KCQiA5I_NBhDVARIsAOrqIsaibVCW36yDmOBCkBjnoWhAV85xo3aM8xC_X8Jerux2cDRdV_37zooaApx5EALw_wcB" TargetMode="External"/><Relationship Id="rId770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532" Type="http://schemas.openxmlformats.org/officeDocument/2006/relationships/hyperlink" Target="https://www.mercadolivre.com.br/hd-externo-portatil-knup-1tb-usb-30-preto-para-pc-e-consoles/p/MLB19696956?pdp_filters=item_id%3AMLB5324804412&amp;from=gshop&amp;matt_tool=83591963&amp;matt_internal_campaign_id=&amp;matt_word=&amp;matt_source=google&amp;matt_campaign_id=22090193903&amp;matt_ad_group_id=194474632514&amp;matt_match_type=&amp;matt_network=g&amp;matt_device=c&amp;matt_creative=792355616058&amp;matt_keyword=&amp;matt_ad_position=&amp;matt_ad_type=pla&amp;matt_merchant_id=735128761&amp;matt_product_id=MLB19696956-product&amp;matt_product_partition_id=2455742435745&amp;matt_target_id=pla-2455742435745&amp;cq_src=google_ads&amp;cq_cmp=22090193903&amp;cq_net=g&amp;cq_plt=gp&amp;cq_med=pla&amp;gad_source=1&amp;gad_campaignid=22090193903&amp;gbraid=0AAAAAD93qcBnWWf-bq0P3f1b-Gv3LMPes&amp;gclid=Cj0KCQiA5I_NBhDVARIsAOrqIsZbAPsrHIEMPyuomvlFBU0dIQmwec8kNGHKWj_sSXK3M4n6O9QfiuYaAnDHEALw_wcB" TargetMode="External"/><Relationship Id="rId774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531" Type="http://schemas.openxmlformats.org/officeDocument/2006/relationships/hyperlink" Target="https://www.mercadolivre.com.br/computador-all-in-one-i5-8gb-ram-ssd-240gb-tela-215-full-hd/up/MLBU3554218175?pdp_filters=item_id%3AMLB5930250716&amp;from=gshop&amp;matt_tool=91562990&amp;matt_internal_campaign_id=&amp;matt_word=&amp;matt_source=google&amp;matt_campaign_id=22090193891&amp;matt_ad_group_id=180228882944&amp;matt_match_type=&amp;matt_network=g&amp;matt_device=c&amp;matt_creative=728942946675&amp;matt_keyword=&amp;matt_ad_position=&amp;matt_ad_type=pla&amp;matt_merchant_id=5387182833&amp;matt_product_id=MLBU3554218175&amp;matt_product_partition_id=2389840739499&amp;matt_target_id=pla-2389840739499&amp;cq_src=google_ads&amp;cq_cmp=22090193891&amp;cq_net=g&amp;cq_plt=gp&amp;cq_med=pla&amp;gad_source=1&amp;gad_campaignid=22090193891&amp;gbraid=0AAAAAD93qcDowZhjpiHe3AXzQR2o262ZK&amp;gclid=Cj0KCQiA5I_NBhDVARIsAOrqIsZ_6G8mktj8NWfR3Gxq6fIJYshnraksjynC_rr6cNKCu0EVblMcC5caAkMaEALw_wcB" TargetMode="External"/><Relationship Id="rId773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530" Type="http://schemas.openxmlformats.org/officeDocument/2006/relationships/hyperlink" Target="https://www.mercadolivre.com.br/monitores-de-gordura-corporal-medico-de-dobras-cutneas-dig/p/MLB2069020126?pdp_filters=item_id%3AMLB4356495087&amp;from=gshop&amp;matt_tool=36522053&amp;matt_internal_campaign_id=&amp;matt_word=&amp;matt_source=google&amp;matt_campaign_id=22162683724&amp;matt_ad_group_id=170351768810&amp;matt_match_type=&amp;matt_network=g&amp;matt_device=c&amp;matt_creative=733406723892&amp;matt_keyword=&amp;matt_ad_position=&amp;matt_ad_type=pla&amp;matt_merchant_id=735128188&amp;matt_product_id=MLB2069020126-product&amp;matt_product_partition_id=2398967945216&amp;matt_target_id=pla-2398967945216&amp;cq_src=google_ads&amp;cq_cmp=22162683724&amp;cq_net=g&amp;cq_plt=gp&amp;cq_med=pla&amp;gad_source=1&amp;gad_campaignid=22162683724&amp;gbraid=0AAAAAD93qcA1JzpowAkbRCuqM8ZuESmAg&amp;gclid=Cj0KCQiA5I_NBhDVARIsAOrqIsa-I9kzOTHdnzJudK6gEEhdQQryXhPeoro3NEFX9hVfZacnwtOwbtcaAmshEALw_wcB" TargetMode="External"/><Relationship Id="rId772" Type="http://schemas.openxmlformats.org/officeDocument/2006/relationships/hyperlink" Target="https://produto.mercadolivre.com.br/MLB-2764481089-suporte-infravermelho-fisioterapia-c-ajuste-de-temperatura-_JM?matt_tool=83990436&amp;matt_internal_campaign_id=&amp;matt_word=&amp;matt_source=google&amp;matt_campaign_id=22090354016&amp;matt_ad_group_id=173090511276&amp;matt_match_type=&amp;matt_network=g&amp;matt_device=c&amp;matt_creative=727882726044&amp;matt_keyword=&amp;matt_ad_position=&amp;matt_ad_type=pla&amp;matt_merchant_id=484008396&amp;matt_product_id=MLB2764481089&amp;matt_product_partition_id=2388110767613&amp;matt_target_id=pla-2388110767613&amp;cq_src=google_ads&amp;cq_cmp=22090354016&amp;cq_net=g&amp;cq_plt=gp&amp;cq_med=pla&amp;gad_source=4&amp;gad_campaignid=22090354016&amp;gbraid=0AAAAAD93qcA2p7u-Pm5iV9K6vLStN0kV4&amp;gclid=Cj0KCQiA6NTJBhDEARIsAB7QHD3VADRYeypUhwZFGYQdDogbWQXB9fe2-ucSliO-rXNjy4T0F832EKAaAss0EALw_wcB" TargetMode="External"/><Relationship Id="rId771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327" Type="http://schemas.openxmlformats.org/officeDocument/2006/relationships/hyperlink" Target="https://www.mercadolivre.com.br/balanca-mecanica-antropometrica-cauduro-160-kg-ler-descricao/up/MLBU3396455532" TargetMode="External"/><Relationship Id="rId569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26" Type="http://schemas.openxmlformats.org/officeDocument/2006/relationships/hyperlink" Target="https://www.mercadolivre.com.br/suporte-de-soro--aco-carbono/up/MLBU1466637607?matt_tool=18956390&amp;utm_source=google_shopping&amp;utm_medium=organic&amp;pdp_filters=item_id:MLB4362525096" TargetMode="External"/><Relationship Id="rId568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25" Type="http://schemas.openxmlformats.org/officeDocument/2006/relationships/hyperlink" Target="https://www.mercadolivre.com.br/suporte-de-soro--aco-carbono/up/MLBU1466637607?matt_tool=18956390&amp;utm_source=google_shopping&amp;utm_medium=organic&amp;pdp_filters=item_id:MLB4362525096" TargetMode="External"/><Relationship Id="rId567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24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566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29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328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561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560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323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565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22" Type="http://schemas.openxmlformats.org/officeDocument/2006/relationships/hyperlink" Target="https://www.mercadolivre.com.br/seladora-cristofoli-30cm-bivolt/up/MLBU2275473674?pdp_filters=item_id%3AMLB3516845659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645168673&amp;matt_product_id=MLBU2275473674&amp;matt_product_partition_id=2393015049738&amp;matt_target_id=pla-2393015049738&amp;cq_src=google_ads&amp;cq_cmp=22120855419&amp;cq_net=g&amp;cq_plt=gp&amp;cq_med=pla&amp;gad_source=1&amp;gad_campaignid=22120855419&amp;gbraid=0AAAAAD93qcCr_C5nRqGkWTxlIiEGq9ujw&amp;gclid=Cj0KCQjw37nNBhDkARIsAEBGI8M8CO6sQ0AJardy9kW7ap9mubPc2XJTT8SkbZlgPldbCPfZsFbn8VsaAld7EALw_wcB" TargetMode="External"/><Relationship Id="rId564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21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563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20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562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316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558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315" Type="http://schemas.openxmlformats.org/officeDocument/2006/relationships/hyperlink" Target="https://produto.mercadolivre.com.br/MLB-1355267619-aparelho-laserterapia-led-e-laser-fluence-ilib-htm-_JM?matt_tool=51266944&amp;matt_internal_campaign_id=&amp;matt_word=&amp;matt_source=google&amp;matt_campaign_id=22090354289&amp;matt_ad_group_id=173090574956&amp;matt_match_type=&amp;matt_network=g&amp;matt_device=c&amp;matt_creative=727882730586&amp;matt_keyword=&amp;matt_ad_position=&amp;matt_ad_type=pla_with_promotion&amp;matt_merchant_id=129705257&amp;matt_product_id=MLB1355267619&amp;matt_product_partition_id=2388009999786&amp;matt_target_id=pla-2388009999786&amp;cq_src=google_ads&amp;cq_cmp=22090354289&amp;cq_net=g&amp;cq_plt=gp&amp;cq_med=pla_with_promotion&amp;gad_source=4&amp;gad_campaignid=22090354289&amp;gbraid=0AAAAAD93qcB-3PzEq23SH9GNirsZVSPaV&amp;gclid=Cj0KCQiAi9rJBhCYARIsALyPDttX-_ufG--NsYYnOAVK2XSK0ftVjVf30OOOGAD9I2-hc5JDHq-1I-waAsjDEALw_wcB" TargetMode="External"/><Relationship Id="rId557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799" Type="http://schemas.openxmlformats.org/officeDocument/2006/relationships/hyperlink" Target="https://www.mercadolivre.com.br/rampa-de-alongamento-de-panturrilha-para-fisioterapia/p/MLB27780832?pdp_filters=item_id%3AMLB3714595181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128761&amp;matt_product_id=MLB27780832-product&amp;matt_product_partition_id=2387641794606&amp;matt_target_id=aud-1966857867496:pla-2387641794606&amp;cq_src=google_ads&amp;cq_cmp=22090193885&amp;cq_net=g&amp;cq_plt=gp&amp;cq_med=pla&amp;gad_source=4&amp;gad_campaignid=22090193885&amp;gbraid=0AAAAAD93qcA-BVeMhc6Hp34UIalcTGQQI&amp;gclid=CjwKCAiA3fnJBhAgEiwAyqmY5ep6_ZT0k-WqIipbjqqVbAqmeFKinjXekHNWuwgIZQCX3xg5xk14uRoCfCMQAvD_BwE" TargetMode="External"/><Relationship Id="rId314" Type="http://schemas.openxmlformats.org/officeDocument/2006/relationships/hyperlink" Target="https://loja.electrolux.com.br/micro-ondas-tira-odor-electrolux-mt30s/p?idsku=2001808" TargetMode="External"/><Relationship Id="rId556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798" Type="http://schemas.openxmlformats.org/officeDocument/2006/relationships/hyperlink" Target="https://www.lojadomecanico.com.br/produto/77848/21/159/compressor-de-ar-odontologico-silencioso-1hp-5-pes-30l-220v-schulz-csd-530/153/?utm_source=google&amp;utm_medium=cpc&amp;utm_campaign=MONKS_GG_F_PMAX_Sazonal&amp;utm_content=Fim_de_semana_premiado&amp;utm_source=google&amp;utm_medium=cpc&amp;utm_campaign=MONKS_GG_F_PMAX_Sazonal&amp;utm_content=Fim_de_semana_premiado&amp;gad_source=4&amp;gad_campaignid=21470818203&amp;gbraid=0AAAAADsnw5b4VbrMXWKiRUBdYPr6DB39s&amp;gclid=CjwKCAiAxc_JBhA2EiwAFVs7XGlEYoautenZE5VgPZ9dVeMMUCUmSXJIaBGe3Pr6Qfgqma_Q-x_F-hoCtAgQAvD_BwE" TargetMode="External"/><Relationship Id="rId313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555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797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319" Type="http://schemas.openxmlformats.org/officeDocument/2006/relationships/hyperlink" Target="https://www.mercadolivre.com.br/monitor-pc-lg-195-20mk400h-b-led-hd-hdmi-vga-d-sub-75hz-2msgtg-ajuste-de-inclinaco-reader-mode/p/MLB15121865?pdp_filters=item_id%3AMLB5469203514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&amp;matt_merchant_id=735128761&amp;matt_product_id=MLB15121865-product&amp;matt_product_partition_id=2388112038373&amp;matt_target_id=pla-2388112038373&amp;cq_src=google_ads&amp;cq_cmp=22090193891&amp;cq_net=g&amp;cq_plt=gp&amp;cq_med=pla&amp;gad_source=1&amp;gad_campaignid=22090193891&amp;gbraid=0AAAAAD93qcDowZhjpiHe3AXzQR2o262ZK&amp;gclid=Cj0KCQiA5I_NBhDVARIsAOrqIsYg0UngBI5TeYNiRAdbeAL7qCBLwueSlvBewHpER8aePtpcWeFvToEaApYlEALw_wcB" TargetMode="External"/><Relationship Id="rId318" Type="http://schemas.openxmlformats.org/officeDocument/2006/relationships/hyperlink" Target="https://www.mercadolivre.com.br/camara-escura-branca-com-iluminacao-gold-line-vh/up/MLBU1116939201" TargetMode="External"/><Relationship Id="rId317" Type="http://schemas.openxmlformats.org/officeDocument/2006/relationships/hyperlink" Target="https://www.mercadolivre.com.br/negatoscopio-slim-led-telerradiografico-biotron/p/MLB27238770?pdp_filters=item_id:MLB3562634321&amp;matt_tool=63454239&amp;matt_internal_campaign_id=228483048&amp;matt_word=&amp;matt_source=google&amp;matt_campaign_id=22060114741&amp;matt_ad_group_id=182368294722&amp;matt_match_type=&amp;matt_network=g&amp;matt_device=c&amp;matt_creative=757618488415&amp;matt_keyword=&amp;matt_ad_position=&amp;matt_ad_type=pla&amp;matt_merchant_id=293183437&amp;matt_product_id=MLB3562634321&amp;matt_product_partition_id=1467388425520&amp;matt_target_id=pla-1467388425520&amp;cq_src=google_ads&amp;cq_cmp=22060114741&amp;cq_net=g&amp;cq_plt=gp&amp;cq_med=pla&amp;gad_source=1&amp;gad_campaignid=22060114741&amp;gbraid=0AAAAAD93qcCRjOz_4URriztmPHOpMDFCE&amp;gclid=Cj0KCQiAi9rJBhCYARIsALyPDttrrv-IWJfqrmhqPgepoQimcjFskWSOnkmsdWk6aH0uXFu_6lTTsBgaAiw5EALw_wcB" TargetMode="External"/><Relationship Id="rId559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550" Type="http://schemas.openxmlformats.org/officeDocument/2006/relationships/hyperlink" Target="https://produto.mercadolivre.com.br/MLB-4600764984-cadeira-de-banho-higienica-aluminio-dobravel-140kg-supermedy-_JM" TargetMode="External"/><Relationship Id="rId792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791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790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312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554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796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311" Type="http://schemas.openxmlformats.org/officeDocument/2006/relationships/hyperlink" Target="https://lojaoficialaklimper.com.br/produtos/carrinho-com-gaveta-para-aparelho-e-equipamentos-odontologico/?srsltid=AfmBOooNSIt1nEmuPkuG6ostARWy_ErC_JLEgEyPD6wZs4Ob9AbhnTWwcxQ" TargetMode="External"/><Relationship Id="rId553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79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310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552" Type="http://schemas.openxmlformats.org/officeDocument/2006/relationships/hyperlink" Target="https://produto.mercadolivre.com.br/MLB-4600764984-cadeira-de-banho-higienica-aluminio-dobravel-140kg-supermedy-_JM" TargetMode="External"/><Relationship Id="rId794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551" Type="http://schemas.openxmlformats.org/officeDocument/2006/relationships/hyperlink" Target="https://produto.mercadolivre.com.br/MLB-4600764984-cadeira-de-banho-higienica-aluminio-dobravel-140kg-supermedy-_JM" TargetMode="External"/><Relationship Id="rId793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297" Type="http://schemas.openxmlformats.org/officeDocument/2006/relationships/hyperlink" Target="https://www.mercadolivre.com.br/jump-mini-cama-elastica-profissional-academia-150-kg-cor-azul/p/MLB43762527?pdp_filters=item_id%3AMLB5458514308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098639&amp;matt_product_id=MLB43762527-product&amp;matt_product_partition_id=2387641794686&amp;matt_target_id=aud-1967156880386:pla-2387641794686&amp;cq_src=google_ads&amp;cq_cmp=22090354529&amp;cq_net=g&amp;cq_plt=gp&amp;cq_med=pla&amp;gad_source=4&amp;gad_campaignid=22090354529&amp;gbraid=0AAAAAD93qcB2KIPZM_rpSZn6WZETvZyPE&amp;gclid=Cj0KCQiA6NTJBhDEARIsAB7QHD1q3DWVo6k6AW1PfV6YEbYGFoIIB3ikT_X5wO4MuyfCl4xCNsC8Lj4aAkAXEALw_wcB" TargetMode="External"/><Relationship Id="rId296" Type="http://schemas.openxmlformats.org/officeDocument/2006/relationships/hyperlink" Target="https://www.santaapolonia.com.br/produtos/tornozeleira-par-arktus-630602" TargetMode="External"/><Relationship Id="rId295" Type="http://schemas.openxmlformats.org/officeDocument/2006/relationships/hyperlink" Target="https://produto.mercadolivre.com.br/MLB-715445733-tatame-tapete-eva-100x100x1cm-1x1-metro-10mm-_JM?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135796725&amp;matt_product_id=MLB715445733&amp;matt_product_partition_id=2424443219726&amp;matt_target_id=aud-1966857867496:pla-2424443219726&amp;cq_src=google_ads&amp;cq_cmp=22603531562&amp;cq_net=g&amp;cq_plt=gp&amp;cq_med=pla&amp;gad_source=4&amp;gad_campaignid=22603531562&amp;gbraid=0AAAAAD93qcCkc3DVf9Eq5gxgGQD9UlB13&amp;gclid=Cj0KCQiAi9rJBhCYARIsALyPDtumxzMxuR_D3JOUYEJWgmRnK7-nei179DbR5rdm8ccu7c34vr5Be50aAoDBEALw_wcB" TargetMode="External"/><Relationship Id="rId294" Type="http://schemas.openxmlformats.org/officeDocument/2006/relationships/hyperlink" Target="https://www.santaapolonia.com.br/produtos/tornozeleira-par-arktus-630602" TargetMode="External"/><Relationship Id="rId299" Type="http://schemas.openxmlformats.org/officeDocument/2006/relationships/hyperlink" Target="https://www.mercadolivre.com.br/jump-mini-cama-elastica-profissional-academia-150-kg-cor-azul/p/MLB43762527?pdp_filters=item_id%3AMLB5458514308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098639&amp;matt_product_id=MLB43762527-product&amp;matt_product_partition_id=2387641794686&amp;matt_target_id=aud-1967156880386:pla-2387641794686&amp;cq_src=google_ads&amp;cq_cmp=22090354529&amp;cq_net=g&amp;cq_plt=gp&amp;cq_med=pla&amp;gad_source=4&amp;gad_campaignid=22090354529&amp;gbraid=0AAAAAD93qcB2KIPZM_rpSZn6WZETvZyPE&amp;gclid=Cj0KCQiA6NTJBhDEARIsAB7QHD1q3DWVo6k6AW1PfV6YEbYGFoIIB3ikT_X5wO4MuyfCl4xCNsC8Lj4aAkAXEALw_wcB" TargetMode="External"/><Relationship Id="rId298" Type="http://schemas.openxmlformats.org/officeDocument/2006/relationships/hyperlink" Target="https://www.mercadolivre.com.br/mesa-auxiliar-pintada-50x40x80cm-cxlxa-com-rodinhas/up/MLBU1436480778?pdp_filters=item_id:MLB3083907865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494988289&amp;matt_product_id=MLB3083907865&amp;matt_product_partition_id=2389560632545&amp;matt_target_id=aud-1966857867496:pla-2389560632545&amp;cq_src=google_ads&amp;cq_cmp=22090354076&amp;cq_net=g&amp;cq_plt=gp&amp;cq_med=pla&amp;gad_source=4&amp;gad_campaignid=22090354076&amp;gbraid=0AAAAAD93qcAscxb6MSiSTVdwgeSNMuGjz&amp;gclid=Cj0KCQiAi9rJBhCYARIsALyPDtt1cH_YOgNDc6pFM-AA4K50D9fAu0ZnOL6rEhRnnH_hbeyqTG0_GpEaArQsEALw_wcB" TargetMode="External"/><Relationship Id="rId271" Type="http://schemas.openxmlformats.org/officeDocument/2006/relationships/hyperlink" Target="https://www.amazon.com.br/Arm%C3%A1rio-Suporte-Balc%C3%A3o-Bebedouro-Cozinha/dp/B0D8LDSXH4/ref=asc_df_B0D8LDSXH4?mcid=9cc81617b123323da7b79dc8cacd76bb&amp;tag=googleshopp00-20&amp;linkCode=df0&amp;hvadid=709968340942&amp;hvpos=&amp;hvnetw=g&amp;hvrand=14600653239886843829&amp;hvpone=&amp;hvptwo=&amp;hvqmt=&amp;hvdev=c&amp;hvdvcmdl=&amp;hvlocint=&amp;hvlocphy=1031867&amp;hvtargid=pla-2323537687645&amp;psc=1&amp;language=pt_BR&amp;gad_source=4" TargetMode="External"/><Relationship Id="rId270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269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264" Type="http://schemas.openxmlformats.org/officeDocument/2006/relationships/hyperlink" Target="https://www.magazineluiza.com.br/puff-quadrado-cubo-banqueta-decorativo-utilize-marrom-amadeus-market/p/ed7cjj42fd/mo/puff/?seller_id=oliststore&amp;srsltid=AfmBOoofwb4f0PZEDWAxEp-H0WBZ56JfaycnjU04eZP4nrNz7UCSls4wsOk" TargetMode="External"/><Relationship Id="rId263" Type="http://schemas.openxmlformats.org/officeDocument/2006/relationships/hyperlink" Target="https://www.magazineluiza.com.br/puff-quadrado-cubo-banqueta-decorativo-utilize-marrom-amadeus-market/p/ed7cjj42fd/mo/puff/?seller_id=oliststore&amp;srsltid=AfmBOoofwb4f0PZEDWAxEp-H0WBZ56JfaycnjU04eZP4nrNz7UCSls4wsOk" TargetMode="External"/><Relationship Id="rId262" Type="http://schemas.openxmlformats.org/officeDocument/2006/relationships/hyperlink" Target="https://www.magazineluiza.com.br/puff-quadrado-cubo-banqueta-decorativo-utilize-marrom-amadeus-market/p/ed7cjj42fd/mo/puff/?seller_id=oliststore&amp;srsltid=AfmBOoofwb4f0PZEDWAxEp-H0WBZ56JfaycnjU04eZP4nrNz7UCSls4wsOk" TargetMode="External"/><Relationship Id="rId261" Type="http://schemas.openxmlformats.org/officeDocument/2006/relationships/hyperlink" Target="https://www.amazon.com.br/Bebedouro-Electrolux-BE11X-Refrigera%C3%A7%C3%A3o-Eletr%C3%B4nica/dp/B076JJXX8W/ref=asc_df_B076JJXX8W?mcid=bf33d1e4e4e43268abb7e619984b0c2d&amp;tag=googleshopp00-20&amp;linkCode=df0&amp;hvadid=709870389015&amp;hvpos=&amp;hvnetw=g&amp;hvrand=13339312159175248261&amp;hvpone=&amp;hvptwo=&amp;hvqmt=&amp;hvdev=c&amp;hvdvcmdl=&amp;hvlocint=&amp;hvlocphy=1031867&amp;hvtargid=pla-957184204927&amp;language=pt_BR&amp;gad_source=4&amp;th=1" TargetMode="External"/><Relationship Id="rId268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267" Type="http://schemas.openxmlformats.org/officeDocument/2006/relationships/hyperlink" Target="https://produto.mercadolivre.com.br/MLB-1868011282-longarina-secretaria-3-lugares-tecido-preto-_JM?matt_tool=40300352&amp;matt_internal_campaign_id=&amp;matt_word=&amp;matt_source=google&amp;matt_campaign_id=22090354013&amp;matt_ad_group_id=173090510316&amp;matt_match_type=&amp;matt_network=g&amp;matt_device=c&amp;matt_creative=727882726008&amp;matt_keyword=&amp;matt_ad_position=&amp;matt_ad_type=pla&amp;matt_merchant_id=5595884621&amp;matt_product_id=MLB1868011282&amp;matt_product_partition_id=2417611461724&amp;matt_target_id=aud-1967156880386:pla-2417611461724&amp;cq_src=google_ads&amp;cq_cmp=22090354013&amp;cq_net=g&amp;cq_plt=gp&amp;cq_med=pla&amp;gad_source=4&amp;gad_campaignid=22090354013&amp;gbraid=0AAAAAD93qcA9lVwYr2GhcfGo4slsbCt6u&amp;gclid=Cj0KCQiAi9rJBhCYARIsALyPDttOqvhbaXOEey8u7n_c73P2x2XhVK57oD0gAJcwSvkyHZKLLGOg3fEaArT6EALw_wcB" TargetMode="External"/><Relationship Id="rId266" Type="http://schemas.openxmlformats.org/officeDocument/2006/relationships/hyperlink" Target="https://produto.mercadolivre.com.br/MLB-1977298989-armario-vitrine-02-portas-_JM?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548856185&amp;matt_product_id=MLB1977298989&amp;matt_product_partition_id=2389560632545&amp;matt_target_id=aud-1967156880386:pla-2389560632545&amp;cq_src=google_ads&amp;cq_cmp=22090354076&amp;cq_net=g&amp;cq_plt=gp&amp;cq_med=pla&amp;gad_source=1&amp;gad_campaignid=22090354076&amp;gbraid=0AAAAAD93qcAKTTW-ohSQTAZ4ENj3xhvka&amp;gclid=Cj0KCQiAi9rJBhCYARIsALyPDtsEwMcsy5-v4NO8ZNdfwrpYoqbv1HTnj4FK-fqFxk5xL-G1bGivf7YaArGmEALw_wcB" TargetMode="External"/><Relationship Id="rId265" Type="http://schemas.openxmlformats.org/officeDocument/2006/relationships/hyperlink" Target="https://www.magazineluiza.com.br/puff-quadrado-cubo-banqueta-decorativo-utilize-marrom-amadeus-market/p/ed7cjj42fd/mo/puff/?seller_id=oliststore&amp;srsltid=AfmBOoofwb4f0PZEDWAxEp-H0WBZ56JfaycnjU04eZP4nrNz7UCSls4wsOk" TargetMode="External"/><Relationship Id="rId260" Type="http://schemas.openxmlformats.org/officeDocument/2006/relationships/hyperlink" Target="https://produto.mercadolivre.com.br/MLB-1868011282-longarina-secretaria-3-lugares-tecido-preto-_JM?matt_tool=40300352&amp;matt_internal_campaign_id=&amp;matt_word=&amp;matt_source=google&amp;matt_campaign_id=22090354013&amp;matt_ad_group_id=173090510316&amp;matt_match_type=&amp;matt_network=g&amp;matt_device=c&amp;matt_creative=727882726008&amp;matt_keyword=&amp;matt_ad_position=&amp;matt_ad_type=pla&amp;matt_merchant_id=5595884621&amp;matt_product_id=MLB1868011282&amp;matt_product_partition_id=2417611461724&amp;matt_target_id=aud-1967156880386:pla-2417611461724&amp;cq_src=google_ads&amp;cq_cmp=22090354013&amp;cq_net=g&amp;cq_plt=gp&amp;cq_med=pla&amp;gad_source=4&amp;gad_campaignid=22090354013&amp;gbraid=0AAAAAD93qcA9lVwYr2GhcfGo4slsbCt6u&amp;gclid=Cj0KCQiAi9rJBhCYARIsALyPDttOqvhbaXOEey8u7n_c73P2x2XhVK57oD0gAJcwSvkyHZKLLGOg3fEaArT6EALw_wcB" TargetMode="External"/><Relationship Id="rId259" Type="http://schemas.openxmlformats.org/officeDocument/2006/relationships/hyperlink" Target="https://www.mercadolivre.com.br/mesa-escritorio-escrivaninha-150x60-tampo-de-40-mm-2-gaveta/up/MLBU3266379869?pdp_filters=item_id:MLB5471924390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_with_promotion&amp;matt_merchant_id=138294755&amp;matt_product_id=MLB5471924390&amp;matt_product_partition_id=2388009794866&amp;matt_target_id=aud-1967156880386:pla-2388009794866&amp;cq_src=google_ads&amp;cq_cmp=22090354064&amp;cq_net=g&amp;cq_plt=gp&amp;cq_med=pla_with_promotion&amp;gad_source=1&amp;gad_campaignid=22090354064&amp;gbraid=0AAAAAD93qcBuzXCuFv0LWRfgdRIHTKpmj&amp;gclid=Cj0KCQiAuvTJBhCwARIsAL6Demh7XpQv1dCc9du5jPWWhkX7HgfcdcwRQCGHzZK0lF-T1Wr3xCFB_OsaAp_HEALw_wcB" TargetMode="External"/><Relationship Id="rId258" Type="http://schemas.openxmlformats.org/officeDocument/2006/relationships/hyperlink" Target="https://www.odontoatual.com.br/equipamentos-protese/amalgamador-vibramat-capsular-speed-ii-schuster?parceiro=5577&amp;srsltid=AfmBOorP6XgvlePK0F8cWmpIkVxuZBHA7l-QfRVJdcmUvTKa7neNWiLBtJ4" TargetMode="External"/><Relationship Id="rId253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495" Type="http://schemas.openxmlformats.org/officeDocument/2006/relationships/hyperlink" Target="https://www.mercadolivre.com.br/pedestal-para-microfone-visao-pe2-tipo-girafa-branco/up/MLBU1406889212?pdp_filters=item_id%3AMLB1586411711&amp;from=gshop&amp;matt_tool=80483144&amp;matt_internal_campaign_id=&amp;matt_word=&amp;matt_source=google&amp;matt_campaign_id=22090193684&amp;matt_ad_group_id=174661953084&amp;matt_match_type=&amp;matt_network=g&amp;matt_device=c&amp;matt_creative=727914178780&amp;matt_keyword=&amp;matt_ad_position=&amp;matt_ad_type=pla&amp;matt_merchant_id=117582280&amp;matt_product_id=MLBU1406889212&amp;matt_product_partition_id=2391704278457&amp;matt_target_id=pla-2391704278457&amp;cq_src=google_ads&amp;cq_cmp=22090193684&amp;cq_net=g&amp;cq_plt=gp&amp;cq_med=pla&amp;gad_source=1&amp;gad_campaignid=22090193684&amp;gbraid=0AAAAAD93qcADdUXuD6mpW8vJq3Kps3FrX&amp;gclid=Cj0KCQiA5I_NBhDVARIsAOrqIsZ997n5GCmwVX2RLvJIRv2uqHeHsZv9MP766GRvu3jCeZ6O0D7KenAaAg3pEALw_wcB" TargetMode="External"/><Relationship Id="rId252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494" Type="http://schemas.openxmlformats.org/officeDocument/2006/relationships/hyperlink" Target="https://produto.mercadolivre.com.br/MLB-4600764984-cadeira-de-banho-higienica-aluminio-dobravel-140kg-supermedy-_JM" TargetMode="External"/><Relationship Id="rId251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493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250" Type="http://schemas.openxmlformats.org/officeDocument/2006/relationships/hyperlink" Target="https://www.mercadolivre.com.br/mesa-escritorio-escrivaninha-150x60-tampo-de-40-mm-2-gaveta/up/MLBU3266379869?pdp_filters=item_id:MLB5471924390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_with_promotion&amp;matt_merchant_id=138294755&amp;matt_product_id=MLB5471924390&amp;matt_product_partition_id=2388009794866&amp;matt_target_id=aud-1967156880386:pla-2388009794866&amp;cq_src=google_ads&amp;cq_cmp=22090354064&amp;cq_net=g&amp;cq_plt=gp&amp;cq_med=pla_with_promotion&amp;gad_source=1&amp;gad_campaignid=22090354064&amp;gbraid=0AAAAAD93qcBuzXCuFv0LWRfgdRIHTKpmj&amp;gclid=Cj0KCQiAuvTJBhCwARIsAL6Demh7XpQv1dCc9du5jPWWhkX7HgfcdcwRQCGHzZK0lF-T1Wr3xCFB_OsaAp_HEALw_wcB" TargetMode="External"/><Relationship Id="rId492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257" Type="http://schemas.openxmlformats.org/officeDocument/2006/relationships/hyperlink" Target="https://www.amazon.com.br/REFRIGERADOR-CONSUL-LITROS-BRANCO-CRB36AB/dp/B07JGL1WH8/ref=asc_df_B07JGL1WH8?mcid=b6acd287f9cc37338cef6ba9717830f3&amp;tag=googleshopp00-20&amp;linkCode=df0&amp;hvadid=709884460975&amp;hvpos=&amp;hvnetw=g&amp;hvrand=7931948425802879525&amp;hvpone=&amp;hvptwo=&amp;hvqmt=&amp;hvdev=c&amp;hvdvcmdl=&amp;hvlocint=&amp;hvlocphy=9101878&amp;hvtargid=pla-1095777140872&amp;language=pt_BR&amp;gad_source=1&amp;th=1" TargetMode="External"/><Relationship Id="rId499" Type="http://schemas.openxmlformats.org/officeDocument/2006/relationships/hyperlink" Target="https://produto.mercadolivre.com.br/MLB-3729313778-espaldar-barra-de-ling-classic-arktus-_JM?matt_tool=45821161&amp;matt_internal_campaign_id=&amp;matt_word=&amp;matt_source=google&amp;matt_campaign_id=22090354238&amp;matt_ad_group_id=191786779601&amp;matt_match_type=&amp;matt_network=g&amp;matt_device=c&amp;matt_creative=782869962869&amp;matt_keyword=&amp;matt_ad_position=&amp;matt_ad_type=pla&amp;matt_merchant_id=5310414468&amp;matt_product_id=MLB3729313778&amp;matt_product_partition_id=2389876708948&amp;matt_target_id=aud-1967156880386:pla-2389876708948&amp;cq_src=google_ads&amp;cq_cmp=22090354238&amp;cq_net=g&amp;cq_plt=gp&amp;cq_med=pla&amp;gad_source=1&amp;gad_campaignid=22090354238&amp;gbraid=0AAAAAD93qcCAXm3J3_ndRCMimT1QMUpjK&amp;gclid=Cj0KCQiA6NTJBhDEARIsAB7QHD2FXCsWgNI_KftkAkz21UGahvjSY4lE2j7kwsmzV42TK7Jv67ZQAQkaAielEALw_wcB" TargetMode="External"/><Relationship Id="rId256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498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25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497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254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496" Type="http://schemas.openxmlformats.org/officeDocument/2006/relationships/hyperlink" Target="https://www.mercadolivre.com.br/pedestal-para-microfone-visao-pe2-tipo-girafa-branco/up/MLBU1406889212?pdp_filters=item_id%3AMLB1586411711&amp;from=gshop&amp;matt_tool=80483144&amp;matt_internal_campaign_id=&amp;matt_word=&amp;matt_source=google&amp;matt_campaign_id=22090193684&amp;matt_ad_group_id=174661953084&amp;matt_match_type=&amp;matt_network=g&amp;matt_device=c&amp;matt_creative=727914178780&amp;matt_keyword=&amp;matt_ad_position=&amp;matt_ad_type=pla&amp;matt_merchant_id=117582280&amp;matt_product_id=MLBU1406889212&amp;matt_product_partition_id=2391704278457&amp;matt_target_id=pla-2391704278457&amp;cq_src=google_ads&amp;cq_cmp=22090193684&amp;cq_net=g&amp;cq_plt=gp&amp;cq_med=pla&amp;gad_source=1&amp;gad_campaignid=22090193684&amp;gbraid=0AAAAAD93qcADdUXuD6mpW8vJq3Kps3FrX&amp;gclid=Cj0KCQiA5I_NBhDVARIsAOrqIsZ997n5GCmwVX2RLvJIRv2uqHeHsZv9MP766GRvu3jCeZ6O0D7KenAaAg3pEALw_wcB" TargetMode="External"/><Relationship Id="rId293" Type="http://schemas.openxmlformats.org/officeDocument/2006/relationships/hyperlink" Target="https://www.santaapolonia.com.br/produtos/tornozeleira-par-arktus-630601" TargetMode="External"/><Relationship Id="rId292" Type="http://schemas.openxmlformats.org/officeDocument/2006/relationships/hyperlink" Target="https://www.santaapolonia.com.br/produtos/tornozeleira-par-arktus-630800" TargetMode="External"/><Relationship Id="rId291" Type="http://schemas.openxmlformats.org/officeDocument/2006/relationships/hyperlink" Target="https://www.santaapolonia.com.br/produtos/tornozeleira-par-arktus-630700" TargetMode="External"/><Relationship Id="rId290" Type="http://schemas.openxmlformats.org/officeDocument/2006/relationships/hyperlink" Target="https://www.santaapolonia.com.br/produtos/tornozeleira-par-arktus-630600" TargetMode="External"/><Relationship Id="rId286" Type="http://schemas.openxmlformats.org/officeDocument/2006/relationships/hyperlink" Target="https://www.magazineluiza.com.br/halter-peso-bola-emborrachado-de-1kg-musculacao-academia-1fit/p/cck2432ccf/es/halt/?seller_id=1fit&amp;srsltid=AfmBOooVcwexZp3R7_7PDovgX8Y-REpUsZ_IG7gMq2pFZnr2MCTHPlRUuyQ" TargetMode="External"/><Relationship Id="rId285" Type="http://schemas.openxmlformats.org/officeDocument/2006/relationships/hyperlink" Target="https://www.mercadolivre.com.br/kit-5-faixas-elasticas-thera-band-com-5-niveis-fisioterapia/up/MLBU3237691182?pdp_filters=item_id:MLB4093575681&amp;matt_tool=60904850&amp;matt_internal_campaign_id=352113032&amp;matt_word=&amp;matt_source=google&amp;matt_campaign_id=22883155151&amp;matt_ad_group_id=183470140217&amp;matt_match_type=&amp;matt_network=g&amp;matt_device=c&amp;matt_creative=774786418452&amp;matt_keyword=&amp;matt_ad_position=&amp;matt_ad_type=pla&amp;matt_merchant_id=5553289559&amp;matt_product_id=MLB4093575681&amp;matt_product_partition_id=2441247919841&amp;matt_target_id=aud-1967156880386:pla-2441247919841&amp;cq_src=google_ads&amp;cq_cmp=22883155151&amp;cq_net=g&amp;cq_plt=gp&amp;cq_med=pla&amp;gad_source=1&amp;gad_campaignid=22883155151&amp;gbraid=0AAAAAD93qcCJavd6IPW83-nvaHzfivmsN&amp;gclid=Cj0KCQiAi9rJBhCYARIsALyPDttRWLhDrjhcE1Vi0wwQB7UoWUW9ta9izcxq9HM7u1j9Bw1D1zeG1W8aAheGEALw_wcB" TargetMode="External"/><Relationship Id="rId284" Type="http://schemas.openxmlformats.org/officeDocument/2006/relationships/hyperlink" Target="https://www.mercadolivre.com.br/disco-de-equilibrio-balance-cushion-33cm-yoga-cor-azul/p/MLB29798631?pdp_filters=item_id%3AMLB5974992940&amp;from=gshop&amp;matt_tool=44747869&amp;matt_internal_campaign_id=&amp;matt_word=&amp;matt_source=google&amp;matt_campaign_id=22603531439&amp;matt_ad_group_id=183641039649&amp;matt_match_type=&amp;matt_network=g&amp;matt_device=c&amp;matt_creative=758138322197&amp;matt_keyword=&amp;matt_ad_position=&amp;matt_ad_type=pla&amp;matt_merchant_id=735098660&amp;matt_product_id=MLB29798631-product&amp;matt_product_partition_id=2424646252682&amp;matt_target_id=aud-1967156880386:pla-2424646252682&amp;cq_src=google_ads&amp;cq_cmp=22603531439&amp;cq_net=g&amp;cq_plt=gp&amp;cq_med=pla&amp;gad_source=4&amp;gad_campaignid=22603531439&amp;gbraid=0AAAAAD93qcBxcOVc04umwmmbtIY1aUnuK&amp;gclid=Cj0KCQiAi9rJBhCYARIsALyPDtun4O5fLaDkNf7ukL217MhiGl9O72Hq3BB0Gvm2jnNNq5xoXn-G7VEaArGiEALw_wcB" TargetMode="External"/><Relationship Id="rId283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289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288" Type="http://schemas.openxmlformats.org/officeDocument/2006/relationships/hyperlink" Target="https://www.mercadolivre.com.br/halter-12-kg-500gramas-pesinho-unidade/up/MLBU2113566780?pdp_filters=item_id:MLB2119571282&amp;matt_tool=45821161&amp;matt_internal_campaign_id=&amp;matt_word=&amp;matt_source=google&amp;matt_campaign_id=22090354238&amp;matt_ad_group_id=191786779601&amp;matt_match_type=&amp;matt_network=g&amp;matt_device=c&amp;matt_creative=782869962869&amp;matt_keyword=&amp;matt_ad_position=&amp;matt_ad_type=pla&amp;matt_merchant_id=282343370&amp;matt_product_id=MLB2119571282&amp;matt_product_partition_id=2389876708948&amp;matt_target_id=aud-1966857867496:pla-2389876708948&amp;cq_src=google_ads&amp;cq_cmp=22090354238&amp;cq_net=g&amp;cq_plt=gp&amp;cq_med=pla&amp;gad_source=1&amp;gad_campaignid=22090354238&amp;gbraid=0AAAAAD93qcCAXm3J3_ndRCMimT1QMUpjK&amp;gclid=Cj0KCQiAi9rJBhCYARIsALyPDtty8-Ow6CPQYcartHVilsI23EaUQE7d_990u9SEkm_yHbeFyhR4SOsaAi5iEALw_wcB" TargetMode="External"/><Relationship Id="rId287" Type="http://schemas.openxmlformats.org/officeDocument/2006/relationships/hyperlink" Target="https://www.mercadolivre.com.br/halter-emborrachado-1-kg-cinza/p/MLB24731962?pdp_filters=item_id%3AMLB3674330117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128761&amp;matt_product_id=MLB24731962-product&amp;matt_product_partition_id=2387641794446&amp;matt_target_id=aud-1967156880386:pla-2387641794446&amp;cq_src=google_ads&amp;cq_cmp=22090193885&amp;cq_net=g&amp;cq_plt=gp&amp;cq_med=pla&amp;gad_source=1&amp;gad_campaignid=22090193885&amp;gbraid=0AAAAAD93qcBH8BSEF1Qz6BdT6LFClxePB&amp;gclid=Cj0KCQiAi9rJBhCYARIsALyPDtuI-nI35Mhj-Qd3QelAPP3UeOWCViROi1GN97DBP-HnIQ6atZtfZTUaAihmEALw_wcB" TargetMode="External"/><Relationship Id="rId282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281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280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275" Type="http://schemas.openxmlformats.org/officeDocument/2006/relationships/hyperlink" Target="https://www.amazon.com.br/Bola-Pilates-75cm-Muvin-Fortalecimento/dp/B07FYR8WPV?source=ps-sl-shoppingads-lpcontext&amp;ref_=fplfs&amp;smid=A1ZZFT5FULY4LN&amp;th=1" TargetMode="External"/><Relationship Id="rId274" Type="http://schemas.openxmlformats.org/officeDocument/2006/relationships/hyperlink" Target="https://produto.mercadolivre.com.br/MLB-2653219485-basto-ginastica-fisioterapia-pvc-120mts-com-carga-2kg-_JM?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140812603&amp;matt_product_id=MLB2653219485&amp;matt_product_partition_id=2424443221566&amp;matt_target_id=aud-1967156880386:pla-2424443221566&amp;cq_src=google_ads&amp;cq_cmp=22603531562&amp;cq_net=g&amp;cq_plt=gp&amp;cq_med=pla&amp;gad_source=1&amp;gad_campaignid=22603531562&amp;gbraid=0AAAAAD93qcDRceWVGhjBQuZNWL5guisK3&amp;gclid=Cj0KCQiA6NTJBhDEARIsAB7QHD1ibMwBhFN-ivVn72Ut0Ql78OYWFxRMInCWUkopZLiPfSY-iA4iPyYaAifoEALw_wcB" TargetMode="External"/><Relationship Id="rId273" Type="http://schemas.openxmlformats.org/officeDocument/2006/relationships/hyperlink" Target="https://www.mercadolivre.com.br/anel-pilates-tonificador-flexivel-ring-supermedy/p/MLB41681864?matt_tool=18956390&amp;utm_source=google_shopping&amp;utm_medium=organic&amp;pdp_filters=item_id%3AMLB5979609554&amp;from=gshop" TargetMode="External"/><Relationship Id="rId272" Type="http://schemas.openxmlformats.org/officeDocument/2006/relationships/hyperlink" Target="https://www.dentalspeed.com/ultrassom-jet-sonic-bp-bivolt-gnatus.html?srsltid=AfmBOoqm4PiovmI0jqWpNkLzKzinJYwsyj9r2QpmXyDg092Xwc4-k5pb8Lw" TargetMode="External"/><Relationship Id="rId279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278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277" Type="http://schemas.openxmlformats.org/officeDocument/2006/relationships/hyperlink" Target="https://www.mercadolivre.com.br/bola-pilates-suica-yoga-abdominal-ginastica-65-cm-cor-roxo-arktus/p/MLB24819228?pdp_filters=item_id%3AMLB3825389525&amp;from=gshop&amp;matt_tool=45821161&amp;matt_internal_campaign_id=&amp;matt_word=&amp;matt_source=google&amp;matt_campaign_id=22090354238&amp;matt_ad_group_id=173090543956&amp;matt_match_type=&amp;matt_network=g&amp;matt_device=c&amp;matt_creative=727882728222&amp;matt_keyword=&amp;matt_ad_position=&amp;matt_ad_type=pla&amp;matt_merchant_id=735125422&amp;matt_product_id=MLB24819228-product&amp;matt_product_partition_id=2388289308641&amp;matt_target_id=aud-1967156880386:pla-2388289308641&amp;cq_src=google_ads&amp;cq_cmp=22090354238&amp;cq_net=g&amp;cq_plt=gp&amp;cq_med=pla&amp;gad_source=1&amp;gad_campaignid=22090354238&amp;gbraid=0AAAAAD93qcCAXm3J3_ndRCMimT1QMUpjK&amp;gclid=Cj0KCQiAi9rJBhCYARIsALyPDtvaqYWeZ8BjqDAZfLzNgjqEhKtWfITcLyPMAKKg3TVDZBZZTFKgnosaAtXmEALw_wcB" TargetMode="External"/><Relationship Id="rId276" Type="http://schemas.openxmlformats.org/officeDocument/2006/relationships/hyperlink" Target="https://www.mercadolivre.com.br/bola-de-pilates-85cm-muvin-antiestouro-suporta-ate-300kg-com-bomba-ginastica-fitness-pilates-yoga-fisioterapia-flexibilidade-fortalecimento-tonificaco-facil-limpeza-azul/p/MLB26514437?pdp_filters=item_id%3AMLB4286282019&amp;from=gshop&amp;matt_tool=63319127&amp;matt_internal_campaign_id=&amp;matt_word=&amp;matt_source=google&amp;matt_campaign_id=22090193885&amp;matt_ad_group_id=174661972204&amp;matt_match_type=&amp;matt_network=g&amp;matt_device=c&amp;matt_creative=727914180211&amp;matt_keyword=&amp;matt_ad_position=&amp;matt_ad_type=pla&amp;matt_merchant_id=735098639&amp;matt_product_id=MLB26514437-product&amp;matt_product_partition_id=2388289308601&amp;matt_target_id=aud-1967156880386:pla-2388289308601&amp;cq_src=google_ads&amp;cq_cmp=22090193885&amp;cq_net=g&amp;cq_plt=gp&amp;cq_med=pla&amp;gad_source=1&amp;gad_campaignid=22090193885&amp;gbraid=0AAAAAD93qcBH8BSEF1Qz6BdT6LFClxePB&amp;gclid=Cj0KCQiAi9rJBhCYARIsALyPDtuCiWw8vhVzawnMODsb-pcxBEml0BTApf8uI9uRpw4RRnKVvD279RIaAryTEALw_wcB" TargetMode="External"/><Relationship Id="rId907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6857867496:pla-2417611461324&amp;cq_src=google_ads&amp;cq_cmp=22090354013&amp;cq_net=g&amp;cq_plt=gp&amp;cq_med=pla&amp;gad_source=4&amp;gad_campaignid=22090354013&amp;gbraid=0AAAAAD93qcCQJU46mzvrnA0nknvansqw8&amp;gclid=CjwKCAiAxc_JBhA2EiwAFVs7XM8Zkt0FhbyartDP4phJ288UVA7-OE4in_b42SIeJ0bXrkOV3Dm1MxoCWokQAvD_BwE" TargetMode="External"/><Relationship Id="rId906" Type="http://schemas.openxmlformats.org/officeDocument/2006/relationships/hyperlink" Target="https://www.mercadolivre.com.br/balco-para-pia-de-cozinha-200cm-4-portas-3-gavetas-ih/p/MLB57061346?pdp_filters=item_id%3AMLB4214349965&amp;from=gshop&amp;matt_tool=87728839&amp;matt_internal_campaign_id=&amp;matt_word=&amp;matt_source=google&amp;matt_campaign_id=22090193711&amp;matt_ad_group_id=174661959004&amp;matt_match_type=&amp;matt_network=g&amp;matt_device=c&amp;matt_creative=727914179236&amp;matt_keyword=&amp;matt_ad_position=&amp;matt_ad_type=pla&amp;matt_merchant_id=735125422&amp;matt_product_id=MLB57061346-product&amp;matt_product_partition_id=2392712829581&amp;matt_target_id=aud-1966857867496:pla-2392712829581&amp;cq_src=google_ads&amp;cq_cmp=22090193711&amp;cq_net=g&amp;cq_plt=gp&amp;cq_med=pla&amp;gad_source=4&amp;gad_campaignid=22090193711&amp;gbraid=0AAAAAD93qcD1J3fpAK1exw2qbNtdtNZEU&amp;gclid=Cj0KCQiA6NTJBhDEARIsAB7QHD0fg6rqMDIERsLZEFFYQszmipr2lKBD10n8ok2CEL1ABvsoOWWxYoYaAk6nEALw_wcB" TargetMode="External"/><Relationship Id="rId905" Type="http://schemas.openxmlformats.org/officeDocument/2006/relationships/hyperlink" Target="https://www.mercadolivre.com.br/massageador-eletrico-com-infravermelho-6-em-1-cor-brancoazul-g-tech/p/MLB14984887?pdp_filters=item_id%3AMLB5431289896&amp;from=gshop&amp;matt_tool=79314260&amp;matt_internal_campaign_id=&amp;matt_word=&amp;matt_source=google&amp;matt_campaign_id=22090354076&amp;matt_ad_group_id=173090537276&amp;matt_match_type=&amp;matt_network=g&amp;matt_device=c&amp;matt_creative=727882727736&amp;matt_keyword=&amp;matt_ad_position=&amp;matt_ad_type=pla&amp;matt_merchant_id=735128761&amp;matt_product_id=MLB14984887-product&amp;matt_product_partition_id=2388009203226&amp;matt_target_id=aud-1967156880386:pla-2388009203226&amp;cq_src=google_ads&amp;cq_cmp=22090354076&amp;cq_net=g&amp;cq_plt=gp&amp;cq_med=pla&amp;gad_source=4&amp;gad_campaignid=22090354076&amp;gbraid=0AAAAAD93qcAscxb6MSiSTVdwgeSNMuGjz&amp;gclid=Cj0KCQiA6NTJBhDEARIsAB7QHD1EpvIwG1ZObpuAOEBjtyBuU8uW_SSBLqTGH1BrS8xUKQlzhi_h5KQaAqvTEALw_wcB" TargetMode="External"/><Relationship Id="rId904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909" Type="http://schemas.openxmlformats.org/officeDocument/2006/relationships/hyperlink" Target="https://www.amazon.com.br/Corporal-Academia-Banheiro-MM-House/dp/B0CXV2TKYB/ref=asc_df_B0CXV2TKYB?mcid=b52f724684033cdc8e147d56c688eeb3&amp;tag=googleshopp00-20&amp;linkCode=df0&amp;hvadid=709857204930&amp;hvpos=&amp;hvnetw=g&amp;hvrand=10167310376965265560&amp;hvpone=&amp;hvptwo=&amp;hvqmt=&amp;hvdev=c&amp;hvdvcmdl=&amp;hvlocint=&amp;hvlocphy=1031867&amp;hvtargid=pla-2401256405655&amp;psc=1&amp;language=pt_BR&amp;gad_source=1" TargetMode="External"/><Relationship Id="rId908" Type="http://schemas.openxmlformats.org/officeDocument/2006/relationships/hyperlink" Target="https://www.amazon.com.br/ESTABILIZADOR-SMS-PROGRESSIVE-ENTRADA-BIVOLT/dp/B074JDKV5B?source=ps-sl-shoppingads-lpcontext&amp;ref_=fplfs&amp;psc=1&amp;smid=A1ZZFT5FULY4LN" TargetMode="External"/><Relationship Id="rId903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902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901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900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929" Type="http://schemas.openxmlformats.org/officeDocument/2006/relationships/hyperlink" Target="https://www.mercadolivre.com.br/monitor-15-led-hd-60hz-5ms-hdmi-e-vga-furaco-para-suporte-ideal-para-pdv-e-escritorios-vxpro-vx154x-cor-preto/p/MLB46046572?pdp_filters=item_id%3AMLB4258427157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_with_promotion&amp;matt_merchant_id=735098639&amp;matt_product_id=MLB46046572-product&amp;matt_product_partition_id=2388112038373&amp;matt_target_id=aud-1966857867496:pla-2388112038373&amp;cq_src=google_ads&amp;cq_cmp=22090193891&amp;cq_net=g&amp;cq_plt=gp&amp;cq_med=pla_with_promotion&amp;gad_source=4&amp;gad_campaignid=22090193891&amp;gbraid=0AAAAAD93qcBAfUqN8cnSJqySEsi2DD7Bn&amp;gclid=Cj0KCQiA6NTJBhDEARIsAB7QHD1gGrCZ-zPQuDa_ytJk47uGoqFb0P2e66rgzw93n6Ov5Uf560cpj4YaAk3_EALw_wcB" TargetMode="External"/><Relationship Id="rId928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927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" TargetMode="External"/><Relationship Id="rId926" Type="http://schemas.openxmlformats.org/officeDocument/2006/relationships/hyperlink" Target="https://www.mercadolivre.com.br/arquivo-de-aco-4-gavetas-pandin-slm-cinza/p/MLB39028635?pdp_filters=item_id%3AMLB4170804845&amp;from=gshop&amp;matt_tool=14476645&amp;matt_internal_campaign_id=&amp;matt_word=&amp;matt_source=google&amp;matt_campaign_id=22090193660&amp;matt_ad_group_id=174661938444&amp;matt_match_type=&amp;matt_network=g&amp;matt_device=c&amp;matt_creative=727914177997&amp;matt_keyword=&amp;matt_ad_position=&amp;matt_ad_type=pla&amp;matt_merchant_id=735098660&amp;matt_product_id=MLB39028635-product&amp;matt_product_partition_id=2417611461564&amp;matt_target_id=aud-1967156880386:pla-2417611461564&amp;cq_src=google_ads&amp;cq_cmp=22090193660&amp;cq_net=g&amp;cq_plt=gp&amp;cq_med=pla&amp;gad_source=4&amp;gad_campaignid=22090193660&amp;gbraid=0AAAAAD93qcACFdFYa6f583a_shI-P6kep&amp;gclid=CjwKCAiAxc_JBhA2EiwAFVs7XF9y4iXetgmxTVgoToqaETv9CD73-7VSvZjKSQmAsKddmceMdfjGdRoCzXUQAvD_BwE" TargetMode="External"/><Relationship Id="rId921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" TargetMode="External"/><Relationship Id="rId920" Type="http://schemas.openxmlformats.org/officeDocument/2006/relationships/hyperlink" Target="https://www.claramed.com.br/hospitalar/mobiliario-hospitalar/apoio-de-braco-inox-claramed-hospitalar?srsltid=AfmBOoqwiZvdhWWD-p0yO-YM-xzdVQl5oJ5GOp5vi0VYEmr9V49jVy5oKM0" TargetMode="External"/><Relationship Id="rId925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924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" TargetMode="External"/><Relationship Id="rId923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" TargetMode="External"/><Relationship Id="rId922" Type="http://schemas.openxmlformats.org/officeDocument/2006/relationships/hyperlink" Target="https://www.mercadolivre.com.br/arquivo-de-aco-4-gavetas-pandin-slm-cinza/p/MLB39028635?pdp_filters=item_id%3AMLB4170804845&amp;from=gshop&amp;matt_tool=14476645&amp;matt_internal_campaign_id=&amp;matt_word=&amp;matt_source=google&amp;matt_campaign_id=22090193660&amp;matt_ad_group_id=174661938444&amp;matt_match_type=&amp;matt_network=g&amp;matt_device=c&amp;matt_creative=727914177997&amp;matt_keyword=&amp;matt_ad_position=&amp;matt_ad_type=pla&amp;matt_merchant_id=735098660&amp;matt_product_id=MLB39028635-product&amp;matt_product_partition_id=2417611461564&amp;matt_target_id=aud-1967156880386:pla-2417611461564&amp;cq_src=google_ads&amp;cq_cmp=22090193660&amp;cq_net=g&amp;cq_plt=gp&amp;cq_med=pla&amp;gad_source=4&amp;gad_campaignid=22090193660&amp;gbraid=0AAAAAD93qcACFdFYa6f583a_shI-P6kep&amp;gclid=CjwKCAiAxc_JBhA2EiwAFVs7XF9y4iXetgmxTVgoToqaETv9CD73-7VSvZjKSQmAsKddmceMdfjGdRoCzXUQAvD_BwE" TargetMode="External"/><Relationship Id="rId918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6857867496:pla-2417611461324&amp;cq_src=google_ads&amp;cq_cmp=22090354013&amp;cq_net=g&amp;cq_plt=gp&amp;cq_med=pla&amp;gad_source=4&amp;gad_campaignid=22090354013&amp;gbraid=0AAAAAD93qcCQJU46mzvrnA0nknvansqw8&amp;gclid=CjwKCAiAxc_JBhA2EiwAFVs7XM8Zkt0FhbyartDP4phJ288UVA7-OE4in_b42SIeJ0bXrkOV3Dm1MxoCWokQAvD_BwE" TargetMode="External"/><Relationship Id="rId917" Type="http://schemas.openxmlformats.org/officeDocument/2006/relationships/hyperlink" Target="https://www.claramed.com.br/hospitalar/mobiliario-hospitalar/apoio-de-braco-inox-claramed-hospitalar?srsltid=AfmBOoqwiZvdhWWD-p0yO-YM-xzdVQl5oJ5GOp5vi0VYEmr9V49jVy5oKM0" TargetMode="External"/><Relationship Id="rId916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" TargetMode="External"/><Relationship Id="rId915" Type="http://schemas.openxmlformats.org/officeDocument/2006/relationships/hyperlink" Target="https://www.claramed.com.br/hospitalar/mobiliario-hospitalar/apoio-de-braco-inox-claramed-hospitalar?srsltid=AfmBOoqwiZvdhWWD-p0yO-YM-xzdVQl5oJ5GOp5vi0VYEmr9V49jVy5oKM0" TargetMode="External"/><Relationship Id="rId919" Type="http://schemas.openxmlformats.org/officeDocument/2006/relationships/hyperlink" Target="https://www.claramed.com.br/hospitalar/mobiliario-hospitalar/apoio-de-braco-inox-claramed-hospitalar?srsltid=AfmBOoqwiZvdhWWD-p0yO-YM-xzdVQl5oJ5GOp5vi0VYEmr9V49jVy5oKM0" TargetMode="External"/><Relationship Id="rId910" Type="http://schemas.openxmlformats.org/officeDocument/2006/relationships/hyperlink" Target="https://www.amazon.com.br/Corporal-Academia-Banheiro-MM-House/dp/B0CXV2TKYB/ref=asc_df_B0CXV2TKYB?mcid=b52f724684033cdc8e147d56c688eeb3&amp;tag=googleshopp00-20&amp;linkCode=df0&amp;hvadid=709857204930&amp;hvpos=&amp;hvnetw=g&amp;hvrand=10167310376965265560&amp;hvpone=&amp;hvptwo=&amp;hvqmt=&amp;hvdev=c&amp;hvdvcmdl=&amp;hvlocint=&amp;hvlocphy=1031867&amp;hvtargid=pla-2401256405655&amp;psc=1&amp;language=pt_BR&amp;gad_source=1" TargetMode="External"/><Relationship Id="rId914" Type="http://schemas.openxmlformats.org/officeDocument/2006/relationships/hyperlink" Target="https://www.mercadolivre.com.br/autoclave-21-litros-vitale-class-cristofoli-aco-inox/p/MLB26915288?pdp_filters=item_id%3AMLB4390518612&amp;from=gshop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735125422&amp;matt_product_id=MLB26915288-product&amp;matt_product_partition_id=2388288843321&amp;matt_target_id=pla-2388288843321&amp;cq_src=google_ads&amp;cq_cmp=22090193723&amp;cq_net=g&amp;cq_plt=gp&amp;cq_med=pla&amp;gad_source=4&amp;gad_campaignid=22090193723&amp;gbraid=0AAAAAD93qcBdHQAN5gWeaxTeCtkKn15xV&amp;gclid=CjwKCAiAxc_JBhA2EiwAFVs7XFxDgE_AYQjx3-c1gSD0nAmQAwA1JVbu25NZhQFwxRc4m6aWyIpRaxoCo88QAvD_BwE" TargetMode="External"/><Relationship Id="rId913" Type="http://schemas.openxmlformats.org/officeDocument/2006/relationships/hyperlink" Target="https://www.amazon.com.br/ESTABILIZADOR-SMS-PROGRESSIVE-ENTRADA-BIVOLT/dp/B074JDKV5B?source=ps-sl-shoppingads-lpcontext&amp;ref_=fplfs&amp;psc=1&amp;smid=A1ZZFT5FULY4LN" TargetMode="External"/><Relationship Id="rId912" Type="http://schemas.openxmlformats.org/officeDocument/2006/relationships/hyperlink" Target="https://www.amazon.com.br/ESTABILIZADOR-SMS-PROGRESSIVE-ENTRADA-BIVOLT/dp/B074JDKV5B?source=ps-sl-shoppingads-lpcontext&amp;ref_=fplfs&amp;psc=1&amp;smid=A1ZZFT5FULY4LN" TargetMode="External"/><Relationship Id="rId911" Type="http://schemas.openxmlformats.org/officeDocument/2006/relationships/hyperlink" Target="https://www.mercadolivre.com.br/fotopolimerizador-clareador-emitter-a-fit-sem-fio-schuster/p/MLB26398123?pdp_filters=item_id%3AMLB4746198962&amp;from=gshop&amp;matt_tool=79314260&amp;matt_internal_campaign_id=&amp;matt_word=&amp;matt_source=google&amp;matt_campaign_id=22090354076&amp;matt_ad_group_id=173090536756&amp;matt_match_type=&amp;matt_network=g&amp;matt_device=c&amp;matt_creative=727882727715&amp;matt_keyword=&amp;matt_ad_position=&amp;matt_ad_type=pla&amp;matt_merchant_id=735128188&amp;matt_product_id=MLB26398123-product&amp;matt_product_partition_id=2389561187250&amp;matt_target_id=aud-1966857867496:pla-2389561187250&amp;cq_src=google_ads&amp;cq_cmp=22090354076&amp;cq_net=g&amp;cq_plt=gp&amp;cq_med=pla&amp;gad_source=4&amp;gad_campaignid=22090354076&amp;gbraid=0AAAAAD93qcAemjzIZPxV0-a9cXQBaEWFQ&amp;gclid=CjwKCAiAxc_JBhA2EiwAFVs7XFlqnc_rkEm0gEvawKPt4lq7ujklz-aLfmpPo8iLki8WcDzbqmfM1hoCR_gQAvD_BwE" TargetMode="External"/><Relationship Id="rId629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624" Type="http://schemas.openxmlformats.org/officeDocument/2006/relationships/hyperlink" Target="https://www.dentalmedsul.com.br/peca-de-mao-reta-rx1---gnatus/p?idsku=12108&amp;gad_source=4&amp;gad_campaignid=20898675974&amp;gbraid=0AAAAAoakH06Xpcob7hfL59iVXnmwCq-S-&amp;gclid=Cj0KCQiA6NTJBhDEARIsAB7QHD2Cvsp7_Y0d0ueLGFibeGaxioe7IQMkYfq4HKUi8k3AQ8QLtggKsmMaArGfEALw_wcB" TargetMode="External"/><Relationship Id="rId866" Type="http://schemas.openxmlformats.org/officeDocument/2006/relationships/hyperlink" Target="https://www.odontoatual.com.br/equipamentos-protese/amalgamador-vibramat-capsular-speed-ii-schuster?parceiro=5577&amp;srsltid=AfmBOorP6XgvlePK0F8cWmpIkVxuZBHA7l-QfRVJdcmUvTKa7neNWiLBtJ5" TargetMode="External"/><Relationship Id="rId623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865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622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864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621" Type="http://schemas.openxmlformats.org/officeDocument/2006/relationships/hyperlink" Target="https://www.generalmed.com.br/loja/produto.php?loja=371454&amp;IdProd=1967&amp;parceiro=3060&amp;gad_source=1&amp;gad_campaignid=1041253627&amp;gbraid=0AAAAADm_LOUFmfsG_vdKbVdmnHU-F7H3q&amp;gclid=CjwKCAiA3fnJBhAgEiwAyqmY5UmDkrwmwIMoGGX0HNoFwIzGO_cg-ysLTBbRqDgEIVW3sSqN7NorExoC0w0QAvD_BwE" TargetMode="External"/><Relationship Id="rId863" Type="http://schemas.openxmlformats.org/officeDocument/2006/relationships/hyperlink" Target="https://www.mercadolivre.com.br/escadinha-hospitalar-auxiliar-aco-2-degraus-emborrachada/up/MLBU1442215901?pdp_filters=item_id:MLB3403210455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5363090722&amp;matt_product_id=MLB3403210455&amp;matt_product_partition_id=2388288843281&amp;matt_target_id=aud-1966857867496:pla-2388288843281&amp;cq_src=google_ads&amp;cq_cmp=22090193723&amp;cq_net=g&amp;cq_plt=gp&amp;cq_med=pla&amp;gad_source=4&amp;gad_campaignid=22090193723&amp;gbraid=0AAAAAD93qcBdHQAN5gWeaxTeCtkKn15xV&amp;gclid=Cj0KCQiA6NTJBhDEARIsAB7QHD21UMSDSm7s47TW7u6d6WOslDrUr195DUnKDxPz1paz00xe-8g1DCgaAtNZEALw_wcB" TargetMode="External"/><Relationship Id="rId628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627" Type="http://schemas.openxmlformats.org/officeDocument/2006/relationships/hyperlink" Target="https://www.lojadomecanico.com.br/produto/77848/21/159/compressor-de-ar-odontologico-silencioso-1hp-5-pes-30l-220v-schulz-csd-530/153/?utm_source=google&amp;utm_medium=cpc&amp;utm_campaign=MONKS_GG_F_PMAX_Sazonal&amp;utm_content=Fim_de_semana_premiado&amp;utm_source=google&amp;utm_medium=cpc&amp;utm_campaign=MONKS_GG_F_PMAX_Sazonal&amp;utm_content=Fim_de_semana_premiado&amp;gad_source=4&amp;gad_campaignid=21470818203&amp;gbraid=0AAAAADsnw5b4VbrMXWKiRUBdYPr6DB39s&amp;gclid=CjwKCAiAxc_JBhA2EiwAFVs7XGlEYoautenZE5VgPZ9dVeMMUCUmSXJIaBGe3Pr6Qfgqma_Q-x_F-hoCtAgQAvD_BwE" TargetMode="External"/><Relationship Id="rId869" Type="http://schemas.openxmlformats.org/officeDocument/2006/relationships/hyperlink" Target="https://produto.mercadolivre.com.br/MLB-3729313778-espaldar-barra-de-ling-classic-arktus-_JM?matt_tool=45821161&amp;matt_internal_campaign_id=&amp;matt_word=&amp;matt_source=google&amp;matt_campaign_id=22090354238&amp;matt_ad_group_id=191786779601&amp;matt_match_type=&amp;matt_network=g&amp;matt_device=c&amp;matt_creative=782869962869&amp;matt_keyword=&amp;matt_ad_position=&amp;matt_ad_type=pla&amp;matt_merchant_id=5310414468&amp;matt_product_id=MLB3729313778&amp;matt_product_partition_id=2389876708948&amp;matt_target_id=aud-1967156880386:pla-2389876708948&amp;cq_src=google_ads&amp;cq_cmp=22090354238&amp;cq_net=g&amp;cq_plt=gp&amp;cq_med=pla&amp;gad_source=1&amp;gad_campaignid=22090354238&amp;gbraid=0AAAAAD93qcCAXm3J3_ndRCMimT1QMUpjK&amp;gclid=Cj0KCQiA6NTJBhDEARIsAB7QHD2FXCsWgNI_KftkAkz21UGahvjSY4lE2j7kwsmzV42TK7Jv67ZQAQkaAielEALw_wcB" TargetMode="External"/><Relationship Id="rId626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868" Type="http://schemas.openxmlformats.org/officeDocument/2006/relationships/hyperlink" Target="https://produto.mercadolivre.com.br/MLB-1837343011-rampa-de-alongamento-para-fisioterapia-_JM?matt_tool=18956390&amp;utm_source=google_shopping&amp;utm_medium=organic" TargetMode="External"/><Relationship Id="rId625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867" Type="http://schemas.openxmlformats.org/officeDocument/2006/relationships/hyperlink" Target="https://www.mercadolivre.com.br/arquivo-de-aco-4-gavetas-pandin-slm-cinza/p/MLB39028635?pdp_filters=item_id%3AMLB4170804845&amp;from=gshop&amp;matt_tool=14476645&amp;matt_internal_campaign_id=&amp;matt_word=&amp;matt_source=google&amp;matt_campaign_id=22090193660&amp;matt_ad_group_id=174661938444&amp;matt_match_type=&amp;matt_network=g&amp;matt_device=c&amp;matt_creative=727914177997&amp;matt_keyword=&amp;matt_ad_position=&amp;matt_ad_type=pla&amp;matt_merchant_id=735098660&amp;matt_product_id=MLB39028635-product&amp;matt_product_partition_id=2417611461564&amp;matt_target_id=aud-1967156880386:pla-2417611461564&amp;cq_src=google_ads&amp;cq_cmp=22090193660&amp;cq_net=g&amp;cq_plt=gp&amp;cq_med=pla&amp;gad_source=4&amp;gad_campaignid=22090193660&amp;gbraid=0AAAAAD93qcACFdFYa6f583a_shI-P6kep&amp;gclid=CjwKCAiAxc_JBhA2EiwAFVs7XF9y4iXetgmxTVgoToqaETv9CD73-7VSvZjKSQmAsKddmceMdfjGdRoCzXUQAvD_BwE" TargetMode="External"/><Relationship Id="rId620" Type="http://schemas.openxmlformats.org/officeDocument/2006/relationships/hyperlink" Target="https://www.generalmed.com.br/loja/produto.php?loja=371454&amp;IdProd=1967&amp;parceiro=3060&amp;gad_source=1&amp;gad_campaignid=1041253627&amp;gbraid=0AAAAADm_LOUFmfsG_vdKbVdmnHU-F7H3q&amp;gclid=CjwKCAiA3fnJBhAgEiwAyqmY5UmDkrwmwIMoGGX0HNoFwIzGO_cg-ysLTBbRqDgEIVW3sSqN7NorExoC0w0QAvD_BwE" TargetMode="External"/><Relationship Id="rId862" Type="http://schemas.openxmlformats.org/officeDocument/2006/relationships/hyperlink" Target="https://www.dentalcremer.com.br/raio-x-timex-70e-coluna-movel-bivolt-gnatus.html?srsltid=AfmBOoqdh_RoE6ImNHB5g_13GOhXm4WjKMhPn_fMysTYKWksNilt9JTnSTQ" TargetMode="External"/><Relationship Id="rId861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860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" TargetMode="External"/><Relationship Id="rId619" Type="http://schemas.openxmlformats.org/officeDocument/2006/relationships/hyperlink" Target="https://www.mercadolivre.com.br/cpu-dell-optiplex-3050-core-i5-7ger-8gb-240gb-ssd--promocao/up/MLBU1935459442?pdp_filters=item_id%3AMLB2003214329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551630506&amp;matt_product_id=MLBU1935459442&amp;matt_product_partition_id=2389840739899&amp;matt_target_id=pla-2389840739899&amp;cq_src=google_ads&amp;cq_cmp=22090193891&amp;cq_net=g&amp;cq_plt=gp&amp;cq_med=pla&amp;gad_source=1&amp;gad_campaignid=22090193891&amp;gbraid=0AAAAAD93qcDEWR9McqLiPXTWWnFF4M3V1&amp;gclid=CjwKCAiAqprNBhB6EiwAMe3yhoCw20M7upH86MzQxvChBpQgGvJCxzCXl4CGjNLteH0qqyOUE6u8ehoCfL8QAvD_BwE" TargetMode="External"/><Relationship Id="rId618" Type="http://schemas.openxmlformats.org/officeDocument/2006/relationships/hyperlink" Target="https://www.mercadolivre.com.br/cpu-dell-optiplex-3050-core-i5-7ger-8gb-240gb-ssd--promocao/up/MLBU1935459442?pdp_filters=item_id%3AMLB2003214329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551630506&amp;matt_product_id=MLBU1935459442&amp;matt_product_partition_id=2389840739899&amp;matt_target_id=pla-2389840739899&amp;cq_src=google_ads&amp;cq_cmp=22090193891&amp;cq_net=g&amp;cq_plt=gp&amp;cq_med=pla&amp;gad_source=1&amp;gad_campaignid=22090193891&amp;gbraid=0AAAAAD93qcDEWR9McqLiPXTWWnFF4M3V1&amp;gclid=CjwKCAiAqprNBhB6EiwAMe3yhoCw20M7upH86MzQxvChBpQgGvJCxzCXl4CGjNLteH0qqyOUE6u8ehoCfL8QAvD_BwE" TargetMode="External"/><Relationship Id="rId613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855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612" Type="http://schemas.openxmlformats.org/officeDocument/2006/relationships/hyperlink" Target="https://www.mercadolivre.com.br/cpu-dell-optiplex-3050-core-i5-7ger-8gb-240gb-ssd--promocao/up/MLBU1935459442?pdp_filters=item_id%3AMLB2003214329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551630506&amp;matt_product_id=MLBU1935459442&amp;matt_product_partition_id=2389840739899&amp;matt_target_id=pla-2389840739899&amp;cq_src=google_ads&amp;cq_cmp=22090193891&amp;cq_net=g&amp;cq_plt=gp&amp;cq_med=pla&amp;gad_source=1&amp;gad_campaignid=22090193891&amp;gbraid=0AAAAAD93qcDEWR9McqLiPXTWWnFF4M3V1&amp;gclid=CjwKCAiAqprNBhB6EiwAMe3yhoCw20M7upH86MzQxvChBpQgGvJCxzCXl4CGjNLteH0qqyOUE6u8ehoCfL8QAvD_BwE" TargetMode="External"/><Relationship Id="rId854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611" Type="http://schemas.openxmlformats.org/officeDocument/2006/relationships/hyperlink" Target="https://www.mercadolivre.com.br/cpu-dell-optiplex-3050-core-i5-7ger-8gb-240gb-ssd--promocao/up/MLBU1935459442?pdp_filters=item_id%3AMLB2003214329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551630506&amp;matt_product_id=MLBU1935459442&amp;matt_product_partition_id=2389840739899&amp;matt_target_id=pla-2389840739899&amp;cq_src=google_ads&amp;cq_cmp=22090193891&amp;cq_net=g&amp;cq_plt=gp&amp;cq_med=pla&amp;gad_source=1&amp;gad_campaignid=22090193891&amp;gbraid=0AAAAAD93qcDEWR9McqLiPXTWWnFF4M3V1&amp;gclid=CjwKCAiAqprNBhB6EiwAMe3yhoCw20M7upH86MzQxvChBpQgGvJCxzCXl4CGjNLteH0qqyOUE6u8ehoCfL8QAvD_BwE" TargetMode="External"/><Relationship Id="rId853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610" Type="http://schemas.openxmlformats.org/officeDocument/2006/relationships/hyperlink" Target="https://www.mercadolivre.com.br/cpu-dell-optiplex-3050-core-i5-7ger-8gb-240gb-ssd--promocao/up/MLBU1935459442?pdp_filters=item_id%3AMLB2003214329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551630506&amp;matt_product_id=MLBU1935459442&amp;matt_product_partition_id=2389840739899&amp;matt_target_id=pla-2389840739899&amp;cq_src=google_ads&amp;cq_cmp=22090193891&amp;cq_net=g&amp;cq_plt=gp&amp;cq_med=pla&amp;gad_source=1&amp;gad_campaignid=22090193891&amp;gbraid=0AAAAAD93qcDEWR9McqLiPXTWWnFF4M3V1&amp;gclid=CjwKCAiAqprNBhB6EiwAMe3yhoCw20M7upH86MzQxvChBpQgGvJCxzCXl4CGjNLteH0qqyOUE6u8ehoCfL8QAvD_BwE" TargetMode="External"/><Relationship Id="rId852" Type="http://schemas.openxmlformats.org/officeDocument/2006/relationships/hyperlink" Target="https://www.mercadolivre.com.br/armario-de-aco-198x90x40-2-portas-cinza--pandin/up/MLBU2892620678?pdp_filters=item_id:MLB5214390668&amp;matt_tool=40300352&amp;matt_internal_campaign_id=&amp;matt_word=&amp;matt_source=google&amp;matt_campaign_id=22090354013&amp;matt_ad_group_id=173090510156&amp;matt_match_type=&amp;matt_network=g&amp;matt_device=c&amp;matt_creative=727882726005&amp;matt_keyword=&amp;matt_ad_position=&amp;matt_ad_type=pla&amp;matt_merchant_id=5456262170&amp;matt_product_id=MLB5214390668&amp;matt_product_partition_id=2417611461324&amp;matt_target_id=aud-1967156880386:pla-2417611461324&amp;cq_src=google_ads&amp;cq_cmp=22090354013&amp;cq_net=g&amp;cq_plt=gp&amp;cq_med=pla&amp;gad_source=4&amp;gad_campaignid=22090354013&amp;gbraid=0AAAAAD93qcCQJU46mzvrnA0nknvansqw8&amp;gclid=Cj0KCQiA6NTJBhDEARIsAB7QHD0oXUmD4PTGGspYkjqpXXPon-6q9giprLubGWxv-3P_Anq62S-N0WkaAnmlEALw_wcB" TargetMode="External"/><Relationship Id="rId617" Type="http://schemas.openxmlformats.org/officeDocument/2006/relationships/hyperlink" Target="https://www.mercadolivre.com.br/monitor-pc-lg-195-20mk400h-b-led-hd-hdmi-vga-d-sub-75hz-2msgtg-ajuste-de-inclinaco-reader-mode/p/MLB15121865?pdp_filters=item_id%3AMLB5469203514&amp;from=gshop&amp;matt_tool=91562990&amp;matt_internal_campaign_id=&amp;matt_word=&amp;matt_source=google&amp;matt_campaign_id=22090193891&amp;matt_ad_group_id=174661983764&amp;matt_match_type=&amp;matt_network=g&amp;matt_device=c&amp;matt_creative=727914181081&amp;matt_keyword=&amp;matt_ad_position=&amp;matt_ad_type=pla&amp;matt_merchant_id=735128761&amp;matt_product_id=MLB15121865-product&amp;matt_product_partition_id=2388112038373&amp;matt_target_id=pla-2388112038373&amp;cq_src=google_ads&amp;cq_cmp=22090193891&amp;cq_net=g&amp;cq_plt=gp&amp;cq_med=pla&amp;gad_source=1&amp;gad_campaignid=22090193891&amp;gbraid=0AAAAAD93qcDowZhjpiHe3AXzQR2o262ZK&amp;gclid=Cj0KCQiA5I_NBhDVARIsAOrqIsYg0UngBI5TeYNiRAdbeAL7qCBLwueSlvBewHpER8aePtpcWeFvToEaApYlEALw_wcB" TargetMode="External"/><Relationship Id="rId859" Type="http://schemas.openxmlformats.org/officeDocument/2006/relationships/hyperlink" Target="https://www.mercadolivre.com.br/arquivo-de-aco-4-gavetas-pandin-slm-cinza/p/MLB39028635?pdp_filters=item_id%3AMLB4170804845&amp;from=gshop&amp;matt_tool=14476645&amp;matt_internal_campaign_id=&amp;matt_word=&amp;matt_source=google&amp;matt_campaign_id=22090193660&amp;matt_ad_group_id=174661938444&amp;matt_match_type=&amp;matt_network=g&amp;matt_device=c&amp;matt_creative=727914177997&amp;matt_keyword=&amp;matt_ad_position=&amp;matt_ad_type=pla&amp;matt_merchant_id=735098660&amp;matt_product_id=MLB39028635-product&amp;matt_product_partition_id=2417611461564&amp;matt_target_id=aud-1967156880386:pla-2417611461564&amp;cq_src=google_ads&amp;cq_cmp=22090193660&amp;cq_net=g&amp;cq_plt=gp&amp;cq_med=pla&amp;gad_source=4&amp;gad_campaignid=22090193660&amp;gbraid=0AAAAAD93qcACFdFYa6f583a_shI-P6kep&amp;gclid=CjwKCAiAxc_JBhA2EiwAFVs7XF9y4iXetgmxTVgoToqaETv9CD73-7VSvZjKSQmAsKddmceMdfjGdRoCzXUQAvD_BwE" TargetMode="External"/><Relationship Id="rId616" Type="http://schemas.openxmlformats.org/officeDocument/2006/relationships/hyperlink" Target="https://www.mercadolivre.com.br/monitor-samsung-essential-s3-22-fhd-100-hz-cor-preto/p/MLB46442976?pdp_filters=item_id%3AMLB5533866804&amp;from=gshop&amp;matt_tool=31485049&amp;matt_internal_campaign_id=&amp;matt_word=&amp;matt_source=google&amp;matt_campaign_id=22090354244&amp;matt_ad_group_id=173090555516&amp;matt_match_type=&amp;matt_network=g&amp;matt_device=c&amp;matt_creative=727882729092&amp;matt_keyword=&amp;matt_ad_position=&amp;matt_ad_type=pla&amp;matt_merchant_id=735128761&amp;matt_product_id=MLB46442976-product&amp;matt_product_partition_id=2388112038453&amp;matt_target_id=pla-2388112038453&amp;cq_src=google_ads&amp;cq_cmp=22090354244&amp;cq_net=g&amp;cq_plt=gp&amp;cq_med=pla&amp;gad_source=1&amp;gad_campaignid=22090354244&amp;gbraid=0AAAAAD93qcBhPv4ydH2jMP1qKIc0GH1rD&amp;gclid=Cj0KCQiA5I_NBhDVARIsAOrqIsbng3rUqoqQC72wZx0gCB8YKAEi6UxGmcknqXtGHe3GtQ7X13lvJecaAi5LEALw_wcB" TargetMode="External"/><Relationship Id="rId858" Type="http://schemas.openxmlformats.org/officeDocument/2006/relationships/hyperlink" Target="https://www.mercadolivre.com.br/arquivo-de-aco-4-gavetas-pandin-slm-cinza/p/MLB39028635?pdp_filters=item_id%3AMLB4170804845&amp;from=gshop&amp;matt_tool=14476645&amp;matt_internal_campaign_id=&amp;matt_word=&amp;matt_source=google&amp;matt_campaign_id=22090193660&amp;matt_ad_group_id=174661938444&amp;matt_match_type=&amp;matt_network=g&amp;matt_device=c&amp;matt_creative=727914177997&amp;matt_keyword=&amp;matt_ad_position=&amp;matt_ad_type=pla&amp;matt_merchant_id=735098660&amp;matt_product_id=MLB39028635-product&amp;matt_product_partition_id=2417611461564&amp;matt_target_id=aud-1967156880386:pla-2417611461564&amp;cq_src=google_ads&amp;cq_cmp=22090193660&amp;cq_net=g&amp;cq_plt=gp&amp;cq_med=pla&amp;gad_source=4&amp;gad_campaignid=22090193660&amp;gbraid=0AAAAAD93qcACFdFYa6f583a_shI-P6kep&amp;gclid=CjwKCAiAxc_JBhA2EiwAFVs7XF9y4iXetgmxTVgoToqaETv9CD73-7VSvZjKSQmAsKddmceMdfjGdRoCzXUQAvD_BwE" TargetMode="External"/><Relationship Id="rId615" Type="http://schemas.openxmlformats.org/officeDocument/2006/relationships/hyperlink" Target="https://www.mercadolivre.com.br/monitor-samsung-essential-s3-22-fhd-100-hz-cor-preto/p/MLB46442976?pdp_filters=item_id%3AMLB5533866804&amp;from=gshop&amp;matt_tool=31485049&amp;matt_internal_campaign_id=&amp;matt_word=&amp;matt_source=google&amp;matt_campaign_id=22090354244&amp;matt_ad_group_id=173090555516&amp;matt_match_type=&amp;matt_network=g&amp;matt_device=c&amp;matt_creative=727882729092&amp;matt_keyword=&amp;matt_ad_position=&amp;matt_ad_type=pla&amp;matt_merchant_id=735128761&amp;matt_product_id=MLB46442976-product&amp;matt_product_partition_id=2388112038453&amp;matt_target_id=pla-2388112038453&amp;cq_src=google_ads&amp;cq_cmp=22090354244&amp;cq_net=g&amp;cq_plt=gp&amp;cq_med=pla&amp;gad_source=1&amp;gad_campaignid=22090354244&amp;gbraid=0AAAAAD93qcBhPv4ydH2jMP1qKIc0GH1rD&amp;gclid=Cj0KCQiA5I_NBhDVARIsAOrqIsbng3rUqoqQC72wZx0gCB8YKAEi6UxGmcknqXtGHe3GtQ7X13lvJecaAi5LEALw_wcB" TargetMode="External"/><Relationship Id="rId857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614" Type="http://schemas.openxmlformats.org/officeDocument/2006/relationships/hyperlink" Target="https://loja.electrolux.com.br/micro-ondas-tira-odor-electrolux-mt30s/p?idsku=2001808" TargetMode="External"/><Relationship Id="rId856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851" Type="http://schemas.openxmlformats.org/officeDocument/2006/relationships/hyperlink" Target="https://www.mercadolivre.com.br/arquivo-de-aco-4-gavetas-pandin-slm-cinza/p/MLB39028635?pdp_filters=item_id%3AMLB4170804845&amp;from=gshop&amp;matt_tool=14476645&amp;matt_internal_campaign_id=&amp;matt_word=&amp;matt_source=google&amp;matt_campaign_id=22090193660&amp;matt_ad_group_id=174661938444&amp;matt_match_type=&amp;matt_network=g&amp;matt_device=c&amp;matt_creative=727914177997&amp;matt_keyword=&amp;matt_ad_position=&amp;matt_ad_type=pla&amp;matt_merchant_id=735098660&amp;matt_product_id=MLB39028635-product&amp;matt_product_partition_id=2417611461564&amp;matt_target_id=aud-1967156880386:pla-2417611461564&amp;cq_src=google_ads&amp;cq_cmp=22090193660&amp;cq_net=g&amp;cq_plt=gp&amp;cq_med=pla&amp;gad_source=4&amp;gad_campaignid=22090193660&amp;gbraid=0AAAAAD93qcACFdFYa6f583a_shI-P6kep&amp;gclid=CjwKCAiAxc_JBhA2EiwAFVs7XF9y4iXetgmxTVgoToqaETv9CD73-7VSvZjKSQmAsKddmceMdfjGdRoCzXUQAvD_BwE" TargetMode="External"/><Relationship Id="rId850" Type="http://schemas.openxmlformats.org/officeDocument/2006/relationships/hyperlink" Target="https://www.dentalspeed.com/ultrassom-jet-sonic-bp-bivolt-gnatus.html?srsltid=AfmBOoqm4PiovmI0jqWpNkLzKzinJYwsyj9r2QpmXyDg092Xwc4-k5pb8Lw" TargetMode="External"/><Relationship Id="rId409" Type="http://schemas.openxmlformats.org/officeDocument/2006/relationships/hyperlink" Target="https://www.magazineluiza.com.br/mesa-escritorio-em-l-c-gaveteiro-150x150m-work-start-nogal-sevilha-preto-21416/p/ah75da070f/mo/mses/?seller_id=pollomoveis&amp;region_id=123482&amp;utm_source=google&amp;utm_medium=cpc&amp;utm_term=69579&amp;utm_campaign=google_eco_per_ven_pla_all_sor_4p_all-products&amp;utm_content=&amp;partner_id=69579&amp;gclsrc=aw.ds&amp;gad_source=1&amp;gad_campaignid=18473140027&amp;gbraid=0AAAAAD4zZmStzxp8KohbZCSLAmfnLr-Rt&amp;gclid=Cj0KCQiA6NTJBhDEARIsAB7QHD3Yz5GqJvteanynWe0ChJzoVaE0LoiB1uRJJxRawYBa5eD5Ey4lTacaAm9nEALw_wcB" TargetMode="External"/><Relationship Id="rId404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646" Type="http://schemas.openxmlformats.org/officeDocument/2006/relationships/hyperlink" Target="https://www.casasbahia.com.br/balcao-gabinete-de-pia-madesa-acordes-100-mdf-120-cm-2-portas-branco-brilho/p/1500626346?utm_medium=Cpc&amp;utm_source=google_freelisting&amp;IdSku=1500626346&amp;idLojista=32570&amp;tipoLojista=3P&amp;srsltid=AfmBOorHoc0XC9xzrEZIMyQRo3OgM5eKaPCqoyePcC8OGzIpihOq8XF1sXM" TargetMode="External"/><Relationship Id="rId888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403" Type="http://schemas.openxmlformats.org/officeDocument/2006/relationships/hyperlink" Target="https://www.mercadolivre.com.br/cadeira-secretaria-estofada-em-preto-confortavel-zy033b/up/MLBU3505414473" TargetMode="External"/><Relationship Id="rId645" Type="http://schemas.openxmlformats.org/officeDocument/2006/relationships/hyperlink" Target="https://produto.mercadolivre.com.br/MLB-1289907999-armario-alto-fechado-160x80x42-f15mm-_JM?matt_tool=45048704&amp;matt_internal_campaign_id=&amp;matt_word=&amp;matt_source=google&amp;matt_campaign_id=22090354304&amp;matt_ad_group_id=173090583996&amp;matt_match_type=&amp;matt_network=g&amp;matt_device=c&amp;matt_creative=727882731531&amp;matt_keyword=&amp;matt_ad_position=&amp;matt_ad_type=pla&amp;matt_merchant_id=129114765&amp;matt_product_id=MLB1289907999&amp;matt_product_partition_id=2417611461484&amp;matt_target_id=aud-1967156880386:pla-2417611461484&amp;cq_src=google_ads&amp;cq_cmp=22090354304&amp;cq_net=g&amp;cq_plt=gp&amp;cq_med=pla&amp;gad_source=4&amp;gad_campaignid=22090354304&amp;gbraid=0AAAAAD93qcCBfNXewtmdOvKjLbBryoq5Y&amp;gclid=CjwKCAiA3fnJBhAgEiwAyqmY5Y5BZtWqXnudbRlbGLSdk1sRc1T_2AhMTkfhnJBsgOBSVlOkg_V78xoCxAUQAvD_BwE" TargetMode="External"/><Relationship Id="rId887" Type="http://schemas.openxmlformats.org/officeDocument/2006/relationships/hyperlink" Target="https://www.dentalspeed.com/ultrassom-jet-sonic-bp-bivolt-gnatus.html?srsltid=AfmBOoqm4PiovmI0jqWpNkLzKzinJYwsyj9r2QpmXyDg092Xwc4-k5pb8Lw" TargetMode="External"/><Relationship Id="rId402" Type="http://schemas.openxmlformats.org/officeDocument/2006/relationships/hyperlink" Target="https://www.dentalspeed.com/ultrassom-jet-sonic-bp-bivolt-gnatus.html?srsltid=AfmBOoqm4PiovmI0jqWpNkLzKzinJYwsyj9r2QpmXyDg092Xwc4-k5pb8Lw" TargetMode="External"/><Relationship Id="rId644" Type="http://schemas.openxmlformats.org/officeDocument/2006/relationships/hyperlink" Target="https://www.mercadolivre.com.br/mesa-escritorio-escrivaninha-150x60-tampo-de-40-mm-2-gaveta/up/MLBU3266379869?pdp_filters=item_id:MLB5471924390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_with_promotion&amp;matt_merchant_id=138294755&amp;matt_product_id=MLB5471924390&amp;matt_product_partition_id=2388009794866&amp;matt_target_id=aud-1967156880386:pla-2388009794866&amp;cq_src=google_ads&amp;cq_cmp=22090354064&amp;cq_net=g&amp;cq_plt=gp&amp;cq_med=pla_with_promotion&amp;gad_source=1&amp;gad_campaignid=22090354064&amp;gbraid=0AAAAAD93qcBuzXCuFv0LWRfgdRIHTKpmj&amp;gclid=Cj0KCQiAuvTJBhCwARIsAL6Demh7XpQv1dCc9du5jPWWhkX7HgfcdcwRQCGHzZK0lF-T1Wr3xCFB_OsaAp_HEALw_wcB" TargetMode="External"/><Relationship Id="rId886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401" Type="http://schemas.openxmlformats.org/officeDocument/2006/relationships/hyperlink" Target="https://produto.mercadolivre.com.br/MLB-1977298989-armario-vitrine-02-portas-_JM?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548856185&amp;matt_product_id=MLB1977298989&amp;matt_product_partition_id=2389560632545&amp;matt_target_id=aud-1967156880386:pla-2389560632545&amp;cq_src=google_ads&amp;cq_cmp=22090354076&amp;cq_net=g&amp;cq_plt=gp&amp;cq_med=pla&amp;gad_source=1&amp;gad_campaignid=22090354076&amp;gbraid=0AAAAAD93qcAKTTW-ohSQTAZ4ENj3xhvka&amp;gclid=Cj0KCQiAi9rJBhCYARIsALyPDtsEwMcsy5-v4NO8ZNdfwrpYoqbv1HTnj4FK-fqFxk5xL-G1bGivf7YaArGmEALw_wcB" TargetMode="External"/><Relationship Id="rId643" Type="http://schemas.openxmlformats.org/officeDocument/2006/relationships/hyperlink" Target="https://www.magazineluiza.com.br/cadeira-prisma-iso-fixa-preta-pra-igreja-recpcao-sala-espera-sintonia-flex/p/hgj63h44fd/mo/cdfi/?&amp;seller_id=olistsp&amp;utm_source=google&amp;utm_medium=cpc&amp;utm_term=83231&amp;utm_campaign=google_eco_per_ven_pla_all_sor_3p_core&amp;utm_content=&amp;partner_id=83231&amp;gclsrc=aw.ds&amp;gad_source=4&amp;gad_campaignid=23346188393&amp;gbraid=0AAAAAD4zZmSDoRoP08kIcLNJifPA-CO1T&amp;gclid=Cj0KCQiAuvTJBhCwARIsAL6DemjoXa20_pGeuxi3zRxIxSNplDDAtiQCUBJFimX1KWeDvW6kAbBKbv4aAkr4EALw_wcB" TargetMode="External"/><Relationship Id="rId885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408" Type="http://schemas.openxmlformats.org/officeDocument/2006/relationships/hyperlink" Target="https://www.mercadolivre.com.br/cadeira-escritorio-confortavel-giratoria-e-ajustavel/up/MLBU3186270209?pdp_filters=item_id%3AMLB5399152262&amp;from=gshop&amp;matt_tool=63319127&amp;matt_internal_campaign_id=&amp;matt_word=&amp;matt_source=google&amp;matt_campaign_id=22090193885&amp;matt_ad_group_id=194474628154&amp;matt_match_type=&amp;matt_network=g&amp;matt_device=c&amp;matt_creative=792355615812&amp;matt_keyword=&amp;matt_ad_position=&amp;matt_ad_type=pla&amp;matt_merchant_id=676140061&amp;matt_product_id=MLBU3186270209&amp;matt_product_partition_id=2455743150865&amp;matt_target_id=pla-2455743150865&amp;cq_src=google_ads&amp;cq_cmp=22090193885&amp;cq_net=g&amp;cq_plt=gp&amp;cq_med=pla&amp;gad_source=4&amp;gad_campaignid=22090193885&amp;gbraid=0AAAAAD93qcC91Xt4arBaPabv0DuOfBHDu&amp;gclid=Cj0KCQiA5I_NBhDVARIsAOrqIsYaQQAQHLxxhFMocj9K0Zn59i_623wpDXb7jgZwQfmW_8mHrYiYkjcaAphiEALw_wcB" TargetMode="External"/><Relationship Id="rId407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649" Type="http://schemas.openxmlformats.org/officeDocument/2006/relationships/hyperlink" Target="https://www.magazineluiza.com.br/cadeira-prisma-iso-para-recepcao-sala-de-espera-desmontavel-azul-sintonia-flex/p/dkfe5c2be0/mo/cdfi/?&amp;seller_id=sintoniaflex&amp;utm_source=google&amp;utm_medium=cpc&amp;utm_term=84393&amp;utm_campaign=google_eco_per_ven_pla_all_apo_3p_adv-funnel-trafego-csp-0326&amp;utm_content=&amp;partner_id=84393&amp;gclsrc=aw.ds&amp;gad_source=4&amp;gad_campaignid=23600723162&amp;gbraid=0AAAAAD4zZmSLiQkl1ewEPGHkwioVvSBxF&amp;gclid=Cj0KCQiA5I_NBhDVARIsAOrqIsY7EA_LKTiWdBLrrCoMVyVs1Ys0XQ7xmytiIcpNH1QCBZZUwK7rSTUaAgGmEALw_wcB" TargetMode="External"/><Relationship Id="rId406" Type="http://schemas.openxmlformats.org/officeDocument/2006/relationships/hyperlink" Target="https://www.mercadolivre.com.br/cadeira-secretaria-estofada-em-preto-confortavel-zy033b/up/MLBU3505414473" TargetMode="External"/><Relationship Id="rId648" Type="http://schemas.openxmlformats.org/officeDocument/2006/relationships/hyperlink" Target="https://www.magazineluiza.com.br/cadeira-prisma-iso-fixa-preta-pra-igreja-recpcao-sala-espera-sintonia-flex/p/hgj63h44fd/mo/cdfi/?&amp;seller_id=olistsp&amp;utm_source=google&amp;utm_medium=cpc&amp;utm_term=83231&amp;utm_campaign=google_eco_per_ven_pla_all_sor_3p_core&amp;utm_content=&amp;partner_id=83231&amp;gclsrc=aw.ds&amp;gad_source=4&amp;gad_campaignid=23346188393&amp;gbraid=0AAAAAD4zZmSDoRoP08kIcLNJifPA-CO1T&amp;gclid=Cj0KCQiAuvTJBhCwARIsAL6DemjoXa20_pGeuxi3zRxIxSNplDDAtiQCUBJFimX1KWeDvW6kAbBKbv4aAkr4EALw_wcB" TargetMode="External"/><Relationship Id="rId405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647" Type="http://schemas.openxmlformats.org/officeDocument/2006/relationships/hyperlink" Target="https://www.tadah.com.br/cama-solteiro-morada-de-madeira-mascavo.html?srsltid=AfmBOoodNn9kJg0iO4nBk9bWq-8He7xCU0vlnhOopY6SWWTAN0xQyZ8i-z0" TargetMode="External"/><Relationship Id="rId889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880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400" Type="http://schemas.openxmlformats.org/officeDocument/2006/relationships/hyperlink" Target="https://produto.mercadolivre.com.br/MLB-4083615069-bebedouro-industrial-agua-200-litros-coluna-inox-filtro-_JM?matt_tool=13891073&amp;matt_internal_campaign_id=&amp;matt_word=&amp;matt_source=google&amp;matt_campaign_id=22090193717&amp;matt_ad_group_id=174661961924&amp;matt_match_type=&amp;matt_network=g&amp;matt_device=c&amp;matt_creative=727914179479&amp;matt_keyword=&amp;matt_ad_position=&amp;matt_ad_type=pla&amp;matt_merchant_id=5599981786&amp;matt_product_id=MLB4083615069&amp;matt_product_partition_id=2388289386681&amp;matt_target_id=aud-1966857867496:pla-2388289386681&amp;cq_src=google_ads&amp;cq_cmp=22090193717&amp;cq_net=g&amp;cq_plt=gp&amp;cq_med=pla&amp;gad_source=4&amp;gad_campaignid=22090193717&amp;gbraid=0AAAAAD93qcDmMRRo7lU4NCcxPD4INrrk0&amp;gclid=CjwKCAiA3fnJBhAgEiwAyqmY5WF705kX2s4iK9bXebwaO1FxA92nQOqY0Z6IrbnACTyJ8hY6L2-DPhoCLRsQAvD_BwE" TargetMode="External"/><Relationship Id="rId642" Type="http://schemas.openxmlformats.org/officeDocument/2006/relationships/hyperlink" Target="https://www.magazineluiza.com.br/cadeira-prisma-iso-fixa-preta-pra-igreja-recpcao-sala-espera-sintonia-flex/p/hgj63h44fd/mo/cdfi/?&amp;seller_id=olistsp&amp;utm_source=google&amp;utm_medium=cpc&amp;utm_term=83231&amp;utm_campaign=google_eco_per_ven_pla_all_sor_3p_core&amp;utm_content=&amp;partner_id=83231&amp;gclsrc=aw.ds&amp;gad_source=4&amp;gad_campaignid=23346188393&amp;gbraid=0AAAAAD4zZmSDoRoP08kIcLNJifPA-CO1T&amp;gclid=Cj0KCQiAuvTJBhCwARIsAL6DemjoXa20_pGeuxi3zRxIxSNplDDAtiQCUBJFimX1KWeDvW6kAbBKbv4aAkr4EALw_wcB" TargetMode="External"/><Relationship Id="rId884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641" Type="http://schemas.openxmlformats.org/officeDocument/2006/relationships/hyperlink" Target="https://www.magazineluiza.com.br/cadeira-prisma-iso-fixa-preta-pra-igreja-recpcao-sala-espera-sintonia-flex/p/hgj63h44fd/mo/cdfi/?&amp;seller_id=olistsp&amp;utm_source=google&amp;utm_medium=cpc&amp;utm_term=83231&amp;utm_campaign=google_eco_per_ven_pla_all_sor_3p_core&amp;utm_content=&amp;partner_id=83231&amp;gclsrc=aw.ds&amp;gad_source=4&amp;gad_campaignid=23346188393&amp;gbraid=0AAAAAD4zZmSDoRoP08kIcLNJifPA-CO1T&amp;gclid=Cj0KCQiAuvTJBhCwARIsAL6DemjoXa20_pGeuxi3zRxIxSNplDDAtiQCUBJFimX1KWeDvW6kAbBKbv4aAkr4EALw_wcB" TargetMode="External"/><Relationship Id="rId883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640" Type="http://schemas.openxmlformats.org/officeDocument/2006/relationships/hyperlink" Target="https://www.mercadolivre.com.br/cadeira-giratoria-secretaria-ergoplax-plaxmetal-cor-preto/p/MLB20213484?pdp_filters=item_id%3AMLB5215208822&amp;from=gshop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&amp;matt_merchant_id=735098639&amp;matt_product_id=MLB20213484-product&amp;matt_product_partition_id=2388009794866&amp;matt_target_id=aud-1967156880386:pla-2388009794866&amp;cq_src=google_ads&amp;cq_cmp=22090354064&amp;cq_net=g&amp;cq_plt=gp&amp;cq_med=pla&amp;gad_source=1&amp;gad_campaignid=22090354064&amp;gbraid=0AAAAAD93qcBuzXCuFv0LWRfgdRIHTKpmj&amp;gclid=Cj0KCQiAuvTJBhCwARIsAL6Demh-CTqBFRziWkQ6Pnwbv9YXcp1_hufJB6tYS5EOvDo9Zt6lVSNn4bYaAiYpEALw_wcB" TargetMode="External"/><Relationship Id="rId882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881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635" Type="http://schemas.openxmlformats.org/officeDocument/2006/relationships/hyperlink" Target="https://www.mercadolivre.com.br/mesa-escritorio-escrivaninha-150x60-tampo-de-40-mm-2-gaveta/up/MLBU3266379869?pdp_filters=item_id:MLB5471924390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_with_promotion&amp;matt_merchant_id=138294755&amp;matt_product_id=MLB5471924390&amp;matt_product_partition_id=2388009794866&amp;matt_target_id=aud-1967156880386:pla-2388009794866&amp;cq_src=google_ads&amp;cq_cmp=22090354064&amp;cq_net=g&amp;cq_plt=gp&amp;cq_med=pla_with_promotion&amp;gad_source=1&amp;gad_campaignid=22090354064&amp;gbraid=0AAAAAD93qcBuzXCuFv0LWRfgdRIHTKpmj&amp;gclid=Cj0KCQiAuvTJBhCwARIsAL6Demh7XpQv1dCc9du5jPWWhkX7HgfcdcwRQCGHzZK0lF-T1Wr3xCFB_OsaAp_HEALw_wcB" TargetMode="External"/><Relationship Id="rId877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634" Type="http://schemas.openxmlformats.org/officeDocument/2006/relationships/hyperlink" Target="https://www.amazon.com.br/REFRIGERADOR-CONSUL-LITROS-BRANCO-CRB36AB/dp/B07JGL1WH8/ref=asc_df_B07JGL1WH8?mcid=b6acd287f9cc37338cef6ba9717830f3&amp;tag=googleshopp00-20&amp;linkCode=df0&amp;hvadid=709884460975&amp;hvpos=&amp;hvnetw=g&amp;hvrand=7931948425802879525&amp;hvpone=&amp;hvptwo=&amp;hvqmt=&amp;hvdev=c&amp;hvdvcmdl=&amp;hvlocint=&amp;hvlocphy=9101878&amp;hvtargid=pla-1095777140872&amp;language=pt_BR&amp;gad_source=1&amp;th=1" TargetMode="External"/><Relationship Id="rId876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633" Type="http://schemas.openxmlformats.org/officeDocument/2006/relationships/hyperlink" Target="https://www.mercadolivre.com.br/mesa-auxiliar-pintada-50x40x80cm-cxlxa-com-rodinhas/up/MLBU1436480778?pdp_filters=item_id:MLB3083907865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494988289&amp;matt_product_id=MLB3083907865&amp;matt_product_partition_id=2389560632545&amp;matt_target_id=aud-1966857867496:pla-2389560632545&amp;cq_src=google_ads&amp;cq_cmp=22090354076&amp;cq_net=g&amp;cq_plt=gp&amp;cq_med=pla&amp;gad_source=4&amp;gad_campaignid=22090354076&amp;gbraid=0AAAAAD93qcAscxb6MSiSTVdwgeSNMuGjz&amp;gclid=Cj0KCQiAi9rJBhCYARIsALyPDtt1cH_YOgNDc6pFM-AA4K50D9fAu0ZnOL6rEhRnnH_hbeyqTG0_GpEaArQsEALw_wcB" TargetMode="External"/><Relationship Id="rId875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632" Type="http://schemas.openxmlformats.org/officeDocument/2006/relationships/hyperlink" Target="https://www.mercadolivre.com.br/mesa-auxiliar-pintada-50x40x80cm-cxlxa-com-rodinhas/up/MLBU1436480778?pdp_filters=item_id:MLB3083907865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494988289&amp;matt_product_id=MLB3083907865&amp;matt_product_partition_id=2389560632545&amp;matt_target_id=aud-1966857867496:pla-2389560632545&amp;cq_src=google_ads&amp;cq_cmp=22090354076&amp;cq_net=g&amp;cq_plt=gp&amp;cq_med=pla&amp;gad_source=4&amp;gad_campaignid=22090354076&amp;gbraid=0AAAAAD93qcAscxb6MSiSTVdwgeSNMuGjz&amp;gclid=Cj0KCQiAi9rJBhCYARIsALyPDtt1cH_YOgNDc6pFM-AA4K50D9fAu0ZnOL6rEhRnnH_hbeyqTG0_GpEaArQsEALw_wcB" TargetMode="External"/><Relationship Id="rId874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639" Type="http://schemas.openxmlformats.org/officeDocument/2006/relationships/hyperlink" Target="https://www.mercadolivre.com.br/cadeira-giratoria-secretaria-ergoplax-plaxmetal-cor-preto/p/MLB20213484?pdp_filters=item_id%3AMLB5215208822&amp;from=gshop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&amp;matt_merchant_id=735098639&amp;matt_product_id=MLB20213484-product&amp;matt_product_partition_id=2388009794866&amp;matt_target_id=aud-1967156880386:pla-2388009794866&amp;cq_src=google_ads&amp;cq_cmp=22090354064&amp;cq_net=g&amp;cq_plt=gp&amp;cq_med=pla&amp;gad_source=1&amp;gad_campaignid=22090354064&amp;gbraid=0AAAAAD93qcBuzXCuFv0LWRfgdRIHTKpmj&amp;gclid=Cj0KCQiAuvTJBhCwARIsAL6Demh-CTqBFRziWkQ6Pnwbv9YXcp1_hufJB6tYS5EOvDo9Zt6lVSNn4bYaAiYpEALw_wcB" TargetMode="External"/><Relationship Id="rId638" Type="http://schemas.openxmlformats.org/officeDocument/2006/relationships/hyperlink" Target="https://www.magazineluiza.com.br/cadeira-prisma-iso-fixa-preta-pra-igreja-recpcao-sala-espera-sintonia-flex/p/hgj63h44fd/mo/cdfi/?&amp;seller_id=olistsp&amp;utm_source=google&amp;utm_medium=cpc&amp;utm_term=83231&amp;utm_campaign=google_eco_per_ven_pla_all_sor_3p_core&amp;utm_content=&amp;partner_id=83231&amp;gclsrc=aw.ds&amp;gad_source=4&amp;gad_campaignid=23346188393&amp;gbraid=0AAAAAD4zZmSDoRoP08kIcLNJifPA-CO1T&amp;gclid=Cj0KCQiAuvTJBhCwARIsAL6DemjoXa20_pGeuxi3zRxIxSNplDDAtiQCUBJFimX1KWeDvW6kAbBKbv4aAkr4EALw_wcB" TargetMode="External"/><Relationship Id="rId637" Type="http://schemas.openxmlformats.org/officeDocument/2006/relationships/hyperlink" Target="https://produto.mercadolivre.com.br/MLB-1977298989-armario-vitrine-02-portas-_JM?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548856185&amp;matt_product_id=MLB1977298989&amp;matt_product_partition_id=2389560632545&amp;matt_target_id=aud-1967156880386:pla-2389560632545&amp;cq_src=google_ads&amp;cq_cmp=22090354076&amp;cq_net=g&amp;cq_plt=gp&amp;cq_med=pla&amp;gad_source=1&amp;gad_campaignid=22090354076&amp;gbraid=0AAAAAD93qcAKTTW-ohSQTAZ4ENj3xhvka&amp;gclid=Cj0KCQiAi9rJBhCYARIsALyPDtsEwMcsy5-v4NO8ZNdfwrpYoqbv1HTnj4FK-fqFxk5xL-G1bGivf7YaArGmEALw_wcB" TargetMode="External"/><Relationship Id="rId879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636" Type="http://schemas.openxmlformats.org/officeDocument/2006/relationships/hyperlink" Target="https://www.magazineluiza.com.br/balcao-maceio-para-pia-200-mt-4-portas-com-gavetao-branco-milani-movelaria/p/ef07a5h8k1/mo/otmo/?seller_id=lojawebcontinentalmarketplace&amp;srsltid=AfmBOoo2gTW4-xc2nxniQ9k9gLhlMunoTPcngwIvAPqRFSMEF4RZkmPycfI" TargetMode="External"/><Relationship Id="rId878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631" Type="http://schemas.openxmlformats.org/officeDocument/2006/relationships/hyperlink" Target="https://www.leroymerlin.com.br/gabinete-armario-de-banheiro-com-pia-cuba-espelho-ana-mgm_1571386542?region=outros" TargetMode="External"/><Relationship Id="rId873" Type="http://schemas.openxmlformats.org/officeDocument/2006/relationships/hyperlink" Target="https://www.dentalspeed.com/ultrassom-jet-sonic-bp-bivolt-gnatus.html?srsltid=AfmBOoqm4PiovmI0jqWpNkLzKzinJYwsyj9r2QpmXyDg092Xwc4-k5pb8Lw" TargetMode="External"/><Relationship Id="rId630" Type="http://schemas.openxmlformats.org/officeDocument/2006/relationships/hyperlink" Target="https://produto.mercadolivre.com.br/MLB-1289907999-armario-alto-fechado-160x80x42-f15mm-_JM?matt_tool=45048704&amp;matt_internal_campaign_id=&amp;matt_word=&amp;matt_source=google&amp;matt_campaign_id=22090354304&amp;matt_ad_group_id=173090583996&amp;matt_match_type=&amp;matt_network=g&amp;matt_device=c&amp;matt_creative=727882731531&amp;matt_keyword=&amp;matt_ad_position=&amp;matt_ad_type=pla&amp;matt_merchant_id=129114765&amp;matt_product_id=MLB1289907999&amp;matt_product_partition_id=2417611461484&amp;matt_target_id=aud-1967156880386:pla-2417611461484&amp;cq_src=google_ads&amp;cq_cmp=22090354304&amp;cq_net=g&amp;cq_plt=gp&amp;cq_med=pla&amp;gad_source=4&amp;gad_campaignid=22090354304&amp;gbraid=0AAAAAD93qcCBfNXewtmdOvKjLbBryoq5Y&amp;gclid=CjwKCAiA3fnJBhAgEiwAyqmY5Y5BZtWqXnudbRlbGLSdk1sRc1T_2AhMTkfhnJBsgOBSVlOkg_V78xoCxAUQAvD_BwE" TargetMode="External"/><Relationship Id="rId872" Type="http://schemas.openxmlformats.org/officeDocument/2006/relationships/hyperlink" Target="https://www.dentalspeed.com/ultrassom-jet-sonic-bp-bivolt-gnatus.html?srsltid=AfmBOoqm4PiovmI0jqWpNkLzKzinJYwsyj9r2QpmXyDg092Xwc4-k5pb8Lw" TargetMode="External"/><Relationship Id="rId871" Type="http://schemas.openxmlformats.org/officeDocument/2006/relationships/hyperlink" Target="https://www.claramed.com.br/hospitalar/mobiliario-hospitalar/apoio-de-braco-inox-claramed-hospitalar?srsltid=AfmBOoqwiZvdhWWD-p0yO-YM-xzdVQl5oJ5GOp5vi0VYEmr9V49jVy5oKM1" TargetMode="External"/><Relationship Id="rId870" Type="http://schemas.openxmlformats.org/officeDocument/2006/relationships/hyperlink" Target="https://www.claramed.com.br/hospitalar/mobiliario-hospitalar/apoio-de-braco-inox-claramed-hospitalar?srsltid=AfmBOoqwiZvdhWWD-p0yO-YM-xzdVQl5oJ5GOp5vi0VYEmr9V49jVy5oKM0" TargetMode="External"/><Relationship Id="rId829" Type="http://schemas.openxmlformats.org/officeDocument/2006/relationships/hyperlink" Target="https://www.mercadolivre.com.br/escadinha-hospitalar-auxiliar-aco-2-degraus-emborrachada/up/MLBU1442215901?pdp_filters=item_id:MLB3403210455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5363090722&amp;matt_product_id=MLB3403210455&amp;matt_product_partition_id=2388288843281&amp;matt_target_id=aud-1966857867496:pla-2388288843281&amp;cq_src=google_ads&amp;cq_cmp=22090193723&amp;cq_net=g&amp;cq_plt=gp&amp;cq_med=pla&amp;gad_source=4&amp;gad_campaignid=22090193723&amp;gbraid=0AAAAAD93qcBdHQAN5gWeaxTeCtkKn15xV&amp;gclid=Cj0KCQiA6NTJBhDEARIsAB7QHD21UMSDSm7s47TW7u6d6WOslDrUr195DUnKDxPz1paz00xe-8g1DCgaAtNZEALw_wcB" TargetMode="External"/><Relationship Id="rId828" Type="http://schemas.openxmlformats.org/officeDocument/2006/relationships/hyperlink" Target="https://www.mafraespecialidades.com.br/produto/balancim-aco-pintado-/5344959?srsltid=AfmBOoqVhz5UHKplbaphW6gEBy5H5GIGUO3rOrdFki_SQ8P9q4CJxFzc0ow" TargetMode="External"/><Relationship Id="rId827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822" Type="http://schemas.openxmlformats.org/officeDocument/2006/relationships/hyperlink" Target="https://www.rhosse.com.br/autoclave-vitale-class-21l-cristofoli/p?utm_source=google&amp;utm_medium=cpc&amp;utm_campaign=pmax_curva_c&amp;gad_source=1&amp;gad_campaignid=19162115963&amp;gbraid=0AAAAADeyqTopbObkfPveXMadcuVT888BW&amp;gclid=Cj0KCQiA5I_NBhDVARIsAOrqIsYSrwVwhB1mnuMxnDP0oBQRrXSFuvj3mLefePtEjmyKapOiajIcdPgaAsPEEALw_wcB" TargetMode="External"/><Relationship Id="rId821" Type="http://schemas.openxmlformats.org/officeDocument/2006/relationships/hyperlink" Target="https://www.mercadolivre.com.br/conversor-midia-optico-slot-1000basex-sfp-p-101001000/up/MLBU607631641?pdp_filters=item_id%3AMLB3822239277&amp;from=gshop&amp;matt_tool=67089616&amp;matt_internal_campaign_id=&amp;matt_word=&amp;matt_source=google&amp;matt_campaign_id=22090193651&amp;matt_ad_group_id=174661943204&amp;matt_match_type=&amp;matt_network=g&amp;matt_device=c&amp;matt_creative=727914177556&amp;matt_keyword=&amp;matt_ad_position=&amp;matt_ad_type=pla&amp;matt_merchant_id=136546711&amp;matt_product_id=MLBU607631641&amp;matt_product_partition_id=2581186526072&amp;matt_target_id=pla-2581186526072&amp;cq_src=google_ads&amp;cq_cmp=22090193651&amp;cq_net=g&amp;cq_plt=gp&amp;cq_med=pla&amp;gad_source=1&amp;gad_campaignid=22090193651&amp;gbraid=0AAAAAD93qcDk3ezsgHfxU_X4JkOy8g0KP&amp;gclid=Cj0KCQiA5I_NBhDVARIsAOrqIsZzWCApuibzcH2UmqrEuGF_PomYP_7UECZcysZRlxXGwhky3lgXtSUaAjUTEALw_wcB" TargetMode="External"/><Relationship Id="rId820" Type="http://schemas.openxmlformats.org/officeDocument/2006/relationships/hyperlink" Target="https://www.mercadolivre.com.br/caixa-para-salto-crossfit-media-preta-kallango-65x40x40cm/up/MLBU1413112376?pdp_filters=item_id%3AMLB4078649108&amp;from=gshop&amp;matt_tool=63319127&amp;matt_internal_campaign_id=&amp;matt_word=&amp;matt_source=google&amp;matt_campaign_id=22090193885&amp;matt_ad_group_id=194474627234&amp;matt_match_type=&amp;matt_network=g&amp;matt_device=c&amp;matt_creative=792355615659&amp;matt_keyword=&amp;matt_ad_position=&amp;matt_ad_type=pla&amp;matt_merchant_id=143817450&amp;matt_product_id=MLBU1413112376&amp;matt_product_partition_id=2454011238883&amp;matt_target_id=pla-2454011238883&amp;cq_src=google_ads&amp;cq_cmp=22090193885&amp;cq_net=g&amp;cq_plt=gp&amp;cq_med=pla&amp;gad_source=4&amp;gad_campaignid=22090193885&amp;gbraid=0AAAAAD93qcC91Xt4arBaPabv0DuOfBHDu&amp;gclid=Cj0KCQiA5I_NBhDVARIsAOrqIsakTuwm2lyBrbkSisuNApWHrexul_ijX1WwwblPbfliGoQW1e_-P9AaAjOjEALw_wcB" TargetMode="External"/><Relationship Id="rId826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825" Type="http://schemas.openxmlformats.org/officeDocument/2006/relationships/hyperlink" Target="https://www.mercadolivre.com.br/mesa-escritorio-160x60-cor-cinza-cristal-com-2-gavetas/up/MLBU3339034214?pdp_filters=item_id:MLB5534483786&amp;matt_tool=87728839&amp;matt_internal_campaign_id=&amp;matt_word=&amp;matt_source=google&amp;matt_campaign_id=22090193711&amp;matt_ad_group_id=174661959564&amp;matt_match_type=&amp;matt_network=g&amp;matt_device=c&amp;matt_creative=727914179260&amp;matt_keyword=&amp;matt_ad_position=&amp;matt_ad_type=pla&amp;matt_merchant_id=144571315&amp;matt_product_id=MLB5534483786&amp;matt_product_partition_id=2388009794826&amp;matt_target_id=aud-1966857867496:pla-2388009794826&amp;cq_src=google_ads&amp;cq_cmp=22090193711&amp;cq_net=g&amp;cq_plt=gp&amp;cq_med=pla&amp;gad_source=4&amp;gad_campaignid=22090193711&amp;gbraid=0AAAAAD93qcDncUzizB4kaKH-1xFC8kqqU&amp;gclid=Cj0KCQiA6NTJBhDEARIsAB7QHD2lQ4ObssOg-eUH7TBWDeuDQY5VBLqiUaZGMhxB7dk-CCNepbYKwXQaAoUsEALw_wcB" TargetMode="External"/><Relationship Id="rId824" Type="http://schemas.openxmlformats.org/officeDocument/2006/relationships/hyperlink" Target="https://www.mercadolivre.com.br/esteira-ergometrica-eletrica-gallant-elite-pro-30hp-16kmh-12-niveis-de-inclinaco120kg-gee12e30a/p/MLB26335568?pdp_filters=item_id%3AMLB3779536245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098639&amp;matt_product_id=MLB26335568-product&amp;matt_product_partition_id=2387641794446&amp;matt_target_id=aud-1967156880386:pla-2387641794446&amp;cq_src=google_ads&amp;cq_cmp=22090193885&amp;cq_net=g&amp;cq_plt=gp&amp;cq_med=pla&amp;gad_source=4&amp;gad_campaignid=22090193885&amp;gbraid=0AAAAAD93qcDdAcBLedXcEDLKZIiJQw-3h&amp;gclid=Cj0KCQiA6NTJBhDEARIsAB7QHD2dw7DAmWkSYj3Yavd4sBUPRc1dXTmIpVW-hGLDexZdR82kdq64ZaQaAolaEALw_wcB" TargetMode="External"/><Relationship Id="rId823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819" Type="http://schemas.openxmlformats.org/officeDocument/2006/relationships/hyperlink" Target="https://www.mercadolivre.com.br/smart-sport-massageador-automatico-smart-gr/p/MLB26343328?pdp_filters=item_id%3AMLB4333944859&amp;from=gshop&amp;matt_tool=35397717&amp;matt_internal_campaign_id=&amp;matt_word=&amp;matt_source=google&amp;matt_campaign_id=22090354487&amp;matt_ad_group_id=197094213091&amp;matt_match_type=&amp;matt_network=g&amp;matt_device=c&amp;matt_creative=792396419722&amp;matt_keyword=&amp;matt_ad_position=&amp;matt_ad_type=pla&amp;matt_merchant_id=735125422&amp;matt_product_id=MLB26343328-product&amp;matt_product_partition_id=2509827002327&amp;matt_target_id=pla-2509827002327&amp;cq_src=google_ads&amp;cq_cmp=22090354487&amp;cq_net=g&amp;cq_plt=gp&amp;cq_med=pla&amp;gad_source=1&amp;gad_campaignid=22090354487&amp;gbraid=0AAAAAD93qcD-_ZCOJK6DVi71HU_uX_XYR&amp;gclid=Cj0KCQiA5I_NBhDVARIsAOrqIsY4eZPGcjkSqOW3Y_SrNHi8erFnZFN302DyUB5GFvlxpjEYl7YM_gsaAqcXEALw_wcB" TargetMode="External"/><Relationship Id="rId818" Type="http://schemas.openxmlformats.org/officeDocument/2006/relationships/hyperlink" Target="https://www.amazon.com.br/Cadeira-Shiatsu-Dobr%C3%A1vel-Transporte-Brilhante/dp/B0FJSMJL54/ref=asc_df_B0FJSMJL54?mcid=1409340425493c80bfbf9ba2ea8ccc9c&amp;tag=googleshopp00-20&amp;linkCode=df0&amp;hvadid=709857205107&amp;hvpos=&amp;hvnetw=g&amp;hvrand=6192125341079788120&amp;hvpone=&amp;hvptwo=&amp;hvqmt=&amp;hvdev=c&amp;hvdvcmdl=&amp;hvlocint=&amp;hvlocphy=9101878&amp;hvtargid=pla-2444794070346&amp;language=pt_BR&amp;gad_source=1&amp;th=1" TargetMode="External"/><Relationship Id="rId817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816" Type="http://schemas.openxmlformats.org/officeDocument/2006/relationships/hyperlink" Target="https://www.dentalstilo.com.br/seladora-odontologica-selamaxx-vh-bivolt-c-guilhotina?srsltid=AfmBOop-USxGNHTXh1fxmIO3SGggVcZf7dGhQfbsB3Lh25jAqOLvh6tAyi0" TargetMode="External"/><Relationship Id="rId811" Type="http://schemas.openxmlformats.org/officeDocument/2006/relationships/hyperlink" Target="https://www.magazineluiza.com.br/compressor-de-ar-10-40l-bpo-rcv-sem-oleo-220v-chiaperini/p/ba8h4h94g9/fs/cdar/?&amp;seller_id=royalmaquinas&amp;utm_source=google&amp;utm_medium=cpc&amp;utm_term=84393&amp;utm_campaign=google_eco_per_ven_pla_all_apo_3p_adv-funnel-trafego-csp-0326&amp;utm_content=&amp;partner_id=84393&amp;gclsrc=aw.ds&amp;gad_source=1&amp;gad_campaignid=23600723162&amp;gbraid=0AAAAAD4zZmR2m8PchBJYe4QTc_7CD9n7I&amp;gclid=Cj0KCQiA5I_NBhDVARIsAOrqIsaViZ-8gXZBDePLg9IBKsIVLJCWq_0kopWUxTuH91_wk4weKOa17QYaAp9sEALw_wcB" TargetMode="External"/><Relationship Id="rId810" Type="http://schemas.openxmlformats.org/officeDocument/2006/relationships/hyperlink" Target="https://www.amazon.com.br/Neurodyn-TENS-Burst-Ibramed-Eletrodos/dp/B0BZ22VL7J/ref=asc_df_B0BZ22VL7J?mcid=0987714d132236c5b1e82b0aa0de6a68&amp;tag=googleshopp00-20&amp;linkCode=df0&amp;hvadid=709857204945&amp;hvpos=&amp;hvnetw=g&amp;hvrand=13020077084912439317&amp;hvpone=&amp;hvptwo=&amp;hvqmt=&amp;hvdev=c&amp;hvdvcmdl=&amp;hvlocint=&amp;hvlocphy=1031867&amp;hvtargid=pla-2204973041701&amp;psc=1&amp;language=pt_BR&amp;gad_source=1" TargetMode="External"/><Relationship Id="rId815" Type="http://schemas.openxmlformats.org/officeDocument/2006/relationships/hyperlink" Target="https://www.amazon.com.br/Condicionado-24000-Inverter-Midea-Ecomaster/dp/B0FCSTHGV4/ref=asc_df_B0FCSTHGV4?mcid=12c002f24cbb3974862fc8b5611eeef2&amp;tag=googleshopp00-20&amp;linkCode=df0&amp;hvadid=709968341215&amp;hvpos=&amp;hvnetw=g&amp;hvrand=4330878174469930516&amp;hvpone=&amp;hvptwo=&amp;hvqmt=&amp;hvdev=c&amp;hvdvcmdl=&amp;hvlocint=&amp;hvlocphy=9101878&amp;hvtargid=pla-2495342208677&amp;psc=1&amp;language=pt_BR&amp;gad_source=1" TargetMode="External"/><Relationship Id="rId814" Type="http://schemas.openxmlformats.org/officeDocument/2006/relationships/hyperlink" Target="https://www.amazon.com.br/Condicionado-24000-Inverter-Midea-Ecomaster/dp/B0FCSTHGV4/ref=asc_df_B0FCSTHGV4?mcid=12c002f24cbb3974862fc8b5611eeef2&amp;tag=googleshopp00-20&amp;linkCode=df0&amp;hvadid=709968341215&amp;hvpos=&amp;hvnetw=g&amp;hvrand=4330878174469930516&amp;hvpone=&amp;hvptwo=&amp;hvqmt=&amp;hvdev=c&amp;hvdvcmdl=&amp;hvlocint=&amp;hvlocphy=9101878&amp;hvtargid=pla-2495342208677&amp;psc=1&amp;language=pt_BR&amp;gad_source=1" TargetMode="External"/><Relationship Id="rId813" Type="http://schemas.openxmlformats.org/officeDocument/2006/relationships/hyperlink" Target="https://www.bcmed.com.br/laser-duo-mmo-laserterapia-e-terapia-fotodinamica?gad_source=1&amp;gad_campaignid=19905799092&amp;gbraid=0AAAAADvQY5F7eEVm7djBr87abwAO4OgBY&amp;gclid=Cj0KCQiA5I_NBhDVARIsAOrqIsZa0Q4z7rCgLIpL1qmc1P-PuqFFvkZno1k6hduABOZvmR2PjYwma7QaAlsdEALw_wcB" TargetMode="External"/><Relationship Id="rId812" Type="http://schemas.openxmlformats.org/officeDocument/2006/relationships/hyperlink" Target="https://www.medsystemhospitalar.com.br/odontologia/equipamentos-odonto/motores-endodontico/localizador-apical-ipex-ii-nsk?parceiro=7129&amp;gad_source=1&amp;gad_campaignid=22855158452&amp;gbraid=0AAAAAqw-6CgOE6ghcfqGTouycvbJuQZRx&amp;gclid=Cj0KCQiA5I_NBhDVARIsAOrqIsa9F0tENF1-kBIV3LavsiCvZ9y_57Uqb0lbvzHeT2qXhtKadFSXfrAaAghTEALw_wcB" TargetMode="External"/><Relationship Id="rId609" Type="http://schemas.openxmlformats.org/officeDocument/2006/relationships/hyperlink" Target="https://www.mercadolivre.com.br/cpu-dell-optiplex-3050-core-i5-7ger-8gb-240gb-ssd--promocao/up/MLBU1935459442?pdp_filters=item_id%3AMLB2003214329&amp;from=gshop&amp;matt_tool=91562990&amp;matt_internal_campaign_id=&amp;matt_word=&amp;matt_source=google&amp;matt_campaign_id=22090193891&amp;matt_ad_group_id=180228883104&amp;matt_match_type=&amp;matt_network=g&amp;matt_device=c&amp;matt_creative=728942946678&amp;matt_keyword=&amp;matt_ad_position=&amp;matt_ad_type=pla&amp;matt_merchant_id=551630506&amp;matt_product_id=MLBU1935459442&amp;matt_product_partition_id=2389840739899&amp;matt_target_id=pla-2389840739899&amp;cq_src=google_ads&amp;cq_cmp=22090193891&amp;cq_net=g&amp;cq_plt=gp&amp;cq_med=pla&amp;gad_source=1&amp;gad_campaignid=22090193891&amp;gbraid=0AAAAAD93qcDEWR9McqLiPXTWWnFF4M3V1&amp;gclid=CjwKCAiAqprNBhB6EiwAMe3yhoCw20M7upH86MzQxvChBpQgGvJCxzCXl4CGjNLteH0qqyOUE6u8ehoCfL8QAvD_BwE" TargetMode="External"/><Relationship Id="rId608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607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849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602" Type="http://schemas.openxmlformats.org/officeDocument/2006/relationships/hyperlink" Target="https://www.amazon.com.br/Atlas-M%C3%B4naco-Top-Glass-Acendimento/dp/B08HJ9LFZ2/ref=asc_df_B08HJ9LFZ2?mcid=0d7ae375260c3c2581600869155d1b42&amp;tag=googleshopp00-20&amp;linkCode=df0&amp;hvadid=709884460969&amp;hvpos=&amp;hvnetw=g&amp;hvrand=14115581618043945282&amp;hvpone=&amp;hvptwo=&amp;hvqmt=&amp;hvdev=c&amp;hvdvcmdl=&amp;hvlocint=&amp;hvlocphy=9101878&amp;hvtargid=pla-1127705044492&amp;language=pt_BR&amp;gad_source=1&amp;th=1" TargetMode="External"/><Relationship Id="rId844" Type="http://schemas.openxmlformats.org/officeDocument/2006/relationships/hyperlink" Target="https://www.mercadolivre.com.br/escadinha-hospitalar-auxiliar-aco-2-degraus-emborrachada/up/MLBU1442215901?pdp_filters=item_id:MLB3403210455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5363090722&amp;matt_product_id=MLB3403210455&amp;matt_product_partition_id=2388288843281&amp;matt_target_id=aud-1966857867496:pla-2388288843281&amp;cq_src=google_ads&amp;cq_cmp=22090193723&amp;cq_net=g&amp;cq_plt=gp&amp;cq_med=pla&amp;gad_source=4&amp;gad_campaignid=22090193723&amp;gbraid=0AAAAAD93qcBdHQAN5gWeaxTeCtkKn15xV&amp;gclid=Cj0KCQiA6NTJBhDEARIsAB7QHD21UMSDSm7s47TW7u6d6WOslDrUr195DUnKDxPz1paz00xe-8g1DCgaAtNZEALw_wcB" TargetMode="External"/><Relationship Id="rId601" Type="http://schemas.openxmlformats.org/officeDocument/2006/relationships/hyperlink" Target="https://www.mercadolivre.com.br/adipmetro-clinico-cescorf-inovare-analogico-preto/p/MLB24690106?pdp_filters=item_id%3AMLB5735048190&amp;from=gshop&amp;matt_tool=79314260&amp;matt_internal_campaign_id=&amp;matt_word=&amp;matt_source=google&amp;matt_campaign_id=22090354076&amp;matt_ad_group_id=197094181171&amp;matt_match_type=&amp;matt_network=g&amp;matt_device=c&amp;matt_creative=792355616769&amp;matt_keyword=&amp;matt_ad_position=&amp;matt_ad_type=pla&amp;matt_merchant_id=735128188&amp;matt_product_id=MLB24690106-product&amp;matt_product_partition_id=2454862530688&amp;matt_target_id=pla-2454862530688&amp;cq_src=google_ads&amp;cq_cmp=22090354076&amp;cq_net=g&amp;cq_plt=gp&amp;cq_med=pla&amp;gad_source=4&amp;gad_campaignid=22090354076&amp;gbraid=0AAAAAD93qcBikVho0H-ZJHcSOhcpMB3bn&amp;gclid=Cj0KCQiA5I_NBhDVARIsAOrqIsbjlwYxCcI3v5zL5fVjJ8aYOT8EHCwpj5LzikpGQH4atMXi0njiicEaArwGEALw_wcB" TargetMode="External"/><Relationship Id="rId843" Type="http://schemas.openxmlformats.org/officeDocument/2006/relationships/hyperlink" Target="https://www.mercadolivre.com.br/escadinha-hospitalar-auxiliar-aco-2-degraus-emborrachada/up/MLBU1442215901?pdp_filters=item_id:MLB3403210455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5363090722&amp;matt_product_id=MLB3403210455&amp;matt_product_partition_id=2388288843281&amp;matt_target_id=aud-1966857867496:pla-2388288843281&amp;cq_src=google_ads&amp;cq_cmp=22090193723&amp;cq_net=g&amp;cq_plt=gp&amp;cq_med=pla&amp;gad_source=4&amp;gad_campaignid=22090193723&amp;gbraid=0AAAAAD93qcBdHQAN5gWeaxTeCtkKn15xV&amp;gclid=Cj0KCQiA6NTJBhDEARIsAB7QHD21UMSDSm7s47TW7u6d6WOslDrUr195DUnKDxPz1paz00xe-8g1DCgaAtNZEALw_wcB" TargetMode="External"/><Relationship Id="rId600" Type="http://schemas.openxmlformats.org/officeDocument/2006/relationships/hyperlink" Target="https://www.loja.avanutri.com.br/prod,idproduto,8360387,maleta-de-transporte-avanutri?srsltid=AfmBOoriFRc30SObCRbHuJSoMSxS3xwdAXEixE1HNvsXGlVLI-J-CwhUuto" TargetMode="External"/><Relationship Id="rId842" Type="http://schemas.openxmlformats.org/officeDocument/2006/relationships/hyperlink" Target="https://produto.mercadolivre.com.br/MLB-5312462126-cunha-para-encosto-fisioterapia-50x50x30-_JM?matt_tool=87924162&amp;matt_internal_campaign_id=352346755&amp;matt_word=&amp;matt_source=google&amp;matt_campaign_id=23048606139&amp;matt_ad_group_id=187066703936&amp;matt_match_type=&amp;matt_network=g&amp;matt_device=c&amp;matt_creative=777926695427&amp;matt_keyword=&amp;matt_ad_position=&amp;matt_ad_type=pla&amp;matt_merchant_id=5465799375&amp;matt_product_id=MLB5312462126&amp;matt_product_partition_id=2445403019680&amp;matt_target_id=aud-1966857867496:pla-2445403019680&amp;cq_src=google_ads&amp;cq_cmp=23048606139&amp;cq_net=g&amp;cq_plt=gp&amp;cq_med=pla&amp;gad_source=1&amp;gad_campaignid=23048606139&amp;gbraid=0AAAAAD93qcAGy9zPycILFDI_tO97Fv6pd&amp;gclid=Cj0KCQiA6NTJBhDEARIsAB7QHD0ZDyYEJE5p8HKNVfSmhjsDuMWroXYHwNamYMo4swBGU5GXi3CqRPwaAiOUEALw_wcB" TargetMode="External"/><Relationship Id="rId841" Type="http://schemas.openxmlformats.org/officeDocument/2006/relationships/hyperlink" Target="https://produto.mercadolivre.com.br/MLB-5312462126-cunha-para-encosto-fisioterapia-50x50x30-_JM?matt_tool=87924162&amp;matt_internal_campaign_id=352346755&amp;matt_word=&amp;matt_source=google&amp;matt_campaign_id=23048606139&amp;matt_ad_group_id=187066703936&amp;matt_match_type=&amp;matt_network=g&amp;matt_device=c&amp;matt_creative=777926695427&amp;matt_keyword=&amp;matt_ad_position=&amp;matt_ad_type=pla&amp;matt_merchant_id=5465799375&amp;matt_product_id=MLB5312462126&amp;matt_product_partition_id=2445403019680&amp;matt_target_id=aud-1966857867496:pla-2445403019680&amp;cq_src=google_ads&amp;cq_cmp=23048606139&amp;cq_net=g&amp;cq_plt=gp&amp;cq_med=pla&amp;gad_source=1&amp;gad_campaignid=23048606139&amp;gbraid=0AAAAAD93qcAGy9zPycILFDI_tO97Fv6pd&amp;gclid=Cj0KCQiA6NTJBhDEARIsAB7QHD0ZDyYEJE5p8HKNVfSmhjsDuMWroXYHwNamYMo4swBGU5GXi3CqRPwaAiOUEALw_wcB" TargetMode="External"/><Relationship Id="rId606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848" Type="http://schemas.openxmlformats.org/officeDocument/2006/relationships/hyperlink" Target="https://www.amazon.com.br/Balc%C3%A3o-Madesa-Acordes-Portas-Gavetas/dp/B07Z85R11P/ref=asc_df_B07Z85R11P?mcid=3779e027258a357b90fc20e0b33e68fc&amp;tag=googleshopp00-20&amp;linkCode=df0&amp;hvadid=709968340942&amp;hvpos=&amp;hvnetw=g&amp;hvrand=9662733963274615161&amp;hvpone=&amp;hvptwo=&amp;hvqmt=&amp;hvdev=c&amp;hvdvcmdl=&amp;hvlocint=&amp;hvlocphy=1031867&amp;hvtargid=pla-851033710238&amp;language=pt_BR&amp;gad_source=1&amp;th=1" TargetMode="External"/><Relationship Id="rId605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847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604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846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603" Type="http://schemas.openxmlformats.org/officeDocument/2006/relationships/hyperlink" Target="https://www.mercadolivre.com.br/computador-all-in-one-i5-8gb-ram-ssd-240gb-tela-215-full-hd/up/MLBU3554218175?pdp_filters=item_id%3AMLB5930250716&amp;from=gshop&amp;matt_tool=91562990&amp;matt_internal_campaign_id=&amp;matt_word=&amp;matt_source=google&amp;matt_campaign_id=22090193891&amp;matt_ad_group_id=180228882944&amp;matt_match_type=&amp;matt_network=g&amp;matt_device=c&amp;matt_creative=728942946675&amp;matt_keyword=&amp;matt_ad_position=&amp;matt_ad_type=pla&amp;matt_merchant_id=5387182833&amp;matt_product_id=MLBU3554218175&amp;matt_product_partition_id=2389840739499&amp;matt_target_id=pla-2389840739499&amp;cq_src=google_ads&amp;cq_cmp=22090193891&amp;cq_net=g&amp;cq_plt=gp&amp;cq_med=pla&amp;gad_source=1&amp;gad_campaignid=22090193891&amp;gbraid=0AAAAAD93qcDowZhjpiHe3AXzQR2o262ZK&amp;gclid=Cj0KCQiA5I_NBhDVARIsAOrqIsZ_6G8mktj8NWfR3Gxq6fIJYshnraksjynC_rr6cNKCu0EVblMcC5caAkMaEALw_wcB" TargetMode="External"/><Relationship Id="rId845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840" Type="http://schemas.openxmlformats.org/officeDocument/2006/relationships/hyperlink" Target="https://produto.mercadolivre.com.br/MLB-5312462126-cunha-para-encosto-fisioterapia-50x50x30-_JM?matt_tool=87924162&amp;matt_internal_campaign_id=352346755&amp;matt_word=&amp;matt_source=google&amp;matt_campaign_id=23048606139&amp;matt_ad_group_id=187066703936&amp;matt_match_type=&amp;matt_network=g&amp;matt_device=c&amp;matt_creative=777926695427&amp;matt_keyword=&amp;matt_ad_position=&amp;matt_ad_type=pla&amp;matt_merchant_id=5465799375&amp;matt_product_id=MLB5312462126&amp;matt_product_partition_id=2445403019680&amp;matt_target_id=aud-1966857867496:pla-2445403019680&amp;cq_src=google_ads&amp;cq_cmp=23048606139&amp;cq_net=g&amp;cq_plt=gp&amp;cq_med=pla&amp;gad_source=1&amp;gad_campaignid=23048606139&amp;gbraid=0AAAAAD93qcAGy9zPycILFDI_tO97Fv6pd&amp;gclid=Cj0KCQiA6NTJBhDEARIsAB7QHD0ZDyYEJE5p8HKNVfSmhjsDuMWroXYHwNamYMo4swBGU5GXi3CqRPwaAiOUEALw_wcB" TargetMode="External"/><Relationship Id="rId839" Type="http://schemas.openxmlformats.org/officeDocument/2006/relationships/hyperlink" Target="https://produto.mercadolivre.com.br/MLB-5312462126-cunha-para-encosto-fisioterapia-50x50x30-_JM?matt_tool=87924162&amp;matt_internal_campaign_id=352346755&amp;matt_word=&amp;matt_source=google&amp;matt_campaign_id=23048606139&amp;matt_ad_group_id=187066703936&amp;matt_match_type=&amp;matt_network=g&amp;matt_device=c&amp;matt_creative=777926695427&amp;matt_keyword=&amp;matt_ad_position=&amp;matt_ad_type=pla&amp;matt_merchant_id=5465799375&amp;matt_product_id=MLB5312462126&amp;matt_product_partition_id=2445403019680&amp;matt_target_id=aud-1966857867496:pla-2445403019680&amp;cq_src=google_ads&amp;cq_cmp=23048606139&amp;cq_net=g&amp;cq_plt=gp&amp;cq_med=pla&amp;gad_source=1&amp;gad_campaignid=23048606139&amp;gbraid=0AAAAAD93qcAGy9zPycILFDI_tO97Fv6pd&amp;gclid=Cj0KCQiA6NTJBhDEARIsAB7QHD0ZDyYEJE5p8HKNVfSmhjsDuMWroXYHwNamYMo4swBGU5GXi3CqRPwaAiOUEALw_wcB" TargetMode="External"/><Relationship Id="rId838" Type="http://schemas.openxmlformats.org/officeDocument/2006/relationships/hyperlink" Target="https://www.amazon.com.br/Caneleira-de-Peso-1kg-Par/dp/B08V6KHNWT/ref=asc_df_B08V6KHNWT?mcid=37ae2d7d95b53d548839945784eacbc1&amp;tag=googleshopp00-20&amp;linkCode=df0&amp;hvadid=709857070023&amp;hvpos=&amp;hvnetw=g&amp;hvrand=1272579740908044018&amp;hvpone=&amp;hvptwo=&amp;hvqmt=&amp;hvdev=c&amp;hvdvcmdl=&amp;hvlocint=&amp;hvlocphy=9101877&amp;hvtargid=pla-1196875770139&amp;psc=1&amp;language=pt_BR&amp;gad_source=1" TargetMode="External"/><Relationship Id="rId833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832" Type="http://schemas.openxmlformats.org/officeDocument/2006/relationships/hyperlink" Target="https://produto.mercadolivre.com.br/MLB-3729313778-espaldar-barra-de-ling-classic-arktus-_JM?matt_tool=45821161&amp;matt_internal_campaign_id=&amp;matt_word=&amp;matt_source=google&amp;matt_campaign_id=22090354238&amp;matt_ad_group_id=191786779601&amp;matt_match_type=&amp;matt_network=g&amp;matt_device=c&amp;matt_creative=782869962869&amp;matt_keyword=&amp;matt_ad_position=&amp;matt_ad_type=pla&amp;matt_merchant_id=5310414468&amp;matt_product_id=MLB3729313778&amp;matt_product_partition_id=2389876708948&amp;matt_target_id=aud-1967156880386:pla-2389876708948&amp;cq_src=google_ads&amp;cq_cmp=22090354238&amp;cq_net=g&amp;cq_plt=gp&amp;cq_med=pla&amp;gad_source=1&amp;gad_campaignid=22090354238&amp;gbraid=0AAAAAD93qcCAXm3J3_ndRCMimT1QMUpjK&amp;gclid=Cj0KCQiA6NTJBhDEARIsAB7QHD2FXCsWgNI_KftkAkz21UGahvjSY4lE2j7kwsmzV42TK7Jv67ZQAQkaAielEALw_wcB" TargetMode="External"/><Relationship Id="rId831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830" Type="http://schemas.openxmlformats.org/officeDocument/2006/relationships/hyperlink" Target="https://www.mercadolivre.com.br/escadinha-hospitalar-auxiliar-aco-2-degraus-emborrachada/up/MLBU1442215901?pdp_filters=item_id:MLB3403210455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5363090722&amp;matt_product_id=MLB3403210455&amp;matt_product_partition_id=2388288843281&amp;matt_target_id=aud-1966857867496:pla-2388288843281&amp;cq_src=google_ads&amp;cq_cmp=22090193723&amp;cq_net=g&amp;cq_plt=gp&amp;cq_med=pla&amp;gad_source=4&amp;gad_campaignid=22090193723&amp;gbraid=0AAAAAD93qcBdHQAN5gWeaxTeCtkKn15xV&amp;gclid=Cj0KCQiA6NTJBhDEARIsAB7QHD21UMSDSm7s47TW7u6d6WOslDrUr195DUnKDxPz1paz00xe-8g1DCgaAtNZEALw_wcB" TargetMode="External"/><Relationship Id="rId837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836" Type="http://schemas.openxmlformats.org/officeDocument/2006/relationships/hyperlink" Target="https://www.claramed.com.br/hospitalar/mobiliario-hospitalar/apoio-de-braco-inox-claramed-hospitalar?srsltid=AfmBOoqwiZvdhWWD-p0yO-YM-xzdVQl5oJ5GOp5vi0VYEmr9V49jVy5oKM1" TargetMode="External"/><Relationship Id="rId835" Type="http://schemas.openxmlformats.org/officeDocument/2006/relationships/hyperlink" Target="https://imperiomed.com.br/produto/sonopulse-compact-1-mhz-ibramed/" TargetMode="External"/><Relationship Id="rId834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228" Type="http://schemas.openxmlformats.org/officeDocument/2006/relationships/hyperlink" Target="https://www.amazon.com.br/Neurodyn-TENS-Burst-Ibramed-Eletrodos/dp/B0BZ22VL7J/ref=asc_df_B0BZ22VL7J?mcid=0987714d132236c5b1e82b0aa0de6a68&amp;tag=googleshopp00-20&amp;linkCode=df0&amp;hvadid=709857204945&amp;hvpos=&amp;hvnetw=g&amp;hvrand=13020077084912439317&amp;hvpone=&amp;hvptwo=&amp;hvqmt=&amp;hvdev=c&amp;hvdvcmdl=&amp;hvlocint=&amp;hvlocphy=1031867&amp;hvtargid=pla-2204973041701&amp;psc=1&amp;language=pt_BR&amp;gad_source=1" TargetMode="External"/><Relationship Id="rId227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469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226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468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225" Type="http://schemas.openxmlformats.org/officeDocument/2006/relationships/hyperlink" Target="https://www.mercadolivre.com.br/suporte-de-soro--aco-carbono/up/MLBU1466637607?matt_tool=18956390&amp;utm_source=google_shopping&amp;utm_medium=organic&amp;pdp_filters=item_id:MLB4362525096" TargetMode="External"/><Relationship Id="rId467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229" Type="http://schemas.openxmlformats.org/officeDocument/2006/relationships/hyperlink" Target="https://www.mercadolivre.com.br/jump-mini-cama-elastica-profissional-academia-150-kg-cor-azul/p/MLB43762527?pdp_filters=item_id%3AMLB5458514308&amp;from=gshop&amp;matt_tool=60441466&amp;matt_internal_campaign_id=&amp;matt_word=&amp;matt_source=google&amp;matt_campaign_id=22090354529&amp;matt_ad_group_id=173090617636&amp;matt_match_type=&amp;matt_network=g&amp;matt_device=c&amp;matt_creative=727882733745&amp;matt_keyword=&amp;matt_ad_position=&amp;matt_ad_type=pla&amp;matt_merchant_id=735098639&amp;matt_product_id=MLB43762527-product&amp;matt_product_partition_id=2387641794686&amp;matt_target_id=aud-1967156880386:pla-2387641794686&amp;cq_src=google_ads&amp;cq_cmp=22090354529&amp;cq_net=g&amp;cq_plt=gp&amp;cq_med=pla&amp;gad_source=4&amp;gad_campaignid=22090354529&amp;gbraid=0AAAAAD93qcB2KIPZM_rpSZn6WZETvZyPE&amp;gclid=Cj0KCQiA6NTJBhDEARIsAB7QHD1q3DWVo6k6AW1PfV6YEbYGFoIIB3ikT_X5wO4MuyfCl4xCNsC8Lj4aAkAXEALw_wcB" TargetMode="External"/><Relationship Id="rId220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462" Type="http://schemas.openxmlformats.org/officeDocument/2006/relationships/hyperlink" Target="https://produto.mercadolivre.com.br/MLB-1289907999-armario-alto-fechado-160x80x42-f15mm-_JM?matt_tool=45048704&amp;matt_internal_campaign_id=&amp;matt_word=&amp;matt_source=google&amp;matt_campaign_id=22090354304&amp;matt_ad_group_id=173090583996&amp;matt_match_type=&amp;matt_network=g&amp;matt_device=c&amp;matt_creative=727882731531&amp;matt_keyword=&amp;matt_ad_position=&amp;matt_ad_type=pla&amp;matt_merchant_id=129114765&amp;matt_product_id=MLB1289907999&amp;matt_product_partition_id=2417611461484&amp;matt_target_id=aud-1967156880386:pla-2417611461484&amp;cq_src=google_ads&amp;cq_cmp=22090354304&amp;cq_net=g&amp;cq_plt=gp&amp;cq_med=pla&amp;gad_source=4&amp;gad_campaignid=22090354304&amp;gbraid=0AAAAAD93qcCBfNXewtmdOvKjLbBryoq5Y&amp;gclid=CjwKCAiA3fnJBhAgEiwAyqmY5Y5BZtWqXnudbRlbGLSdk1sRc1T_2AhMTkfhnJBsgOBSVlOkg_V78xoCxAUQAvD_BwE" TargetMode="External"/><Relationship Id="rId461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460" Type="http://schemas.openxmlformats.org/officeDocument/2006/relationships/hyperlink" Target="https://www.amazon.com.br/Notebook-Lenovo-IdeaPad-i3-1315U-Windows/dp/B0FCW8Q2MX/ref=asc_df_B0FCW8Q2MX?mcid=19e6f4e8d02d3a1a9f07c31fb16a9191&amp;tag=googleshopp00-20&amp;linkCode=df0&amp;hvadid=709884378364&amp;hvpos=&amp;hvnetw=g&amp;hvrand=3766334344178110355&amp;hvpone=&amp;hvptwo=&amp;hvqmt=&amp;hvdev=c&amp;hvdvcmdl=&amp;hvlocint=&amp;hvlocphy=9101878&amp;hvtargid=pla-2433925307983&amp;psc=1&amp;language=pt_BR&amp;gad_source=1" TargetMode="External"/><Relationship Id="rId224" Type="http://schemas.openxmlformats.org/officeDocument/2006/relationships/hyperlink" Target="https://www.mercadolivre.com.br/arquivo-de-aco-4-gavetas-pandin-slm-cinza/p/MLB39028635?pdp_filters=item_id%3AMLB4027074707&amp;from=gshop&amp;matt_tool=14476645&amp;matt_internal_campaign_id=&amp;matt_word=&amp;matt_source=google&amp;matt_campaign_id=22090193660&amp;matt_ad_group_id=191545507322&amp;matt_match_type=&amp;matt_network=g&amp;matt_device=c&amp;matt_creative=787871501651&amp;matt_keyword=&amp;matt_ad_position=&amp;matt_ad_type=pla&amp;matt_merchant_id=735098660&amp;matt_product_id=MLB39028635-product&amp;matt_product_partition_id=2455355885895&amp;matt_target_id=pla-2455355885895&amp;cq_src=google_ads&amp;cq_cmp=22090193660&amp;cq_net=g&amp;cq_plt=gp&amp;cq_med=pla&amp;gad_source=1&amp;gad_campaignid=22090193660&amp;gbraid=0AAAAAD93qcDJzagKrex6d6NFRsQoAuoy0&amp;gclid=Cj0KCQiA5I_NBhDVARIsAOrqIsaDB09x5TPd8f-aA_Qmw8ca6VzWBPIJyOyyS-wJs9AxB0LRkbqKxHUaAlXuEALw_wcB" TargetMode="External"/><Relationship Id="rId466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223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465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222" Type="http://schemas.openxmlformats.org/officeDocument/2006/relationships/hyperlink" Target="https://www.mercadolivre.com.br/arquivo-de-aco-4-gavetas-pandin-slm-cinza/p/MLB39028635?pdp_filters=item_id%3AMLB4027074707&amp;from=gshop&amp;matt_tool=14476645&amp;matt_internal_campaign_id=&amp;matt_word=&amp;matt_source=google&amp;matt_campaign_id=22090193660&amp;matt_ad_group_id=191545507322&amp;matt_match_type=&amp;matt_network=g&amp;matt_device=c&amp;matt_creative=787871501651&amp;matt_keyword=&amp;matt_ad_position=&amp;matt_ad_type=pla&amp;matt_merchant_id=735098660&amp;matt_product_id=MLB39028635-product&amp;matt_product_partition_id=2455355885895&amp;matt_target_id=pla-2455355885895&amp;cq_src=google_ads&amp;cq_cmp=22090193660&amp;cq_net=g&amp;cq_plt=gp&amp;cq_med=pla&amp;gad_source=1&amp;gad_campaignid=22090193660&amp;gbraid=0AAAAAD93qcDJzagKrex6d6NFRsQoAuoy0&amp;gclid=Cj0KCQiA5I_NBhDVARIsAOrqIsaDB09x5TPd8f-aA_Qmw8ca6VzWBPIJyOyyS-wJs9AxB0LRkbqKxHUaAlXuEALw_wcB" TargetMode="External"/><Relationship Id="rId464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221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463" Type="http://schemas.openxmlformats.org/officeDocument/2006/relationships/hyperlink" Target="https://produto.mercadolivre.com.br/MLB-803226301-mesa-para-reunio-redonda-escritorio-100m-varias-cores-_JM?matt_tool=40300352&amp;matt_internal_campaign_id=&amp;matt_word=&amp;matt_source=google&amp;matt_campaign_id=22090354013&amp;matt_ad_group_id=195616607208&amp;matt_match_type=&amp;matt_network=g&amp;matt_device=c&amp;matt_creative=787871502239&amp;matt_keyword=&amp;matt_ad_position=&amp;matt_ad_type=pla&amp;matt_merchant_id=5524497003&amp;matt_product_id=MLB803226301&amp;matt_product_partition_id=2455355912855&amp;matt_target_id=pla-2455355912855&amp;cq_src=google_ads&amp;cq_cmp=22090354013&amp;cq_net=g&amp;cq_plt=gp&amp;cq_med=pla&amp;gad_source=4&amp;gad_campaignid=22090354013&amp;gbraid=0AAAAAD93qcAMGTJ19_mb2dU9Sl3oOvXFZ&amp;gclid=Cj0KCQiA5I_NBhDVARIsAOrqIsasEvVzDZ6bhWUDIdZj0xHO1TF6bNN4geWaMYfZwUHuJkG4jTz10WEaAh-jEALw_wcB" TargetMode="External"/><Relationship Id="rId217" Type="http://schemas.openxmlformats.org/officeDocument/2006/relationships/hyperlink" Target="https://www.odontoatual.com.br/equipamentos-protese/amalgamador-vibramat-capsular-speed-ii-schuster?parceiro=5577&amp;srsltid=AfmBOorP6XgvlePK0F8cWmpIkVxuZBHA7l-QfRVJdcmUvTKa7neNWiLBtJ4" TargetMode="External"/><Relationship Id="rId459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216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458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21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457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699" Type="http://schemas.openxmlformats.org/officeDocument/2006/relationships/hyperlink" Target="https://www.santaapolonia.com.br/produtos/tornozeleira-par-arktus-630700" TargetMode="External"/><Relationship Id="rId214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456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698" Type="http://schemas.openxmlformats.org/officeDocument/2006/relationships/hyperlink" Target="https://www.santaapolonia.com.br/produtos/tornozeleira-par-arktus-630600" TargetMode="External"/><Relationship Id="rId219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218" Type="http://schemas.openxmlformats.org/officeDocument/2006/relationships/hyperlink" Target="https://www.mercadolivre.com.br/negatoscopio-slim-led-telerradiografico-biotron/p/MLB27238770?pdp_filters=item_id:MLB3562634321&amp;matt_tool=63454239&amp;matt_internal_campaign_id=228483048&amp;matt_word=&amp;matt_source=google&amp;matt_campaign_id=22060114741&amp;matt_ad_group_id=182368294722&amp;matt_match_type=&amp;matt_network=g&amp;matt_device=c&amp;matt_creative=757618488415&amp;matt_keyword=&amp;matt_ad_position=&amp;matt_ad_type=pla&amp;matt_merchant_id=293183437&amp;matt_product_id=MLB3562634321&amp;matt_product_partition_id=1467388425520&amp;matt_target_id=pla-1467388425520&amp;cq_src=google_ads&amp;cq_cmp=22060114741&amp;cq_net=g&amp;cq_plt=gp&amp;cq_med=pla&amp;gad_source=1&amp;gad_campaignid=22060114741&amp;gbraid=0AAAAAD93qcCRjOz_4URriztmPHOpMDFCE&amp;gclid=Cj0KCQiAi9rJBhCYARIsALyPDttrrv-IWJfqrmhqPgepoQimcjFskWSOnkmsdWk6aH0uXFu_6lTTsBgaAiw5EALw_wcB" TargetMode="External"/><Relationship Id="rId451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693" Type="http://schemas.openxmlformats.org/officeDocument/2006/relationships/hyperlink" Target="https://www.mercadolivre.com.br/cunha-posicionamento-50x50x30-ortopedia-fisioterapia/up/MLBU3079885559?pdp_filters=item_id:MLB5325977330&amp;matt_tool=79314260&amp;matt_internal_campaign_id=&amp;matt_word=&amp;matt_source=google&amp;matt_campaign_id=22090354076&amp;matt_ad_group_id=173090537276&amp;matt_match_type=&amp;matt_network=g&amp;matt_device=c&amp;matt_creative=727882727736&amp;matt_keyword=&amp;matt_ad_position=&amp;matt_ad_type=pla&amp;matt_merchant_id=282343370&amp;matt_product_id=MLB5325977330&amp;matt_product_partition_id=2388009203226&amp;matt_target_id=aud-1966857867496:pla-2388009203226&amp;cq_src=google_ads&amp;cq_cmp=22090354076&amp;cq_net=g&amp;cq_plt=gp&amp;cq_med=pla&amp;gad_source=4&amp;gad_campaignid=22090354076&amp;gbraid=0AAAAAD93qcA4lbE4fBMXxx5w9sMVHkdSV&amp;gclid=CjwKCAiA3fnJBhAgEiwAyqmY5TsO9wTgXbg9fYrwYamsiMVxtUTQd12rxwqMxAYN7OGosbrKFcynmxoCr_MQAvD_BwE" TargetMode="External"/><Relationship Id="rId450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692" Type="http://schemas.openxmlformats.org/officeDocument/2006/relationships/hyperlink" Target="https://www.amazon.com.br/Colchonete-80-60-Escolas-Academias/dp/B0CB1V57L6/ref=asc_df_B0CB1V57L6?mcid=8825daa94673368aaff20c4dd8977717&amp;tag=googleshopp00-20&amp;linkCode=df0&amp;hvadid=709964762396&amp;hvpos=&amp;hvnetw=g&amp;hvrand=11517584066685747780&amp;hvpone=&amp;hvptwo=&amp;hvqmt=&amp;hvdev=c&amp;hvdvcmdl=&amp;hvlocint=&amp;hvlocphy=1031867&amp;hvtargid=pla-2202066176351&amp;language=pt_BR&amp;gad_source=4&amp;th=1" TargetMode="External"/><Relationship Id="rId691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690" Type="http://schemas.openxmlformats.org/officeDocument/2006/relationships/hyperlink" Target="https://www.mercadolivre.com.br/mini-bola-overball-25cm-yoga-pilates-fisioterapia-funcional-ginastica-reabilitaco-pvc-vollo/p/MLB23535352?pdp_filters=item_id%3AMLB3792888200&amp;from=gshop&amp;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735125422&amp;matt_product_id=MLB23535352-product&amp;matt_product_partition_id=2424443219726&amp;matt_target_id=pla-2424443219726&amp;cq_src=google_ads&amp;cq_cmp=22603531562&amp;cq_net=g&amp;cq_plt=gp&amp;cq_med=pla&amp;gad_source=1&amp;gad_campaignid=22603531562&amp;gbraid=0AAAAAD93qcA2dC9ug4OKqJFrUM4kpNkZ6&amp;gclid=CjwKCAiA3fnJBhAgEiwAyqmY5fGAID8MkRO2DUUmgqWCPWHmoHcvLtuIrB0gS73osPQuUudpSEj-fBoC2fQQAvD_BwE" TargetMode="External"/><Relationship Id="rId213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455" Type="http://schemas.openxmlformats.org/officeDocument/2006/relationships/hyperlink" Target="https://www.mercadolivre.com.br/porta-banner-220m-c-garras-pedestal-tripe-suporte-imediato/up/MLBU1722128537?pdp_filters=item_id%3AMLB2894595262&amp;from=gshop&amp;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664211941&amp;matt_product_id=MLBU1722128537&amp;matt_product_partition_id=2424443221566&amp;matt_target_id=pla-2424443221566&amp;cq_src=google_ads&amp;cq_cmp=22603531562&amp;cq_net=g&amp;cq_plt=gp&amp;cq_med=pla&amp;gad_source=1&amp;gad_campaignid=22603531562&amp;gbraid=0AAAAAD93qcArJO3CdyafCXtR-53X5HRzr&amp;gclid=Cj0KCQiA5I_NBhDVARIsAOrqIsbkuXiIn-My5AOPjCnPDW4vN8xZdfMfNn4wHBztgV7feVIvDuNEQxwaAu7-EALw_wcB" TargetMode="External"/><Relationship Id="rId697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212" Type="http://schemas.openxmlformats.org/officeDocument/2006/relationships/hyperlink" Target="https://www.mercadolivre.com.br/aparelho-de-laserterapia-laserpulse-ibramed-caneta-660nm/p/MLB25541136?pdp_filters=item_id:MLB3963725154&amp;matt_tool=85899518&amp;matt_internal_campaign_id=355767166&amp;matt_word=&amp;matt_source=google&amp;matt_campaign_id=23048606145&amp;matt_ad_group_id=192275015654&amp;matt_match_type=&amp;matt_network=g&amp;matt_device=c&amp;matt_creative=798133924056&amp;matt_keyword=&amp;matt_ad_position=&amp;matt_ad_type=pla&amp;matt_merchant_id=140102783&amp;matt_product_id=MLB3963725154&amp;matt_product_partition_id=2467965691093&amp;matt_target_id=pla-2467965691093&amp;cq_src=google_ads&amp;cq_cmp=23048606145&amp;cq_net=g&amp;cq_plt=gp&amp;cq_med=pla&amp;gad_source=1&amp;gad_campaignid=23048606145&amp;gbraid=0AAAAAD93qcAwntqnldEklhlYTxoFnKzzE&amp;gclid=Cj0KCQiA5I_NBhDVARIsAOrqIsb2-1c0Ld1YJ9_xq_vZxm4dVpimrvWbCBY40swtH5nnAz9N1lniEXEaAvmtEALw_wcB" TargetMode="External"/><Relationship Id="rId454" Type="http://schemas.openxmlformats.org/officeDocument/2006/relationships/hyperlink" Target="https://www.dell.com/pt-br/shop/cty/pdp/spd/poweredge-t160/pe_t160_18389?tfcid=31768715&amp;gacd=9687031-14067-5761040-273175705-0&amp;dgc=ST&amp;SA360CID=22726520047&amp;gclsrc=aw.ds&amp;&amp;gad_source=4&amp;gad_campaignid=22726520047&amp;gbraid=0AAAAACgzZXc2u3jbHjebK6sTAemk7pN71&amp;gclid=Cj0KCQiA5I_NBhDVARIsAOrqIsbyLiK709OCrwpajlG-L-55gKEretbyVlY7JxnF2CZ6sjL1a0dGa64aApxJEALw_wcB" TargetMode="External"/><Relationship Id="rId696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211" Type="http://schemas.openxmlformats.org/officeDocument/2006/relationships/hyperlink" Target="https://www.dormed.com.br/cadeira-de-rodas-aluminio-120kg-t48-d600-dellamed/p?idsku=18833&amp;utm_source=&amp;utm_medium=&amp;utm_campaign=&amp;utm_content=&amp;gad_source=4&amp;gad_campaignid=802491041&amp;gbraid=0AAAAADyu5AIngsJ5T1tCHRLYLXvVZxDVB&amp;gclid=Cj0KCQiA5I_NBhDVARIsAOrqIsY-XijpiX33V2DLGNtnN4KsFG6AhSbWxaJ2Wgp58YUXaPyFURRg0KAaAquQEALw_wcB" TargetMode="External"/><Relationship Id="rId453" Type="http://schemas.openxmlformats.org/officeDocument/2006/relationships/hyperlink" Target="https://www.amazon.com.br/Bancada-Balc%C3%A3o-Cozinha-Multim%C3%B3veis-Mp2144/dp/B0F1G5GB7V/ref=asc_df_B0F1G5GB7V?mcid=4f3a7049b15136cfa84cf19091fb5e2a&amp;tag=googleshopp00-20&amp;linkCode=df0&amp;hvadid=709968340942&amp;hvpos=&amp;hvnetw=g&amp;hvrand=14646033308021272122&amp;hvpone=&amp;hvptwo=&amp;hvqmt=&amp;hvdev=c&amp;hvdvcmdl=&amp;hvlocint=&amp;hvlocphy=9101878&amp;hvtargid=pla-2420898548059&amp;language=pt_BR&amp;gad_source=4&amp;th=1" TargetMode="External"/><Relationship Id="rId695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210" Type="http://schemas.openxmlformats.org/officeDocument/2006/relationships/hyperlink" Target="https://www.mercadolivre.com.br/compressor-de-ar-eletrico-portatil-motomil-cmo-850-br-50l-2hp/p/MLB15385365?pdp_filters=item_id%3AMLB3596312001&amp;from=gshop&amp;matt_tool=56938998&amp;matt_internal_campaign_id=&amp;matt_word=&amp;matt_source=google&amp;matt_campaign_id=22090193672&amp;matt_ad_group_id=174661944404&amp;matt_match_type=&amp;matt_network=g&amp;matt_device=c&amp;matt_creative=727914178234&amp;matt_keyword=&amp;matt_ad_position=&amp;matt_ad_type=pla&amp;matt_merchant_id=735125422&amp;matt_product_id=MLB15385365-product&amp;matt_product_partition_id=2417612878684&amp;matt_target_id=pla-2417612878684&amp;cq_src=google_ads&amp;cq_cmp=22090193672&amp;cq_net=g&amp;cq_plt=gp&amp;cq_med=pla&amp;gad_source=4&amp;gad_campaignid=22090193672&amp;gbraid=0AAAAAD93qcAi4CkWoxvMxprBim3WK1O_o&amp;gclid=CjwKCAiAxc_JBhA2EiwAFVs7XGTIVfABqf3d7tHVgKnjVu2qSyXukmNoPe_lbQBIhFbyR0veal9VLxoC6h4QAvD_BwE" TargetMode="External"/><Relationship Id="rId452" Type="http://schemas.openxmlformats.org/officeDocument/2006/relationships/hyperlink" Target="https://www.mercadolivre.com.br/rack-servidor-fechado-32u-x-870mm-piso-rackfort-padro-19-preto/p/MLB55945598?matt_tool=18956390&amp;utm_source=google_shopping&amp;utm_medium=organic&amp;pdp_filters=item_id%3AMLB5695773216&amp;from=gshop" TargetMode="External"/><Relationship Id="rId694" Type="http://schemas.openxmlformats.org/officeDocument/2006/relationships/hyperlink" Target="https://www.mercadolivre.com.br/cunha-posicionamento-50x50x30-ortopedia-fisioterapia/up/MLBU3079885559?pdp_filters=item_id:MLB5325977330&amp;matt_tool=79314260&amp;matt_internal_campaign_id=&amp;matt_word=&amp;matt_source=google&amp;matt_campaign_id=22090354076&amp;matt_ad_group_id=173090537276&amp;matt_match_type=&amp;matt_network=g&amp;matt_device=c&amp;matt_creative=727882727736&amp;matt_keyword=&amp;matt_ad_position=&amp;matt_ad_type=pla&amp;matt_merchant_id=282343370&amp;matt_product_id=MLB5325977330&amp;matt_product_partition_id=2388009203226&amp;matt_target_id=aud-1966857867496:pla-2388009203226&amp;cq_src=google_ads&amp;cq_cmp=22090354076&amp;cq_net=g&amp;cq_plt=gp&amp;cq_med=pla&amp;gad_source=4&amp;gad_campaignid=22090354076&amp;gbraid=0AAAAAD93qcA4lbE4fBMXxx5w9sMVHkdSV&amp;gclid=CjwKCAiA3fnJBhAgEiwAyqmY5TsO9wTgXbg9fYrwYamsiMVxtUTQd12rxwqMxAYN7OGosbrKFcynmxoCr_MQAvD_BwE" TargetMode="External"/><Relationship Id="rId491" Type="http://schemas.openxmlformats.org/officeDocument/2006/relationships/hyperlink" Target="https://www.amazon.com.br/Andador-Articulado-Dobr%C3%A1vel-Alum%C3%ADnio-Hidrolight/dp/B0CB1YTDHW/ref=asc_df_B0CB1YTDHW?mcid=da875f5d0e913f0b866b6e91a7b435c9&amp;tag=googleshopp00-20&amp;linkCode=df0&amp;hvadid=709857070047&amp;hvpos=&amp;hvnetw=g&amp;hvrand=7218879212329928136&amp;hvpone=&amp;hvptwo=&amp;hvqmt=&amp;hvdev=c&amp;hvdvcmdl=&amp;hvlocint=&amp;hvlocphy=1031867&amp;hvtargid=pla-2200207603106&amp;psc=1&amp;language=pt_BR&amp;gad_source=1" TargetMode="External"/><Relationship Id="rId490" Type="http://schemas.openxmlformats.org/officeDocument/2006/relationships/hyperlink" Target="https://www.amazon.com.br/Computador-i7-6600U-Alto-Falantes-Integrados-Teclado/dp/B0G52YJHL9/ref=asc_df_B0G52YJHL9?mcid=c30413eb42ad39b9aef6a4e60c398f7b&amp;tag=googleshopp00-20&amp;linkCode=df0&amp;hvadid=709884378172&amp;hvpos=&amp;hvnetw=g&amp;hvrand=16031713850516422216&amp;hvpone=&amp;hvptwo=&amp;hvqmt=&amp;hvdev=c&amp;hvdvcmdl=&amp;hvlocint=&amp;hvlocphy=9101878&amp;hvtargid=pla-2455107224566&amp;psc=1&amp;language=pt_BR&amp;gad_source=1" TargetMode="External"/><Relationship Id="rId249" Type="http://schemas.openxmlformats.org/officeDocument/2006/relationships/hyperlink" Target="https://www.mercadolivre.com.br/suporte-de-soro--aco-carbono/up/MLBU1466637607?matt_tool=18956390&amp;utm_source=google_shopping&amp;utm_medium=organic&amp;pdp_filters=item_id:MLB4362525096" TargetMode="External"/><Relationship Id="rId248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247" Type="http://schemas.openxmlformats.org/officeDocument/2006/relationships/hyperlink" Target="https://www.lojadomecanico.com.br/produto/77848/21/159/compressor-de-ar-odontologico-silencioso-1hp-5-pes-30l-220v-schulz-csd-530/153/?utm_source=google&amp;utm_medium=cpc&amp;utm_campaign=MONKS_GG_F_PMAX_Sazonal&amp;utm_content=Fim_de_semana_premiado&amp;utm_source=google&amp;utm_medium=cpc&amp;utm_campaign=MONKS_GG_F_PMAX_Sazonal&amp;utm_content=Fim_de_semana_premiado&amp;gad_source=4&amp;gad_campaignid=21470818203&amp;gbraid=0AAAAADsnw5b4VbrMXWKiRUBdYPr6DB39s&amp;gclid=CjwKCAiAxc_JBhA2EiwAFVs7XGlEYoautenZE5VgPZ9dVeMMUCUmSXJIaBGe3Pr6Qfgqma_Q-x_F-hoCtAgQAvD_BwE" TargetMode="External"/><Relationship Id="rId489" Type="http://schemas.openxmlformats.org/officeDocument/2006/relationships/hyperlink" Target="https://www.amazon.com.br/Computador-i7-6600U-Alto-Falantes-Integrados-Teclado/dp/B0G52YJHL9/ref=asc_df_B0G52YJHL9?mcid=c30413eb42ad39b9aef6a4e60c398f7b&amp;tag=googleshopp00-20&amp;linkCode=df0&amp;hvadid=709884378172&amp;hvpos=&amp;hvnetw=g&amp;hvrand=16031713850516422216&amp;hvpone=&amp;hvptwo=&amp;hvqmt=&amp;hvdev=c&amp;hvdvcmdl=&amp;hvlocint=&amp;hvlocphy=9101878&amp;hvtargid=pla-2455107224566&amp;psc=1&amp;language=pt_BR&amp;gad_source=1" TargetMode="External"/><Relationship Id="rId242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484" Type="http://schemas.openxmlformats.org/officeDocument/2006/relationships/hyperlink" Target="https://www.dormed.com.br/cadeira-de-rodas-aco-120kg-t48-d400-dellamed/p?idsku=18828&amp;utm_source=&amp;utm_medium=&amp;utm_campaign=&amp;utm_content=&amp;gad_source=1&amp;gad_campaignid=802491041&amp;gbraid=0AAAAADyu5AI2Kq6tEqcaeV98ewXvDGTv-&amp;gclid=Cj0KCQiA5I_NBhDVARIsAOrqIsY9hJCypIVCN56C1HXWGD1rB4d77grN7Pg7omsps5MwJ0T8V4Vf1BgaAu1tEALw_wcB" TargetMode="External"/><Relationship Id="rId241" Type="http://schemas.openxmlformats.org/officeDocument/2006/relationships/hyperlink" Target="https://www.dentalstilo.com.br/seladora-odontologica-selamaxx-vh-bivolt-c-guilhotina?srsltid=AfmBOop-USxGNHTXh1fxmIO3SGggVcZf7dGhQfbsB3Lh25jAqOLvh6tAyi0" TargetMode="External"/><Relationship Id="rId483" Type="http://schemas.openxmlformats.org/officeDocument/2006/relationships/hyperlink" Target="https://produto.mercadolivre.com.br/MLB-4600764984-cadeira-de-banho-higienica-aluminio-dobravel-140kg-supermedy-_JM" TargetMode="External"/><Relationship Id="rId240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482" Type="http://schemas.openxmlformats.org/officeDocument/2006/relationships/hyperlink" Target="https://www.amazon.com.br/Cadeira-Ergoplax-Secret%C3%A1ria-Preta-Plaxmetal/dp/B0C5Z5JWSR/ref=asc_df_B0C5Z5JWSR?mcid=3e09602d317b3ed2b57db80c2b9e1e38&amp;tag=googleshopp00-20&amp;linkCode=df0&amp;hvadid=724150830217&amp;hvpos=&amp;hvnetw=g&amp;hvrand=4158650650198930877&amp;hvpone=&amp;hvptwo=&amp;hvqmt=&amp;hvdev=c&amp;hvdvcmdl=&amp;hvlocint=&amp;hvlocphy=9101878&amp;hvtargid=pla-2423903872554&amp;psc=1&amp;language=pt_BR&amp;gad_source=1" TargetMode="External"/><Relationship Id="rId481" Type="http://schemas.openxmlformats.org/officeDocument/2006/relationships/hyperlink" Target="https://www.amazon.com.br/Cadeira-Ergoplax-Secret%C3%A1ria-Preta-Plaxmetal/dp/B0C5Z5JWSR/ref=asc_df_B0C5Z5JWSR?mcid=3e09602d317b3ed2b57db80c2b9e1e38&amp;tag=googleshopp00-20&amp;linkCode=df0&amp;hvadid=724150830217&amp;hvpos=&amp;hvnetw=g&amp;hvrand=4158650650198930877&amp;hvpone=&amp;hvptwo=&amp;hvqmt=&amp;hvdev=c&amp;hvdvcmdl=&amp;hvlocint=&amp;hvlocphy=9101878&amp;hvtargid=pla-2423903872554&amp;psc=1&amp;language=pt_BR&amp;gad_source=1" TargetMode="External"/><Relationship Id="rId246" Type="http://schemas.openxmlformats.org/officeDocument/2006/relationships/hyperlink" Target="https://www.mercadolivre.com.br/camara-escura-branca-com-iluminacao-gold-line-vh/up/MLBU1116939201" TargetMode="External"/><Relationship Id="rId488" Type="http://schemas.openxmlformats.org/officeDocument/2006/relationships/hyperlink" Target="https://www.amazon.com.br/Computador-i7-6600U-Alto-Falantes-Integrados-Teclado/dp/B0G52YJHL9/ref=asc_df_B0G52YJHL9?mcid=c30413eb42ad39b9aef6a4e60c398f7b&amp;tag=googleshopp00-20&amp;linkCode=df0&amp;hvadid=709884378172&amp;hvpos=&amp;hvnetw=g&amp;hvrand=16031713850516422216&amp;hvpone=&amp;hvptwo=&amp;hvqmt=&amp;hvdev=c&amp;hvdvcmdl=&amp;hvlocint=&amp;hvlocphy=9101878&amp;hvtargid=pla-2455107224566&amp;psc=1&amp;language=pt_BR&amp;gad_source=1" TargetMode="External"/><Relationship Id="rId245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487" Type="http://schemas.openxmlformats.org/officeDocument/2006/relationships/hyperlink" Target="https://www.mercadolivre.com.br/computador-all-in-one-i5-8gb-ram-ssd-240gb-tela-215-full-hd/up/MLBU3554218175?pdp_filters=item_id%3AMLB5930250716&amp;from=gshop&amp;matt_tool=91562990&amp;matt_internal_campaign_id=&amp;matt_word=&amp;matt_source=google&amp;matt_campaign_id=22090193891&amp;matt_ad_group_id=180228882944&amp;matt_match_type=&amp;matt_network=g&amp;matt_device=c&amp;matt_creative=728942946675&amp;matt_keyword=&amp;matt_ad_position=&amp;matt_ad_type=pla&amp;matt_merchant_id=5387182833&amp;matt_product_id=MLBU3554218175&amp;matt_product_partition_id=2389840739499&amp;matt_target_id=pla-2389840739499&amp;cq_src=google_ads&amp;cq_cmp=22090193891&amp;cq_net=g&amp;cq_plt=gp&amp;cq_med=pla&amp;gad_source=1&amp;gad_campaignid=22090193891&amp;gbraid=0AAAAAD93qcDowZhjpiHe3AXzQR2o262ZK&amp;gclid=Cj0KCQiA5I_NBhDVARIsAOrqIsZ_6G8mktj8NWfR3Gxq6fIJYshnraksjynC_rr6cNKCu0EVblMcC5caAkMaEALw_wcB" TargetMode="External"/><Relationship Id="rId244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486" Type="http://schemas.openxmlformats.org/officeDocument/2006/relationships/hyperlink" Target="https://www.amazon.com.br/Computador-i7-6600U-Alto-Falantes-Integrados-Teclado/dp/B0G52YJHL9/ref=asc_df_B0G52YJHL9?mcid=c30413eb42ad39b9aef6a4e60c398f7b&amp;tag=googleshopp00-20&amp;linkCode=df0&amp;hvadid=709884378172&amp;hvpos=&amp;hvnetw=g&amp;hvrand=16031713850516422216&amp;hvpone=&amp;hvptwo=&amp;hvqmt=&amp;hvdev=c&amp;hvdvcmdl=&amp;hvlocint=&amp;hvlocphy=9101878&amp;hvtargid=pla-2455107224566&amp;psc=1&amp;language=pt_BR&amp;gad_source=1" TargetMode="External"/><Relationship Id="rId243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485" Type="http://schemas.openxmlformats.org/officeDocument/2006/relationships/hyperlink" Target="https://www.mercadolivre.com.br/frigobar-electrolux-121l-efficient-com-controle-de-temperatura-cor-branca-em120-110v/p/MLB35176641?pdp_filters=item_id%3AMLB3677891225&amp;from=gshop&amp;matt_tool=44882740&amp;matt_internal_campaign_id=&amp;matt_word=&amp;matt_source=google&amp;matt_campaign_id=22090193750&amp;matt_ad_group_id=194474625314&amp;matt_match_type=&amp;matt_network=g&amp;matt_device=c&amp;matt_creative=792355615605&amp;matt_keyword=&amp;matt_ad_position=&amp;matt_ad_type=pla&amp;matt_merchant_id=735098660&amp;matt_product_id=MLB35176641-product&amp;matt_product_partition_id=2454863168848&amp;matt_target_id=pla-2454863168848&amp;cq_src=google_ads&amp;cq_cmp=22090193750&amp;cq_net=g&amp;cq_plt=gp&amp;cq_med=pla&amp;gad_source=1&amp;gad_campaignid=22090193750&amp;gbraid=0AAAAAD93qcCiCkJgTjbWYwi-6MhVRuoGU&amp;gclid=Cj0KCQiA5I_NBhDVARIsAOrqIsboH3obCaLLV0sE9Mrkcr5zaO8YavzhTeANXIe1cQZ0YQHoLEClF54aAg_eEALw_wcB" TargetMode="External"/><Relationship Id="rId480" Type="http://schemas.openxmlformats.org/officeDocument/2006/relationships/hyperlink" Target="https://www.amazon.com.br/Cadeira-Ergoplax-Secret%C3%A1ria-Preta-Plaxmetal/dp/B0C5Z5JWSR/ref=asc_df_B0C5Z5JWSR?mcid=3e09602d317b3ed2b57db80c2b9e1e38&amp;tag=googleshopp00-20&amp;linkCode=df0&amp;hvadid=724150830217&amp;hvpos=&amp;hvnetw=g&amp;hvrand=4158650650198930877&amp;hvpone=&amp;hvptwo=&amp;hvqmt=&amp;hvdev=c&amp;hvdvcmdl=&amp;hvlocint=&amp;hvlocphy=9101878&amp;hvtargid=pla-2423903872554&amp;psc=1&amp;language=pt_BR&amp;gad_source=1" TargetMode="External"/><Relationship Id="rId239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238" Type="http://schemas.openxmlformats.org/officeDocument/2006/relationships/hyperlink" Target="https://www.mercadolivre.com.br/mesa-auxiliar-carrinho-arktus-tipo-z-c-3-prateleiras/p/MLB28334254?matt_tool=18956390&amp;utm_source=google_shopping&amp;utm_medium=organic&amp;pdp_filters=item_id%3AMLB4239945372&amp;from=gshop" TargetMode="External"/><Relationship Id="rId237" Type="http://schemas.openxmlformats.org/officeDocument/2006/relationships/hyperlink" Target="https://www.mercadolivre.com.br/smart-sport-massageador-automatico-smart-gr/p/MLB26343328?pdp_filters=item_id%3AMLB4333944859&amp;from=gshop&amp;matt_tool=35397717&amp;matt_internal_campaign_id=&amp;matt_word=&amp;matt_source=google&amp;matt_campaign_id=22090354487&amp;matt_ad_group_id=197094213091&amp;matt_match_type=&amp;matt_network=g&amp;matt_device=c&amp;matt_creative=792396419722&amp;matt_keyword=&amp;matt_ad_position=&amp;matt_ad_type=pla&amp;matt_merchant_id=735125422&amp;matt_product_id=MLB26343328-product&amp;matt_product_partition_id=2509827002327&amp;matt_target_id=pla-2509827002327&amp;cq_src=google_ads&amp;cq_cmp=22090354487&amp;cq_net=g&amp;cq_plt=gp&amp;cq_med=pla&amp;gad_source=1&amp;gad_campaignid=22090354487&amp;gbraid=0AAAAAD93qcD-_ZCOJK6DVi71HU_uX_XYR&amp;gclid=Cj0KCQiA5I_NBhDVARIsAOrqIsY4eZPGcjkSqOW3Y_SrNHi8erFnZFN302DyUB5GFvlxpjEYl7YM_gsaAqcXEALw_wcB" TargetMode="External"/><Relationship Id="rId479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236" Type="http://schemas.openxmlformats.org/officeDocument/2006/relationships/hyperlink" Target="https://www.amazon.com.br/Neurodyn-TENS-Burst-Ibramed-Eletrodos/dp/B0BZ22VL7J/ref=asc_df_B0BZ22VL7J?mcid=0987714d132236c5b1e82b0aa0de6a68&amp;tag=googleshopp00-20&amp;linkCode=df0&amp;hvadid=709857204945&amp;hvpos=&amp;hvnetw=g&amp;hvrand=13020077084912439317&amp;hvpone=&amp;hvptwo=&amp;hvqmt=&amp;hvdev=c&amp;hvdvcmdl=&amp;hvlocint=&amp;hvlocphy=1031867&amp;hvtargid=pla-2204973041701&amp;psc=1&amp;language=pt_BR&amp;gad_source=1" TargetMode="External"/><Relationship Id="rId478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231" Type="http://schemas.openxmlformats.org/officeDocument/2006/relationships/hyperlink" Target="https://www.mercadolivre.com.br/banqueta-mocho-elidy-home-decor-madeira-compensada-preto-metal-cromado-giratoria/p/MLB57322028?pdp_filters=item_id%3AMLB5729396226&amp;from=gshop&amp;matt_tool=41970894&amp;matt_internal_campaign_id=&amp;matt_word=&amp;matt_source=google&amp;matt_campaign_id=22090193723&amp;matt_ad_group_id=194474622434&amp;matt_match_type=&amp;matt_network=g&amp;matt_device=c&amp;matt_creative=792355615185&amp;matt_keyword=&amp;matt_ad_position=&amp;matt_ad_type=pla&amp;matt_merchant_id=735128188&amp;matt_product_id=MLB57322028-product&amp;matt_product_partition_id=2452780200382&amp;matt_target_id=pla-2452780200382&amp;cq_src=google_ads&amp;cq_cmp=22090193723&amp;cq_net=g&amp;cq_plt=gp&amp;cq_med=pla&amp;gad_source=1&amp;gad_campaignid=22090193723&amp;gbraid=0AAAAAD93qcB3aLVJmh18QOzL1XIfoTAnD&amp;gclid=Cj0KCQiA5I_NBhDVARIsAOrqIsb4aIcnahTqtmLKc4vEfZbuJwKfACde7yvijh7q6O2I4czppKBZ1fMaAhwpEALw_wcB" TargetMode="External"/><Relationship Id="rId473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230" Type="http://schemas.openxmlformats.org/officeDocument/2006/relationships/hyperlink" Target="https://www.mercadolivre.com.br/maca-fixa-em-madeira-para-massagem-com-orificio-facial-cor-preto/p/MLB24231658?pdp_filters=item_id%3AMLB3829266970&amp;from=gshop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735098660&amp;matt_product_id=MLB24231658-product&amp;matt_product_partition_id=2392431398095&amp;matt_target_id=aud-1967156880386:pla-2392431398095&amp;cq_src=google_ads&amp;cq_cmp=22120855434&amp;cq_net=g&amp;cq_plt=gp&amp;cq_med=pla&amp;gad_source=4&amp;gad_campaignid=22120855434&amp;gbraid=0AAAAAD93qcCDi43ojZ7xYCd1jZM5elpon&amp;gclid=Cj0KCQiAi9rJBhCYARIsALyPDtvLXMAhh5TXsJ6VG7nx7KIiS8n_vd97lbP5MdQ1AzeZNzrFflvAutwaAh2lEALw_wcB" TargetMode="External"/><Relationship Id="rId472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471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470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235" Type="http://schemas.openxmlformats.org/officeDocument/2006/relationships/hyperlink" Target="https://www.mercadolivre.com.br/purificador-de-agua-everest-slim-branco/p/MLB22762190?pdp_filters=item_id%3AMLB5259304818&amp;from=gshop&amp;matt_tool=13891073&amp;matt_internal_campaign_id=&amp;matt_word=&amp;matt_source=google&amp;matt_campaign_id=22090193717&amp;matt_ad_group_id=174661961924&amp;matt_match_type=&amp;matt_network=g&amp;matt_device=c&amp;matt_creative=727914179479&amp;matt_keyword=&amp;matt_ad_position=&amp;matt_ad_type=pla&amp;matt_merchant_id=735128188&amp;matt_product_id=MLB22762190-product&amp;matt_product_partition_id=2388289386841&amp;matt_target_id=aud-1966857867496:pla-2388289386841&amp;cq_src=google_ads&amp;cq_cmp=22090193717&amp;cq_net=g&amp;cq_plt=gp&amp;cq_med=pla&amp;gad_source=4&amp;gad_campaignid=22090193717&amp;gbraid=0AAAAAD93qcDmMRRo7lU4NCcxPD4INrrk0&amp;gclid=CjwKCAiA3fnJBhAgEiwAyqmY5X0E2LD4LSx1VSYMCEqq3IneH8uFDejGYdn0KHj920D3Yn5UPEEQKxoC3UoQAvD_BwE" TargetMode="External"/><Relationship Id="rId477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234" Type="http://schemas.openxmlformats.org/officeDocument/2006/relationships/hyperlink" Target="https://www.mercadolivre.com.br/rampa-de-alongamento-de-panturrilha-para-fisioterapia/p/MLB27780832?pdp_filters=item_id%3AMLB3714595181&amp;from=gshop&amp;matt_tool=63319127&amp;matt_internal_campaign_id=&amp;matt_word=&amp;matt_source=google&amp;matt_campaign_id=22090193885&amp;matt_ad_group_id=174661972044&amp;matt_match_type=&amp;matt_network=g&amp;matt_device=c&amp;matt_creative=727914180208&amp;matt_keyword=&amp;matt_ad_position=&amp;matt_ad_type=pla&amp;matt_merchant_id=735128761&amp;matt_product_id=MLB27780832-product&amp;matt_product_partition_id=2387641794606&amp;matt_target_id=aud-1966857867496:pla-2387641794606&amp;cq_src=google_ads&amp;cq_cmp=22090193885&amp;cq_net=g&amp;cq_plt=gp&amp;cq_med=pla&amp;gad_source=4&amp;gad_campaignid=22090193885&amp;gbraid=0AAAAAD93qcA-BVeMhc6Hp34UIalcTGQQI&amp;gclid=CjwKCAiA3fnJBhAgEiwAyqmY5ep6_ZT0k-WqIipbjqqVbAqmeFKinjXekHNWuwgIZQCX3xg5xk14uRoCfCMQAvD_BwE" TargetMode="External"/><Relationship Id="rId476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233" Type="http://schemas.openxmlformats.org/officeDocument/2006/relationships/hyperlink" Target="https://www.mercadolivre.com.br/camara-escura-branca-com-iluminacao-gold-line-vh/up/MLBU1116939201" TargetMode="External"/><Relationship Id="rId475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232" Type="http://schemas.openxmlformats.org/officeDocument/2006/relationships/hyperlink" Target="https://www.mercadolivre.com.br/banqueta-mocho-elidy-home-decor-madeira-compensada-preto-metal-cromado-giratoria/p/MLB57322028?pdp_filters=item_id%3AMLB5729396226&amp;from=gshop&amp;matt_tool=41970894&amp;matt_internal_campaign_id=&amp;matt_word=&amp;matt_source=google&amp;matt_campaign_id=22090193723&amp;matt_ad_group_id=194474622434&amp;matt_match_type=&amp;matt_network=g&amp;matt_device=c&amp;matt_creative=792355615185&amp;matt_keyword=&amp;matt_ad_position=&amp;matt_ad_type=pla&amp;matt_merchant_id=735128188&amp;matt_product_id=MLB57322028-product&amp;matt_product_partition_id=2452780200382&amp;matt_target_id=pla-2452780200382&amp;cq_src=google_ads&amp;cq_cmp=22090193723&amp;cq_net=g&amp;cq_plt=gp&amp;cq_med=pla&amp;gad_source=1&amp;gad_campaignid=22090193723&amp;gbraid=0AAAAAD93qcB3aLVJmh18QOzL1XIfoTAnD&amp;gclid=Cj0KCQiA5I_NBhDVARIsAOrqIsb4aIcnahTqtmLKc4vEfZbuJwKfACde7yvijh7q6O2I4czppKBZ1fMaAhwpEALw_wcB" TargetMode="External"/><Relationship Id="rId474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426" Type="http://schemas.openxmlformats.org/officeDocument/2006/relationships/hyperlink" Target="https://www.mercadolivre.com.br/cadeira-secretaria-estofada-em-preto-confortavel-zy033b/up/MLBU3505414473" TargetMode="External"/><Relationship Id="rId668" Type="http://schemas.openxmlformats.org/officeDocument/2006/relationships/hyperlink" Target="https://produto.mercadolivre.com.br/MLB-3359002493-cadeira-diretor-em-s-com-braco-auditorio-sala-espera-reunio-_JM?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&amp;matt_merchant_id=5574353484&amp;matt_product_id=MLB3359002493&amp;matt_product_partition_id=2388009794866&amp;matt_target_id=aud-1967156880386:pla-2388009794866&amp;cq_src=google_ads&amp;cq_cmp=22090354064&amp;cq_net=g&amp;cq_plt=gp&amp;cq_med=pla&amp;gad_source=4&amp;gad_campaignid=22090354064&amp;gbraid=0AAAAAD93qcAAcd_O6555Xm2jGCBHA0SBZ&amp;gclid=Cj0KCQiAuvTJBhCwARIsAL6DemgxnvYYgV5w3hOAJXOxqWFNyuUUEp_JLWZyTg2VavQkmYCCYnc6e5gaAprsEALw_wcB" TargetMode="External"/><Relationship Id="rId425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667" Type="http://schemas.openxmlformats.org/officeDocument/2006/relationships/hyperlink" Target="https://www.mercadolivre.com.br/mesa-escritorio-escrivaninha-150x60-tampo-de-40-mm-2-gaveta/up/MLBU3266379869?pdp_filters=item_id:MLB5471924390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_with_promotion&amp;matt_merchant_id=138294755&amp;matt_product_id=MLB5471924390&amp;matt_product_partition_id=2388009794866&amp;matt_target_id=aud-1967156880386:pla-2388009794866&amp;cq_src=google_ads&amp;cq_cmp=22090354064&amp;cq_net=g&amp;cq_plt=gp&amp;cq_med=pla_with_promotion&amp;gad_source=1&amp;gad_campaignid=22090354064&amp;gbraid=0AAAAAD93qcBuzXCuFv0LWRfgdRIHTKpmj&amp;gclid=Cj0KCQiAuvTJBhCwARIsAL6Demh7XpQv1dCc9du5jPWWhkX7HgfcdcwRQCGHzZK0lF-T1Wr3xCFB_OsaAp_HEALw_wcB" TargetMode="External"/><Relationship Id="rId424" Type="http://schemas.openxmlformats.org/officeDocument/2006/relationships/hyperlink" Target="https://produto.mercadolivre.com.br/MLB-3692234345-suporte-para-impressora-com-rodinhas-e-gaveta-em-mdf-_JM?matt_tool=56885173&amp;matt_internal_campaign_id=&amp;matt_word=&amp;matt_source=google&amp;matt_campaign_id=22090354256&amp;matt_ad_group_id=173090556396&amp;matt_match_type=&amp;matt_network=g&amp;matt_device=c&amp;matt_creative=727882729371&amp;matt_keyword=&amp;matt_ad_position=&amp;matt_ad_type=pla&amp;matt_merchant_id=118369991&amp;matt_product_id=MLB3692234345&amp;matt_product_partition_id=2390058779960&amp;matt_target_id=pla-2390058779960&amp;cq_src=google_ads&amp;cq_cmp=22090354256&amp;cq_net=g&amp;cq_plt=gp&amp;cq_med=pla&amp;gad_source=4&amp;gad_campaignid=22090354256&amp;gbraid=0AAAAAD93qcB0hdUDaKMMLuc9g0AiDafWt&amp;gclid=Cj0KCQiA5I_NBhDVARIsAOrqIsb-DNaEvOk8DUoKCSGDEK9zGaomnu8ADwn-ieLHqNMkBRZDbLBXbVsaAkT9EALw_wcB" TargetMode="External"/><Relationship Id="rId666" Type="http://schemas.openxmlformats.org/officeDocument/2006/relationships/hyperlink" Target="https://www.magazineluiza.com.br/gaveteiro-volante-04-gav-067046040m-cor-cinza-incoflex-21210/p/ja8ddek0j8/mo/gvto/?&amp;seller_id=moveismaraba&amp;utm_source=google&amp;utm_medium=cpc&amp;utm_term=83231&amp;utm_campaign=google_eco_per_ven_pla_all_sor_3p_core&amp;utm_content=&amp;partner_id=83231&amp;gclsrc=aw.ds&amp;gad_source=1&amp;gad_campaignid=23346188393&amp;gbraid=0AAAAAD4zZmSfYN5cluBkpQiVSj7sBuiHB&amp;gclid=Cj0KCQiAuvTJBhCwARIsAL6DemgIUonA2JbOn8uHqb84tsxrNK90wDTOmYluZXTwKjhEYLUafn1oWS4aAttNEALw_wcB" TargetMode="External"/><Relationship Id="rId423" Type="http://schemas.openxmlformats.org/officeDocument/2006/relationships/hyperlink" Target="https://www.mercadolivre.com.br/cadeira-secretaria-estofada-em-preto-confortavel-zy033b/up/MLBU3505414473" TargetMode="External"/><Relationship Id="rId665" Type="http://schemas.openxmlformats.org/officeDocument/2006/relationships/hyperlink" Target="https://www.leroymerlin.com.br/gabinete-armario-de-banheiro-com-pia-cuba-espelho-ana-mgm_1571386542?region=outros" TargetMode="External"/><Relationship Id="rId429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428" Type="http://schemas.openxmlformats.org/officeDocument/2006/relationships/hyperlink" Target="https://produto.mercadolivre.com.br/MLB-3692234345-suporte-para-impressora-com-rodinhas-e-gaveta-em-mdf-_JM?matt_tool=56885173&amp;matt_internal_campaign_id=&amp;matt_word=&amp;matt_source=google&amp;matt_campaign_id=22090354256&amp;matt_ad_group_id=173090556396&amp;matt_match_type=&amp;matt_network=g&amp;matt_device=c&amp;matt_creative=727882729371&amp;matt_keyword=&amp;matt_ad_position=&amp;matt_ad_type=pla&amp;matt_merchant_id=118369991&amp;matt_product_id=MLB3692234345&amp;matt_product_partition_id=2390058779960&amp;matt_target_id=pla-2390058779960&amp;cq_src=google_ads&amp;cq_cmp=22090354256&amp;cq_net=g&amp;cq_plt=gp&amp;cq_med=pla&amp;gad_source=4&amp;gad_campaignid=22090354256&amp;gbraid=0AAAAAD93qcB0hdUDaKMMLuc9g0AiDafWt&amp;gclid=Cj0KCQiA5I_NBhDVARIsAOrqIsb-DNaEvOk8DUoKCSGDEK9zGaomnu8ADwn-ieLHqNMkBRZDbLBXbVsaAkT9EALw_wcB" TargetMode="External"/><Relationship Id="rId427" Type="http://schemas.openxmlformats.org/officeDocument/2006/relationships/hyperlink" Target="https://www.mercadolivre.com.br/cadeira-escritorio-confortavel-giratoria-e-ajustavel/up/MLBU3186270209?pdp_filters=item_id%3AMLB5399152262&amp;from=gshop&amp;matt_tool=63319127&amp;matt_internal_campaign_id=&amp;matt_word=&amp;matt_source=google&amp;matt_campaign_id=22090193885&amp;matt_ad_group_id=194474628154&amp;matt_match_type=&amp;matt_network=g&amp;matt_device=c&amp;matt_creative=792355615812&amp;matt_keyword=&amp;matt_ad_position=&amp;matt_ad_type=pla&amp;matt_merchant_id=676140061&amp;matt_product_id=MLBU3186270209&amp;matt_product_partition_id=2455743150865&amp;matt_target_id=pla-2455743150865&amp;cq_src=google_ads&amp;cq_cmp=22090193885&amp;cq_net=g&amp;cq_plt=gp&amp;cq_med=pla&amp;gad_source=4&amp;gad_campaignid=22090193885&amp;gbraid=0AAAAAD93qcC91Xt4arBaPabv0DuOfBHDu&amp;gclid=Cj0KCQiA5I_NBhDVARIsAOrqIsYaQQAQHLxxhFMocj9K0Zn59i_623wpDXb7jgZwQfmW_8mHrYiYkjcaAphiEALw_wcB" TargetMode="External"/><Relationship Id="rId669" Type="http://schemas.openxmlformats.org/officeDocument/2006/relationships/hyperlink" Target="https://www.mercadolivre.com.br/poltrona-2-lugares-venus-braco-aluminio-suede-preto/up/MLBU1449352361?pdp_filters=item_id:MLB3541413353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5679898833&amp;matt_product_id=MLB3541413353&amp;matt_product_partition_id=2392431398095&amp;matt_target_id=aud-1966857867496:pla-2392431398095&amp;cq_src=google_ads&amp;cq_cmp=22120855434&amp;cq_net=g&amp;cq_plt=gp&amp;cq_med=pla&amp;gad_source=1&amp;gad_campaignid=22120855434&amp;gbraid=0AAAAAD93qcBWY0j8mDIriCsR8EzvUHziL&amp;gclid=Cj0KCQiAuvTJBhCwARIsAL6DemgaZr9Mo9SDod4oMXLN6uviPNKFi7qIflQvq4wktOf11ZF9SkmMixgaArP_EALw_wcB" TargetMode="External"/><Relationship Id="rId660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422" Type="http://schemas.openxmlformats.org/officeDocument/2006/relationships/hyperlink" Target="https://www.mercadolivre.com.br/cadeira-escritorio-confortavel-giratoria-e-ajustavel/up/MLBU3186270209?pdp_filters=item_id%3AMLB5399152262&amp;from=gshop&amp;matt_tool=63319127&amp;matt_internal_campaign_id=&amp;matt_word=&amp;matt_source=google&amp;matt_campaign_id=22090193885&amp;matt_ad_group_id=194474628154&amp;matt_match_type=&amp;matt_network=g&amp;matt_device=c&amp;matt_creative=792355615812&amp;matt_keyword=&amp;matt_ad_position=&amp;matt_ad_type=pla&amp;matt_merchant_id=676140061&amp;matt_product_id=MLBU3186270209&amp;matt_product_partition_id=2455743150865&amp;matt_target_id=pla-2455743150865&amp;cq_src=google_ads&amp;cq_cmp=22090193885&amp;cq_net=g&amp;cq_plt=gp&amp;cq_med=pla&amp;gad_source=4&amp;gad_campaignid=22090193885&amp;gbraid=0AAAAAD93qcC91Xt4arBaPabv0DuOfBHDu&amp;gclid=Cj0KCQiA5I_NBhDVARIsAOrqIsYaQQAQHLxxhFMocj9K0Zn59i_623wpDXb7jgZwQfmW_8mHrYiYkjcaAphiEALw_wcB" TargetMode="External"/><Relationship Id="rId664" Type="http://schemas.openxmlformats.org/officeDocument/2006/relationships/hyperlink" Target="https://www.tokstok.com.br/cadeira-home-office-preto-preto-inmesh/p?idsku=393832&amp;srsltid=AfmBOorJY2J5NkKA1Uj_cnd_Re4oCGPcsU69Ug7u0B-rGPU9KZklFOmoKGc&amp;region_id=000003" TargetMode="External"/><Relationship Id="rId421" Type="http://schemas.openxmlformats.org/officeDocument/2006/relationships/hyperlink" Target="https://www.mercadolivre.com.br/cadeira-iso-rp-longarina-polipropileno-2-lugares-preta/up/MLBU1160649238?pdp_filters=item_id%3AMLB4094878576&amp;from=gshop&amp;matt_tool=40300352&amp;matt_internal_campaign_id=&amp;matt_word=&amp;matt_source=google&amp;matt_campaign_id=22090354013&amp;matt_ad_group_id=195616607208&amp;matt_match_type=&amp;matt_network=g&amp;matt_device=c&amp;matt_creative=787871502239&amp;matt_keyword=&amp;matt_ad_position=&amp;matt_ad_type=pla&amp;matt_merchant_id=5689833445&amp;matt_product_id=MLBU1160649238&amp;matt_product_partition_id=2455355912855&amp;matt_target_id=pla-2455355912855&amp;cq_src=google_ads&amp;cq_cmp=22090354013&amp;cq_net=g&amp;cq_plt=gp&amp;cq_med=pla&amp;gad_source=1&amp;gad_campaignid=22090354013&amp;gbraid=0AAAAAD93qcC0f46ogM1OezHXPsw1DpRqk&amp;gclid=Cj0KCQiA5I_NBhDVARIsAOrqIsbKNoW8Ao4utvOmJo2zaApPBO9282H6BSbjLCjKj0geEV9jrq0oJvgaAiAUEALw_wcB" TargetMode="External"/><Relationship Id="rId663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420" Type="http://schemas.openxmlformats.org/officeDocument/2006/relationships/hyperlink" Target="https://www.mercadolivre.com.br/cadeira-secretaria-estofada-em-preto-confortavel-zy033b/up/MLBU3505414473" TargetMode="External"/><Relationship Id="rId662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661" Type="http://schemas.openxmlformats.org/officeDocument/2006/relationships/hyperlink" Target="https://www.dentalmedsul.com.br/micromotor-500---kavo/p?idsku=15369&amp;srsltid=AfmBOooazl-3J0O9tTAlX-Gwb_dYPB8EGEH4u0AVlF5xF-5ujZHQus1Eci0" TargetMode="External"/><Relationship Id="rId415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657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899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414" Type="http://schemas.openxmlformats.org/officeDocument/2006/relationships/hyperlink" Target="https://www.mercadolivre.com.br/cadeira-secretaria-estofada-em-preto-confortavel-zy033b/up/MLBU3505414473" TargetMode="External"/><Relationship Id="rId656" Type="http://schemas.openxmlformats.org/officeDocument/2006/relationships/hyperlink" Target="https://www.dentalstilo.com.br/seladora-odontologica-selamaxx-vh-bivolt-c-guilhotina?srsltid=AfmBOop-USxGNHTXh1fxmIO3SGggVcZf7dGhQfbsB3Lh25jAqOLvh6tAyi0" TargetMode="External"/><Relationship Id="rId898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" TargetMode="External"/><Relationship Id="rId413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65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897" Type="http://schemas.openxmlformats.org/officeDocument/2006/relationships/hyperlink" Target="https://www.mercadolivre.com.br/fotopolimerizador-clareador-emitter-a-fit-sem-fio-schuster/p/MLB26398123?pdp_filters=item_id%3AMLB4746198962&amp;from=gshop&amp;matt_tool=79314260&amp;matt_internal_campaign_id=&amp;matt_word=&amp;matt_source=google&amp;matt_campaign_id=22090354076&amp;matt_ad_group_id=173090536756&amp;matt_match_type=&amp;matt_network=g&amp;matt_device=c&amp;matt_creative=727882727715&amp;matt_keyword=&amp;matt_ad_position=&amp;matt_ad_type=pla&amp;matt_merchant_id=735128188&amp;matt_product_id=MLB26398123-product&amp;matt_product_partition_id=2389561187250&amp;matt_target_id=aud-1966857867496:pla-2389561187250&amp;cq_src=google_ads&amp;cq_cmp=22090354076&amp;cq_net=g&amp;cq_plt=gp&amp;cq_med=pla&amp;gad_source=4&amp;gad_campaignid=22090354076&amp;gbraid=0AAAAAD93qcAemjzIZPxV0-a9cXQBaEWFQ&amp;gclid=CjwKCAiAxc_JBhA2EiwAFVs7XFlqnc_rkEm0gEvawKPt4lq7ujklz-aLfmpPo8iLki8WcDzbqmfM1hoCR_gQAvD_BwE" TargetMode="External"/><Relationship Id="rId412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654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896" Type="http://schemas.openxmlformats.org/officeDocument/2006/relationships/hyperlink" Target="https://www.amazon.com.br/Estabilizador-Revolution-Speedy300S-SMS-16520/dp/B0755K3ZNZ/ref=asc_df_B0755K3ZNZ?mcid=1e12a1f459893318a9a77f1c075824f5&amp;tag=googleshopp00-20&amp;linkCode=df0&amp;hvadid=709884378157&amp;hvpos=&amp;hvnetw=g&amp;hvrand=8314495616823259269&amp;hvpone=&amp;hvptwo=&amp;hvqmt=&amp;hvdev=c&amp;hvdvcmdl=&amp;hvlocint=&amp;hvlocphy=1031867&amp;hvtargid=pla-840178902124&amp;psc=1&amp;language=pt_BR&amp;gad_source=1" TargetMode="External"/><Relationship Id="rId419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418" Type="http://schemas.openxmlformats.org/officeDocument/2006/relationships/hyperlink" Target="https://www.mercadolivre.com.br/cadeira-secretaria-estofada-em-preto-confortavel-zy033b/up/MLBU3505414473" TargetMode="External"/><Relationship Id="rId417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659" Type="http://schemas.openxmlformats.org/officeDocument/2006/relationships/hyperlink" Target="https://www.mercadolivre.com.br/contra-angulo-implante--kavo-koncept-201--melhor-que-nsk/up/MLBU1731387132?pdp_filters=seller_id%3A160540828" TargetMode="External"/><Relationship Id="rId416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658" Type="http://schemas.openxmlformats.org/officeDocument/2006/relationships/hyperlink" Target="https://www.mercadolivre.com.br/caneta-alta-rotacao-kavo-led-100-original--melhor-que-nsk/up/MLBU1920344963?matt_tool=18956390&amp;utm_source=google_shopping&amp;utm_medium=organic&amp;pdp_filters=item_id:MLB1919427553" TargetMode="External"/><Relationship Id="rId891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890" Type="http://schemas.openxmlformats.org/officeDocument/2006/relationships/hyperlink" Target="https://www.amazon.com.br/Ar-condicionado-Midea-Ecomaster-42ezvca09m5-38ezvca09m5/dp/B0F9HDVB86/ref=asc_df_B0F9HDVB86?mcid=3295b9d8439a3f40bba872d32e894251&amp;tag=googleshopp00-20&amp;linkCode=df0&amp;hvadid=709968341215&amp;hvpos=&amp;hvnetw=g&amp;hvrand=5149860498429514879&amp;hvpone=&amp;hvptwo=&amp;hvqmt=&amp;hvdev=c&amp;hvdvcmdl=&amp;hvlocint=&amp;hvlocphy=9101877&amp;hvtargid=pla-2427790338155&amp;psc=1&amp;language=pt_BR&amp;gad_source=4" TargetMode="External"/><Relationship Id="rId411" Type="http://schemas.openxmlformats.org/officeDocument/2006/relationships/hyperlink" Target="https://www.mercadolivre.com.br/cadeira-secretaria-estofada-em-preto-confortavel-zy033b/up/MLBU3505414473" TargetMode="External"/><Relationship Id="rId653" Type="http://schemas.openxmlformats.org/officeDocument/2006/relationships/hyperlink" Target="https://produto.mercadolivre.com.br/MLB-1289907999-armario-alto-fechado-160x80x42-f15mm-_JM?matt_tool=45048704&amp;matt_internal_campaign_id=&amp;matt_word=&amp;matt_source=google&amp;matt_campaign_id=22090354304&amp;matt_ad_group_id=173090583996&amp;matt_match_type=&amp;matt_network=g&amp;matt_device=c&amp;matt_creative=727882731531&amp;matt_keyword=&amp;matt_ad_position=&amp;matt_ad_type=pla&amp;matt_merchant_id=129114765&amp;matt_product_id=MLB1289907999&amp;matt_product_partition_id=2417611461484&amp;matt_target_id=aud-1967156880386:pla-2417611461484&amp;cq_src=google_ads&amp;cq_cmp=22090354304&amp;cq_net=g&amp;cq_plt=gp&amp;cq_med=pla&amp;gad_source=4&amp;gad_campaignid=22090354304&amp;gbraid=0AAAAAD93qcCBfNXewtmdOvKjLbBryoq5Y&amp;gclid=CjwKCAiA3fnJBhAgEiwAyqmY5Y5BZtWqXnudbRlbGLSdk1sRc1T_2AhMTkfhnJBsgOBSVlOkg_V78xoCxAUQAvD_BwE" TargetMode="External"/><Relationship Id="rId895" Type="http://schemas.openxmlformats.org/officeDocument/2006/relationships/hyperlink" Target="https://www.dentalspeed.com/ultrassom-jet-sonic-bp-bivolt-gnatus.html?srsltid=AfmBOoqm4PiovmI0jqWpNkLzKzinJYwsyj9r2QpmXyDg092Xwc4-k5pb8Lw" TargetMode="External"/><Relationship Id="rId410" Type="http://schemas.openxmlformats.org/officeDocument/2006/relationships/hyperlink" Target="https://www.magazineluiza.com.br/mesa-para-sala-de-jantar-tampo-granito-120x75cm-paonanda-decor/p/ah0722a9gb/mo/msav/?&amp;seller_id=madeiramadeira-openapi&amp;utm_source=google&amp;utm_medium=cpc&amp;utm_term=84393&amp;utm_campaign=google_eco_per_ven_pla_all_apo_3p_adv-funnel-trafego-csp-0326&amp;utm_content=&amp;partner_id=84393&amp;gclsrc=aw.ds&amp;gad_source=4&amp;gad_campaignid=23600723162&amp;gbraid=0AAAAAD4zZmSLiQkl1ewEPGHkwioVvSBxF&amp;gclid=Cj0KCQiA5I_NBhDVARIsAOrqIsaCt7xeCxfq7h_0DVwIiw4QPzA_AOXcqJw_w6_9HHAAlbNeS-BuVYYaAizMEALw_wcB" TargetMode="External"/><Relationship Id="rId652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894" Type="http://schemas.openxmlformats.org/officeDocument/2006/relationships/hyperlink" Target="https://www.mercadolivre.com.br/escadinha-hospitalar-auxiliar-aco-2-degraus-emborrachada/up/MLBU1442215901?pdp_filters=item_id:MLB3403210455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5363090722&amp;matt_product_id=MLB3403210455&amp;matt_product_partition_id=2388288843281&amp;matt_target_id=aud-1966857867496:pla-2388288843281&amp;cq_src=google_ads&amp;cq_cmp=22090193723&amp;cq_net=g&amp;cq_plt=gp&amp;cq_med=pla&amp;gad_source=4&amp;gad_campaignid=22090193723&amp;gbraid=0AAAAAD93qcBdHQAN5gWeaxTeCtkKn15xV&amp;gclid=Cj0KCQiA6NTJBhDEARIsAB7QHD21UMSDSm7s47TW7u6d6WOslDrUr195DUnKDxPz1paz00xe-8g1DCgaAtNZEALw_wcB" TargetMode="External"/><Relationship Id="rId651" Type="http://schemas.openxmlformats.org/officeDocument/2006/relationships/hyperlink" Target="https://www.mercadolivre.com.br/cadeira-iso-rp-longarina-polipropileno-3-lugares-colorida-estrutura-verde-assentos-verde/p/MLB58797820?pdp_filters=item_id%3AMLB4235346615&amp;from=gshop&amp;matt_tool=45048704&amp;matt_internal_campaign_id=&amp;matt_word=&amp;matt_source=google&amp;matt_campaign_id=22090354304&amp;matt_ad_group_id=173090584036&amp;matt_match_type=&amp;matt_network=g&amp;matt_device=c&amp;matt_creative=727882731534&amp;matt_keyword=&amp;matt_ad_position=&amp;matt_ad_type=pla&amp;matt_merchant_id=735128761&amp;matt_product_id=MLB58797820-product&amp;matt_product_partition_id=2417611465884&amp;matt_target_id=aud-1967156880386:pla-2417611465884&amp;cq_src=google_ads&amp;cq_cmp=22090354304&amp;cq_net=g&amp;cq_plt=gp&amp;cq_med=pla&amp;gad_source=1&amp;gad_campaignid=22090354304&amp;gbraid=0AAAAAD93qcBq4bTNTRFr7w2n3S79Bc2gD&amp;gclid=Cj0KCQiAi9rJBhCYARIsALyPDtv3HUmDYeO5XqpHofLpT78FNKfNBhC3jlSj-ozhJgCfUSr4JHYE-BEaAoD1EALw_wcB" TargetMode="External"/><Relationship Id="rId893" Type="http://schemas.openxmlformats.org/officeDocument/2006/relationships/hyperlink" Target="https://www.mercadolivre.com.br/escadinha-hospitalar-auxiliar-aco-2-degraus-emborrachada/up/MLBU1442215901?pdp_filters=item_id:MLB3403210455&amp;matt_tool=41970894&amp;matt_internal_campaign_id=&amp;matt_word=&amp;matt_source=google&amp;matt_campaign_id=22090193723&amp;matt_ad_group_id=174661965244&amp;matt_match_type=&amp;matt_network=g&amp;matt_device=c&amp;matt_creative=727914179713&amp;matt_keyword=&amp;matt_ad_position=&amp;matt_ad_type=pla&amp;matt_merchant_id=5363090722&amp;matt_product_id=MLB3403210455&amp;matt_product_partition_id=2388288843281&amp;matt_target_id=aud-1966857867496:pla-2388288843281&amp;cq_src=google_ads&amp;cq_cmp=22090193723&amp;cq_net=g&amp;cq_plt=gp&amp;cq_med=pla&amp;gad_source=4&amp;gad_campaignid=22090193723&amp;gbraid=0AAAAAD93qcBdHQAN5gWeaxTeCtkKn15xV&amp;gclid=Cj0KCQiA6NTJBhDEARIsAB7QHD21UMSDSm7s47TW7u6d6WOslDrUr195DUnKDxPz1paz00xe-8g1DCgaAtNZEALw_wcB" TargetMode="External"/><Relationship Id="rId650" Type="http://schemas.openxmlformats.org/officeDocument/2006/relationships/hyperlink" Target="https://www.mercadolivre.com.br/cadeira-giratoria-secretaria-ergoplax-plaxmetal-cor-preto/p/MLB20213484?pdp_filters=item_id%3AMLB5215208822&amp;from=gshop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&amp;matt_merchant_id=735098639&amp;matt_product_id=MLB20213484-product&amp;matt_product_partition_id=2388009794866&amp;matt_target_id=aud-1967156880386:pla-2388009794866&amp;cq_src=google_ads&amp;cq_cmp=22090354064&amp;cq_net=g&amp;cq_plt=gp&amp;cq_med=pla&amp;gad_source=1&amp;gad_campaignid=22090354064&amp;gbraid=0AAAAAD93qcBuzXCuFv0LWRfgdRIHTKpmj&amp;gclid=Cj0KCQiAuvTJBhCwARIsAL6Demh-CTqBFRziWkQ6Pnwbv9YXcp1_hufJB6tYS5EOvDo9Zt6lVSNn4bYaAiYpEALw_wcB" TargetMode="External"/><Relationship Id="rId892" Type="http://schemas.openxmlformats.org/officeDocument/2006/relationships/hyperlink" Target="https://www.mercadolivre.com.br/negatoscopio-de-1-corpo-visualizador-de-raio-x/up/MLBU1398365303?pdp_filters=item_id%3AMLB1170992059&amp;gclid=Cj0KCQiA6NTJBhDEARIsAB7QHD0dVLZ9IPnsICizAtktK_DW03n_u_xNDexFtMQ34fRmvpRh7vzeJXsaAvkLEALw_wcB&amp;matt_campaign_id=22120855434&amp;matt_target_id=pla-2392431398095&amp;matt_tool=33369853&amp;matt_source=google&amp;gbraid=0AAAAAD93qcC7xqU6LSu1gidQdTkRxHcBl" TargetMode="External"/><Relationship Id="rId206" Type="http://schemas.openxmlformats.org/officeDocument/2006/relationships/hyperlink" Target="https://produto.mercadolivre.com.br/MLB-1868011282-longarina-secretaria-3-lugares-tecido-preto-_JM?matt_tool=40300352&amp;matt_internal_campaign_id=&amp;matt_word=&amp;matt_source=google&amp;matt_campaign_id=22090354013&amp;matt_ad_group_id=173090510316&amp;matt_match_type=&amp;matt_network=g&amp;matt_device=c&amp;matt_creative=727882726008&amp;matt_keyword=&amp;matt_ad_position=&amp;matt_ad_type=pla&amp;matt_merchant_id=5595884621&amp;matt_product_id=MLB1868011282&amp;matt_product_partition_id=2417611461724&amp;matt_target_id=aud-1967156880386:pla-2417611461724&amp;cq_src=google_ads&amp;cq_cmp=22090354013&amp;cq_net=g&amp;cq_plt=gp&amp;cq_med=pla&amp;gad_source=4&amp;gad_campaignid=22090354013&amp;gbraid=0AAAAAD93qcA9lVwYr2GhcfGo4slsbCt6u&amp;gclid=Cj0KCQiAi9rJBhCYARIsALyPDttOqvhbaXOEey8u7n_c73P2x2XhVK57oD0gAJcwSvkyHZKLLGOg3fEaArT6EALw_wcB" TargetMode="External"/><Relationship Id="rId448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205" Type="http://schemas.openxmlformats.org/officeDocument/2006/relationships/hyperlink" Target="https://www.mercadolivre.com.br/purificador-de-agua-everest-slim-branco/p/MLB22762190?pdp_filters=item_id%3AMLB5259304818&amp;from=gshop&amp;matt_tool=13891073&amp;matt_internal_campaign_id=&amp;matt_word=&amp;matt_source=google&amp;matt_campaign_id=22090193717&amp;matt_ad_group_id=174661961924&amp;matt_match_type=&amp;matt_network=g&amp;matt_device=c&amp;matt_creative=727914179479&amp;matt_keyword=&amp;matt_ad_position=&amp;matt_ad_type=pla&amp;matt_merchant_id=735128188&amp;matt_product_id=MLB22762190-product&amp;matt_product_partition_id=2388289386841&amp;matt_target_id=aud-1966857867496:pla-2388289386841&amp;cq_src=google_ads&amp;cq_cmp=22090193717&amp;cq_net=g&amp;cq_plt=gp&amp;cq_med=pla&amp;gad_source=4&amp;gad_campaignid=22090193717&amp;gbraid=0AAAAAD93qcDmMRRo7lU4NCcxPD4INrrk0&amp;gclid=CjwKCAiA3fnJBhAgEiwAyqmY5X0E2LD4LSx1VSYMCEqq3IneH8uFDejGYdn0KHj920D3Yn5UPEEQKxoC3UoQAvD_BwE" TargetMode="External"/><Relationship Id="rId447" Type="http://schemas.openxmlformats.org/officeDocument/2006/relationships/hyperlink" Target="https://www.amazon.com.br/Estante-Multiuso-Eletrost%C3%A1tica-Prateleiras-90x190x30/dp/B0DMYDC7LL/ref=asc_df_B0DMYDC7LL?mcid=f268cf8d02563ef4a513632c5845d5c9&amp;tag=googleshopp00-20&amp;linkCode=df0&amp;hvadid=709968341269&amp;hvpos=&amp;hvnetw=g&amp;hvrand=6061496537209826872&amp;hvpone=&amp;hvptwo=&amp;hvqmt=&amp;hvdev=c&amp;hvdvcmdl=&amp;hvlocint=&amp;hvlocphy=1031867&amp;hvtargid=pla-2385938471470&amp;psc=1&amp;language=pt_BR&amp;gad_source=4" TargetMode="External"/><Relationship Id="rId689" Type="http://schemas.openxmlformats.org/officeDocument/2006/relationships/hyperlink" Target="https://produto.mercadolivre.com.br/MLB-2653219485-basto-ginastica-fisioterapia-pvc-120mts-com-carga-2kg-_JM?matt_tool=48995110&amp;matt_internal_campaign_id=&amp;matt_word=&amp;matt_source=google&amp;matt_campaign_id=22603531562&amp;matt_ad_group_id=181244933895&amp;matt_match_type=&amp;matt_network=g&amp;matt_device=c&amp;matt_creative=758138322200&amp;matt_keyword=&amp;matt_ad_position=&amp;matt_ad_type=pla&amp;matt_merchant_id=140812603&amp;matt_product_id=MLB2653219485&amp;matt_product_partition_id=2424443221566&amp;matt_target_id=aud-1967156880386:pla-2424443221566&amp;cq_src=google_ads&amp;cq_cmp=22603531562&amp;cq_net=g&amp;cq_plt=gp&amp;cq_med=pla&amp;gad_source=1&amp;gad_campaignid=22603531562&amp;gbraid=0AAAAAD93qcDRceWVGhjBQuZNWL5guisK3&amp;gclid=Cj0KCQiA6NTJBhDEARIsAB7QHD1ibMwBhFN-ivVn72Ut0Ql78OYWFxRMInCWUkopZLiPfSY-iA4iPyYaAifoEALw_wcB" TargetMode="External"/><Relationship Id="rId204" Type="http://schemas.openxmlformats.org/officeDocument/2006/relationships/hyperlink" Target="https://www.mercadolivre.com.br/cadeira-secretaria-giratoria-azulroyal-direto-de-fabrica/up/MLBU3395291983?pdp_filters=item_id:MLB4187885839&amp;matt_tool=87728839&amp;matt_internal_campaign_id=&amp;matt_word=&amp;matt_source=google&amp;matt_campaign_id=22090193711&amp;matt_ad_group_id=174661959564&amp;matt_match_type=&amp;matt_network=g&amp;matt_device=c&amp;matt_creative=727914179260&amp;matt_keyword=&amp;matt_ad_position=&amp;matt_ad_type=pla&amp;matt_merchant_id=5562001520&amp;matt_product_id=MLB4187885839&amp;matt_product_partition_id=2388009794826&amp;matt_target_id=aud-1967156880386:pla-2388009794826&amp;cq_src=google_ads&amp;cq_cmp=22090193711&amp;cq_net=g&amp;cq_plt=gp&amp;cq_med=pla&amp;gad_source=4&amp;gad_campaignid=22090193711&amp;gbraid=0AAAAAD93qcD1J3fpAK1exw2qbNtdtNZEU&amp;gclid=Cj0KCQiAi9rJBhCYARIsALyPDtvsDBs9aGwDkLjjM8H7Gy6QqK--Zr7mg8pK25d8zh3VsdrqpRotJ-UaAivUEALw_wcB" TargetMode="External"/><Relationship Id="rId446" Type="http://schemas.openxmlformats.org/officeDocument/2006/relationships/hyperlink" Target="https://www.mercadolivre.com.br/carro-de-mo-esfera-pci-200-capacidade-200-kg-aco-rodas-borracha/p/MLB23682175?pdp_filters=item_id%3AMLB6039024330&amp;from=gshop&amp;matt_tool=29457868&amp;matt_internal_campaign_id=&amp;matt_word=&amp;matt_source=google&amp;matt_campaign_id=22090354295&amp;matt_ad_group_id=173090576876&amp;matt_match_type=&amp;matt_network=g&amp;matt_device=c&amp;matt_creative=727882730778&amp;matt_keyword=&amp;matt_ad_position=&amp;matt_ad_type=pla&amp;matt_merchant_id=735128188&amp;matt_product_id=MLB23682175-product&amp;matt_product_partition_id=2392302938111&amp;matt_target_id=pla-2392302938111&amp;cq_src=google_ads&amp;cq_cmp=22090354295&amp;cq_net=g&amp;cq_plt=gp&amp;cq_med=pla&amp;gad_source=4&amp;gad_campaignid=22090354295&amp;gbraid=0AAAAAD93qcBDwYxzK-jzs9-0o4sXNkO1v&amp;gclid=Cj0KCQiA5I_NBhDVARIsAOrqIsZywWw6hyHJAhOV1OGTVUV1EmQEOlEpQ-vU41D1W-Ov9i7Bo60jcTUaAnYXEALw_wcB" TargetMode="External"/><Relationship Id="rId688" Type="http://schemas.openxmlformats.org/officeDocument/2006/relationships/hyperlink" Target="https://www.mercadolivre.com.br/compressor-de-ar-eletrico-portatil-motomil-cmo-850-br-50l-2hp/p/MLB15385365?pdp_filters=item_id%3AMLB3596312001&amp;from=gshop&amp;matt_tool=56938998&amp;matt_internal_campaign_id=&amp;matt_word=&amp;matt_source=google&amp;matt_campaign_id=22090193672&amp;matt_ad_group_id=174661944404&amp;matt_match_type=&amp;matt_network=g&amp;matt_device=c&amp;matt_creative=727914178234&amp;matt_keyword=&amp;matt_ad_position=&amp;matt_ad_type=pla&amp;matt_merchant_id=735125422&amp;matt_product_id=MLB15385365-product&amp;matt_product_partition_id=2417612878684&amp;matt_target_id=pla-2417612878684&amp;cq_src=google_ads&amp;cq_cmp=22090193672&amp;cq_net=g&amp;cq_plt=gp&amp;cq_med=pla&amp;gad_source=4&amp;gad_campaignid=22090193672&amp;gbraid=0AAAAAD93qcAi4CkWoxvMxprBim3WK1O_o&amp;gclid=CjwKCAiAxc_JBhA2EiwAFVs7XGTIVfABqf3d7tHVgKnjVu2qSyXukmNoPe_lbQBIhFbyR0veal9VLxoC6h4QAvD_BwE" TargetMode="External"/><Relationship Id="rId203" Type="http://schemas.openxmlformats.org/officeDocument/2006/relationships/hyperlink" Target="https://produto.mercadolivre.com.br/MLB-680005700-mesa-120x120-delta-para-escritorio-varias-cores-_JM?matt_tool=29425971&amp;matt_internal_campaign_id=&amp;matt_word=&amp;matt_source=google&amp;matt_campaign_id=22090354064&amp;matt_ad_group_id=191786767561&amp;matt_match_type=&amp;matt_network=g&amp;matt_device=c&amp;matt_creative=782869961936&amp;matt_keyword=&amp;matt_ad_position=&amp;matt_ad_type=pla&amp;matt_merchant_id=5524497003&amp;matt_product_id=MLB680005700&amp;matt_product_partition_id=2387514584329&amp;matt_target_id=aud-1966857867496:pla-2387514584329&amp;cq_src=google_ads&amp;cq_cmp=22090354064&amp;cq_net=g&amp;cq_plt=gp&amp;cq_med=pla&amp;gad_source=4&amp;gad_campaignid=22090354064&amp;gbraid=0AAAAAD93qcCK9yNNnq6DAaJJbAA37LH7H&amp;gclid=Cj0KCQiAi9rJBhCYARIsALyPDttZt46v-8kQIVvwTL6piwrjZB6SlzjuypBZeVeLgoLPTLPSmMsUU2AaAiNyEALw_wcB" TargetMode="External"/><Relationship Id="rId445" Type="http://schemas.openxmlformats.org/officeDocument/2006/relationships/hyperlink" Target="https://www.amazon.com.br/Bancada-Balc%C3%A3o-Cozinha-Multim%C3%B3veis-Mp2144/dp/B0F1G5GB7V/ref=asc_df_B0F1G5GB7V?mcid=4f3a7049b15136cfa84cf19091fb5e2a&amp;tag=googleshopp00-20&amp;linkCode=df0&amp;hvadid=709968340942&amp;hvpos=&amp;hvnetw=g&amp;hvrand=14646033308021272122&amp;hvpone=&amp;hvptwo=&amp;hvqmt=&amp;hvdev=c&amp;hvdvcmdl=&amp;hvlocint=&amp;hvlocphy=9101878&amp;hvtargid=pla-2420898548059&amp;language=pt_BR&amp;gad_source=4&amp;th=1" TargetMode="External"/><Relationship Id="rId687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209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208" Type="http://schemas.openxmlformats.org/officeDocument/2006/relationships/hyperlink" Target="https://www.amazon.com.br/Ar-condicionado-Gree-Connection-Gwc12atc-d6dna1a-gwc12atc-d6dna1a/dp/B081DJQGMH/ref=asc_df_B081DJQGMH?mcid=7ae953d93ca73c7a90304918f139bdec&amp;tag=googleshopp00-20&amp;linkCode=df0&amp;hvadid=709968341215&amp;hvpos=&amp;hvnetw=g&amp;hvrand=16141458170080072431&amp;hvpone=&amp;hvptwo=&amp;hvqmt=&amp;hvdev=c&amp;hvdvcmdl=&amp;hvlocint=&amp;hvlocphy=9101877&amp;hvtargid=pla-2315899902873&amp;psc=1&amp;language=pt_BR&amp;gad_source=4" TargetMode="External"/><Relationship Id="rId207" Type="http://schemas.openxmlformats.org/officeDocument/2006/relationships/hyperlink" Target="https://produto.mercadolivre.com.br/MLB-1868011282-longarina-secretaria-3-lugares-tecido-preto-_JM?matt_tool=40300352&amp;matt_internal_campaign_id=&amp;matt_word=&amp;matt_source=google&amp;matt_campaign_id=22090354013&amp;matt_ad_group_id=173090510316&amp;matt_match_type=&amp;matt_network=g&amp;matt_device=c&amp;matt_creative=727882726008&amp;matt_keyword=&amp;matt_ad_position=&amp;matt_ad_type=pla&amp;matt_merchant_id=5595884621&amp;matt_product_id=MLB1868011282&amp;matt_product_partition_id=2417611461724&amp;matt_target_id=aud-1967156880386:pla-2417611461724&amp;cq_src=google_ads&amp;cq_cmp=22090354013&amp;cq_net=g&amp;cq_plt=gp&amp;cq_med=pla&amp;gad_source=4&amp;gad_campaignid=22090354013&amp;gbraid=0AAAAAD93qcA9lVwYr2GhcfGo4slsbCt6u&amp;gclid=Cj0KCQiAi9rJBhCYARIsALyPDttOqvhbaXOEey8u7n_c73P2x2XhVK57oD0gAJcwSvkyHZKLLGOg3fEaArT6EALw_wcB" TargetMode="External"/><Relationship Id="rId449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440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682" Type="http://schemas.openxmlformats.org/officeDocument/2006/relationships/hyperlink" Target="https://www.mercadolivre.com.br/mesa-escritorio-escrivaninha-150x60-tampo-de-40-mm-2-gaveta/up/MLBU3266379869?pdp_filters=item_id:MLB5471924390&amp;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_with_promotion&amp;matt_merchant_id=138294755&amp;matt_product_id=MLB5471924390&amp;matt_product_partition_id=2388009794866&amp;matt_target_id=aud-1967156880386:pla-2388009794866&amp;cq_src=google_ads&amp;cq_cmp=22090354064&amp;cq_net=g&amp;cq_plt=gp&amp;cq_med=pla_with_promotion&amp;gad_source=1&amp;gad_campaignid=22090354064&amp;gbraid=0AAAAAD93qcBuzXCuFv0LWRfgdRIHTKpmj&amp;gclid=Cj0KCQiAuvTJBhCwARIsAL6Demh7XpQv1dCc9du5jPWWhkX7HgfcdcwRQCGHzZK0lF-T1Wr3xCFB_OsaAp_HEALw_wcB" TargetMode="External"/><Relationship Id="rId681" Type="http://schemas.openxmlformats.org/officeDocument/2006/relationships/hyperlink" Target="https://produto.mercadolivre.com.br/MLB-3359002493-cadeira-diretor-em-s-com-braco-auditorio-sala-espera-reunio-_JM?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&amp;matt_merchant_id=5574353484&amp;matt_product_id=MLB3359002493&amp;matt_product_partition_id=2388009794866&amp;matt_target_id=aud-1967156880386:pla-2388009794866&amp;cq_src=google_ads&amp;cq_cmp=22090354064&amp;cq_net=g&amp;cq_plt=gp&amp;cq_med=pla&amp;gad_source=4&amp;gad_campaignid=22090354064&amp;gbraid=0AAAAAD93qcAAcd_O6555Xm2jGCBHA0SBZ&amp;gclid=Cj0KCQiAuvTJBhCwARIsAL6DemgxnvYYgV5w3hOAJXOxqWFNyuUUEp_JLWZyTg2VavQkmYCCYnc6e5gaAprsEALw_wcB" TargetMode="External"/><Relationship Id="rId680" Type="http://schemas.openxmlformats.org/officeDocument/2006/relationships/hyperlink" Target="https://www.dentalspeed.com/ultrassom-jet-sonic-bp-bivolt-gnatus.html?srsltid=AfmBOoqm4PiovmI0jqWpNkLzKzinJYwsyj9r2QpmXyDg092Xwc4-k5pb8Lw" TargetMode="External"/><Relationship Id="rId202" Type="http://schemas.openxmlformats.org/officeDocument/2006/relationships/hyperlink" Target="https://www.mercadolivre.com.br/kit-estetica-maca-fixa-com-suporte-e-escadinha/up/MLBU3519654975?pdp_filters=item_id:MLB5870165606&amp;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355781770&amp;matt_product_id=MLB5870165606&amp;matt_product_partition_id=2389560632545&amp;matt_target_id=aud-1967156880386:pla-2389560632545&amp;cq_src=google_ads&amp;cq_cmp=22090354076&amp;cq_net=g&amp;cq_plt=gp&amp;cq_med=pla&amp;gad_source=4&amp;gad_campaignid=22090354076&amp;gbraid=0AAAAAD93qcAemjzIZPxV0-a9cXQBaEWFQ&amp;gclid=CjwKCAiAxc_JBhA2EiwAFVs7XPJ7Md2oxHjwP3R14jaUrJg0YjbTP21SdAFSe0VjT_tlyJuawRJ6DRoCQ2QQAvD_BwE" TargetMode="External"/><Relationship Id="rId444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686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201" Type="http://schemas.openxmlformats.org/officeDocument/2006/relationships/hyperlink" Target="https://produto.mercadolivre.com.br/MLB-1977298989-armario-vitrine-02-portas-_JM?matt_tool=79314260&amp;matt_internal_campaign_id=&amp;matt_word=&amp;matt_source=google&amp;matt_campaign_id=22090354076&amp;matt_ad_group_id=191786772881&amp;matt_match_type=&amp;matt_network=g&amp;matt_device=c&amp;matt_creative=782869962377&amp;matt_keyword=&amp;matt_ad_position=&amp;matt_ad_type=pla&amp;matt_merchant_id=548856185&amp;matt_product_id=MLB1977298989&amp;matt_product_partition_id=2389560632545&amp;matt_target_id=aud-1967156880386:pla-2389560632545&amp;cq_src=google_ads&amp;cq_cmp=22090354076&amp;cq_net=g&amp;cq_plt=gp&amp;cq_med=pla&amp;gad_source=1&amp;gad_campaignid=22090354076&amp;gbraid=0AAAAAD93qcAKTTW-ohSQTAZ4ENj3xhvka&amp;gclid=Cj0KCQiAi9rJBhCYARIsALyPDtsEwMcsy5-v4NO8ZNdfwrpYoqbv1HTnj4FK-fqFxk5xL-G1bGivf7YaArGmEALw_wcB" TargetMode="External"/><Relationship Id="rId443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685" Type="http://schemas.openxmlformats.org/officeDocument/2006/relationships/hyperlink" Target="https://www.panoramamoveis.com.br/painel-para-tv-ate-55-polegadas-freijo-pradel-66560.html?selected=58199&amp;srsltid=AfmBOor6hnvaF1JOqTYo52eHWnXbQe0ymErxhX9osdeCbdVpe_RQZyWaDnw" TargetMode="External"/><Relationship Id="rId200" Type="http://schemas.openxmlformats.org/officeDocument/2006/relationships/hyperlink" Target="https://www.mercadolivre.com.br/cadeira-secretaria-giratoria-azulroyal-direto-de-fabrica/up/MLBU3395291983?pdp_filters=item_id:MLB4187885839&amp;matt_tool=87728839&amp;matt_internal_campaign_id=&amp;matt_word=&amp;matt_source=google&amp;matt_campaign_id=22090193711&amp;matt_ad_group_id=174661959564&amp;matt_match_type=&amp;matt_network=g&amp;matt_device=c&amp;matt_creative=727914179260&amp;matt_keyword=&amp;matt_ad_position=&amp;matt_ad_type=pla&amp;matt_merchant_id=5562001520&amp;matt_product_id=MLB4187885839&amp;matt_product_partition_id=2388009794826&amp;matt_target_id=aud-1967156880386:pla-2388009794826&amp;cq_src=google_ads&amp;cq_cmp=22090193711&amp;cq_net=g&amp;cq_plt=gp&amp;cq_med=pla&amp;gad_source=4&amp;gad_campaignid=22090193711&amp;gbraid=0AAAAAD93qcD1J3fpAK1exw2qbNtdtNZEU&amp;gclid=Cj0KCQiAi9rJBhCYARIsALyPDtvsDBs9aGwDkLjjM8H7Gy6QqK--Zr7mg8pK25d8zh3VsdrqpRotJ-UaAivUEALw_wcB" TargetMode="External"/><Relationship Id="rId442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684" Type="http://schemas.openxmlformats.org/officeDocument/2006/relationships/hyperlink" Target="https://sc.olx.com.br/norte-de-santa-catarina/escritorio/moveis-de-escritorio/moveis-para-recepcao-1459761686" TargetMode="External"/><Relationship Id="rId441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683" Type="http://schemas.openxmlformats.org/officeDocument/2006/relationships/hyperlink" Target="https://produto.mercadolivre.com.br/MLB-3359002493-cadeira-diretor-em-s-com-braco-auditorio-sala-espera-reunio-_JM?matt_tool=29425971&amp;matt_internal_campaign_id=&amp;matt_word=&amp;matt_source=google&amp;matt_campaign_id=22090354064&amp;matt_ad_group_id=173090531436&amp;matt_match_type=&amp;matt_network=g&amp;matt_device=c&amp;matt_creative=727882727271&amp;matt_keyword=&amp;matt_ad_position=&amp;matt_ad_type=pla&amp;matt_merchant_id=5574353484&amp;matt_product_id=MLB3359002493&amp;matt_product_partition_id=2388009794866&amp;matt_target_id=aud-1967156880386:pla-2388009794866&amp;cq_src=google_ads&amp;cq_cmp=22090354064&amp;cq_net=g&amp;cq_plt=gp&amp;cq_med=pla&amp;gad_source=4&amp;gad_campaignid=22090354064&amp;gbraid=0AAAAAD93qcAAcd_O6555Xm2jGCBHA0SBZ&amp;gclid=Cj0KCQiAuvTJBhCwARIsAL6DemgxnvYYgV5w3hOAJXOxqWFNyuUUEp_JLWZyTg2VavQkmYCCYnc6e5gaAprsEALw_wcB" TargetMode="External"/><Relationship Id="rId437" Type="http://schemas.openxmlformats.org/officeDocument/2006/relationships/hyperlink" Target="https://produto.mercadolivre.com.br/MLB-4201618261-banco-cadeira-secretaria-sbracos-consultorio-dentistas-_JM?attributes=STRUCTURE_COLOR%3AUHJldG8%3D%2CSEAT_COLOR%3AUHJldG8%3D&amp;quantity=1&amp;picker=true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5676689128&amp;matt_product_id=MLB4201618261&amp;matt_product_partition_id=2388288843521&amp;matt_target_id=aud-1966857867496%3Apla-2388288843521&amp;cq_src=google_ads&amp;cq_cmp=22090354487&amp;cq_net=g&amp;cq_plt=gp&amp;cq_med=pla&amp;gad_source=4&amp;gad_campaignid=22090354487&amp;gbraid=0AAAAAD93qcAKA4H_4htIJW-D19nP7xrox&amp;gclid=Cj0KCQiAuvTJBhCwARIsAL6Demg4hbiUJxb4qbZ-uz56ifFVwY801NpCt0XYBwdFPDQu6DcRlPzDG4caApFfEALw_wcB" TargetMode="External"/><Relationship Id="rId679" Type="http://schemas.openxmlformats.org/officeDocument/2006/relationships/hyperlink" Target="https://www.odontoatual.com.br/equipamentos-protese/amalgamador-vibramat-capsular-speed-ii-schuster?parceiro=5577&amp;srsltid=AfmBOorP6XgvlePK0F8cWmpIkVxuZBHA7l-QfRVJdcmUvTKa7neNWiLBtJ4" TargetMode="External"/><Relationship Id="rId436" Type="http://schemas.openxmlformats.org/officeDocument/2006/relationships/hyperlink" Target="https://www.mercadolivre.com.br/cadeira-secretaria-estofada-em-preto-confortavel-zy033b/up/MLBU3505414473" TargetMode="External"/><Relationship Id="rId678" Type="http://schemas.openxmlformats.org/officeDocument/2006/relationships/hyperlink" Target="https://www.mercadolivre.com.br/com-7-gavetas-carrinho-movel-gaveteiro-odontologico-clinico/up/MLBU1966414244?matt_tool=18956390&amp;utm_source=google_shopping&amp;utm_medium=organic&amp;pdp_filters=item_id:MLB1547592754" TargetMode="External"/><Relationship Id="rId435" Type="http://schemas.openxmlformats.org/officeDocument/2006/relationships/hyperlink" Target="https://www.mercadolivre.com.br/estante-aco-multiuso-40cm-3-prateleiras/up/MLBU731238807?pdp_filters=item_id%3AMLB1650364732&amp;from=gshop&amp;matt_tool=87728839&amp;matt_internal_campaign_id=&amp;matt_word=&amp;matt_source=google&amp;matt_campaign_id=22090193711&amp;matt_ad_group_id=174661960004&amp;matt_match_type=&amp;matt_network=g&amp;matt_device=c&amp;matt_creative=727914179275&amp;matt_keyword=&amp;matt_ad_position=&amp;matt_ad_type=pla&amp;matt_merchant_id=144571315&amp;matt_product_id=MLBU731238807&amp;matt_product_partition_id=2390284843144&amp;matt_target_id=pla-2390284843144&amp;cq_src=google_ads&amp;cq_cmp=22090193711&amp;cq_net=g&amp;cq_plt=gp&amp;cq_med=pla&amp;gad_source=1&amp;gad_campaignid=22090193711&amp;gbraid=0AAAAAD93qcDbuiXu7JDgMbN65zwjiQ6I2&amp;gclid=CjwKCAiAnoXNBhAZEiwAnItcG2PThmBI0TXEf3GGHxmiDiS_x2C4SuHuSak8gYAyLNMXZcTWRPK_cBoCEEIQAvD_BwE" TargetMode="External"/><Relationship Id="rId677" Type="http://schemas.openxmlformats.org/officeDocument/2006/relationships/hyperlink" Target="https://www.rcodonto.com.br/equipamentos/consultorio-odontologico-gnatus-g1-fit-c-pvc?variant_id=801&amp;parceiro=4727&amp;srsltid=AfmBOoqhLTF_-gaeXpqD4pjbECMNVSdO8c7-7QXDCAFr-7fEOqqHFVSNLN8" TargetMode="External"/><Relationship Id="rId434" Type="http://schemas.openxmlformats.org/officeDocument/2006/relationships/hyperlink" Target="https://www.mercadolivre.com.br/estante-aco-multiuso-40cm-3-prateleiras/up/MLBU731238807?pdp_filters=item_id%3AMLB1650364732&amp;from=gshop&amp;matt_tool=87728839&amp;matt_internal_campaign_id=&amp;matt_word=&amp;matt_source=google&amp;matt_campaign_id=22090193711&amp;matt_ad_group_id=174661960004&amp;matt_match_type=&amp;matt_network=g&amp;matt_device=c&amp;matt_creative=727914179275&amp;matt_keyword=&amp;matt_ad_position=&amp;matt_ad_type=pla&amp;matt_merchant_id=144571315&amp;matt_product_id=MLBU731238807&amp;matt_product_partition_id=2390284843144&amp;matt_target_id=pla-2390284843144&amp;cq_src=google_ads&amp;cq_cmp=22090193711&amp;cq_net=g&amp;cq_plt=gp&amp;cq_med=pla&amp;gad_source=1&amp;gad_campaignid=22090193711&amp;gbraid=0AAAAAD93qcDbuiXu7JDgMbN65zwjiQ6I2&amp;gclid=CjwKCAiAnoXNBhAZEiwAnItcG2PThmBI0TXEf3GGHxmiDiS_x2C4SuHuSak8gYAyLNMXZcTWRPK_cBoCEEIQAvD_BwE" TargetMode="External"/><Relationship Id="rId676" Type="http://schemas.openxmlformats.org/officeDocument/2006/relationships/hyperlink" Target="https://www.dentomix.com.br/equipo-cart-odontologico-3-terminais-dentscler?utm_source=Site&amp;utm_medium=GoogleShopping&amp;utm_campaign=IntegracaoGoogle&amp;srsltid=AfmBOorC7I2IX1Hj14BrqaMAHx8M3fKWzUl0iF7EYybohwLYd9Mj_5_5bKE" TargetMode="External"/><Relationship Id="rId439" Type="http://schemas.openxmlformats.org/officeDocument/2006/relationships/hyperlink" Target="https://www.mercadolivre.com.br/estante-aco-5-prateleiras-175x92x30-25kg-reforcado-pandin/up/MLBU3735228654?pdp_filters=item_id%3AMLB6169982132&amp;from=gshop&amp;matt_tool=59586449&amp;matt_internal_campaign_id=&amp;matt_word=&amp;matt_source=google&amp;matt_campaign_id=22120855419&amp;matt_ad_group_id=179138687891&amp;matt_match_type=&amp;matt_network=g&amp;matt_device=c&amp;matt_creative=729092955250&amp;matt_keyword=&amp;matt_ad_position=&amp;matt_ad_type=pla&amp;matt_merchant_id=5456262170&amp;matt_product_id=MLBU3735228654&amp;matt_product_partition_id=2393015049738&amp;matt_target_id=pla-2393015049738&amp;cq_src=google_ads&amp;cq_cmp=22120855419&amp;cq_net=g&amp;cq_plt=gp&amp;cq_med=pla&amp;gad_source=1&amp;gad_campaignid=22120855419&amp;gbraid=0AAAAAD93qcChEAptRFC6314_CAY4mvtIl&amp;gclid=CjwKCAiAnoXNBhAZEiwAnItcG73v18pFQqIv4zDrMAPEZ3P5-XM64QS7ujrV7-owOmPe4Cn8bcQGuBoCP2gQAvD_BwE" TargetMode="External"/><Relationship Id="rId438" Type="http://schemas.openxmlformats.org/officeDocument/2006/relationships/hyperlink" Target="https://www.amazon.com.br/Notebook-Lenovo-IdeaPad-i3-1315U-Windows/dp/B0FCW8Q2MX/ref=asc_df_B0FCW8Q2MX?mcid=19e6f4e8d02d3a1a9f07c31fb16a9191&amp;tag=googleshopp00-20&amp;linkCode=df0&amp;hvadid=709884378364&amp;hvpos=&amp;hvnetw=g&amp;hvrand=3766334344178110355&amp;hvpone=&amp;hvptwo=&amp;hvqmt=&amp;hvdev=c&amp;hvdvcmdl=&amp;hvlocint=&amp;hvlocphy=9101878&amp;hvtargid=pla-2433925307983&amp;psc=1&amp;language=pt_BR&amp;gad_source=1" TargetMode="External"/><Relationship Id="rId671" Type="http://schemas.openxmlformats.org/officeDocument/2006/relationships/hyperlink" Target="https://www.carrefour.com.br/mesa-de-jantar-para-4-lugares-1-20m-tampo-mdf-aurea-ype-new-ceval-mp955635543/p" TargetMode="External"/><Relationship Id="rId670" Type="http://schemas.openxmlformats.org/officeDocument/2006/relationships/hyperlink" Target="https://www.mercadolivre.com.br/poltrona-2-lugares-venus-braco-aluminio-suede-preto/up/MLBU1449352361?pdp_filters=item_id:MLB3541413353&amp;matt_tool=33369853&amp;matt_internal_campaign_id=&amp;matt_word=&amp;matt_source=google&amp;matt_campaign_id=22120855434&amp;matt_ad_group_id=179138689651&amp;matt_match_type=&amp;matt_network=g&amp;matt_device=c&amp;matt_creative=729092955319&amp;matt_keyword=&amp;matt_ad_position=&amp;matt_ad_type=pla&amp;matt_merchant_id=5679898833&amp;matt_product_id=MLB3541413353&amp;matt_product_partition_id=2392431398095&amp;matt_target_id=aud-1966857867496:pla-2392431398095&amp;cq_src=google_ads&amp;cq_cmp=22120855434&amp;cq_net=g&amp;cq_plt=gp&amp;cq_med=pla&amp;gad_source=1&amp;gad_campaignid=22120855434&amp;gbraid=0AAAAAD93qcBWY0j8mDIriCsR8EzvUHziL&amp;gclid=Cj0KCQiAuvTJBhCwARIsAL6DemgaZr9Mo9SDod4oMXLN6uviPNKFi7qIflQvq4wktOf11ZF9SkmMixgaArP_EALw_wcB" TargetMode="External"/><Relationship Id="rId433" Type="http://schemas.openxmlformats.org/officeDocument/2006/relationships/hyperlink" Target="https://www.mercadolivre.com.br/impressora-multifuncional-hp-laser-mfp-135w-monocromatica-usb-20-de-alta-velocidade-80211gb-sem-fio-110-a-127-vca/p/MLB15189092?pdp_filters=item_id%3AMLB3235002322&amp;from=gshop&amp;matt_tool=91562990&amp;matt_internal_campaign_id=&amp;matt_word=&amp;matt_source=google&amp;matt_campaign_id=22090193891&amp;matt_ad_group_id=174661984924&amp;matt_match_type=&amp;matt_network=g&amp;matt_device=c&amp;matt_creative=727914181096&amp;matt_keyword=&amp;matt_ad_position=&amp;matt_ad_type=pla&amp;matt_merchant_id=735128188&amp;matt_product_id=MLB15189092-product&amp;matt_product_partition_id=2387499471587&amp;matt_target_id=aud-1966857867496%3Apla-2387499471587&amp;cq_src=google_ads&amp;cq_cmp=22090193891&amp;cq_net=g&amp;cq_plt=gp&amp;cq_med=pla&amp;gad_source=1&amp;gad_campaignid=22090193891&amp;gbraid=0AAAAAD93qcAeUnfzA7u87wKtbOSUUOf5I&amp;gclid=Cj0KCQiAi9rJBhCYARIsALyPDtux9KaEsDMeuLcfi3NrvaYAIyqhX_eG86eLrD69BrtBWal3ptf7kh0aAvBrEALw_wcB&amp;offer_type=OFFICIAL_STORE" TargetMode="External"/><Relationship Id="rId675" Type="http://schemas.openxmlformats.org/officeDocument/2006/relationships/hyperlink" Target="https://www.mercadolivre.com.br/cadeira-mocho-odontologico-concha-com-encosto-para-clinica-dentista-estrutura-cinza-assento-branco-maiart/p/MLB51090156?pdp_filters=item_id%3AMLB5422318518&amp;from=gshop&amp;matt_tool=35397717&amp;matt_internal_campaign_id=&amp;matt_word=&amp;matt_source=google&amp;matt_campaign_id=22090354487&amp;matt_ad_group_id=173090610716&amp;matt_match_type=&amp;matt_network=g&amp;matt_device=c&amp;matt_creative=727882733250&amp;matt_keyword=&amp;matt_ad_position=&amp;matt_ad_type=pla&amp;matt_merchant_id=735128188&amp;matt_product_id=MLB51090156-product&amp;matt_product_partition_id=2392305715911&amp;matt_target_id=aud-1966857867496:pla-2392305715911&amp;cq_src=google_ads&amp;cq_cmp=22090354487&amp;cq_net=g&amp;cq_plt=gp&amp;cq_med=pla&amp;gad_source=4&amp;gad_campaignid=22090354487&amp;gbraid=0AAAAAD93qcCTTRTV8MI3chsI8ES-siq0v&amp;gclid=Cj0KCQiAuvTJBhCwARIsAL6DemimlIFsJJEwqH71aAvcCWiA6cSMcibRbH4SR35JvBLMleUWTwbxq9saAtdlEALw_wcB" TargetMode="External"/><Relationship Id="rId432" Type="http://schemas.openxmlformats.org/officeDocument/2006/relationships/hyperlink" Target="https://www.cadeirabrasil.com.br/cadeira-executiva-fixa-4-pes-sem-bracos-ravan-rve30-cadeira-brasil?utm_source=Site&amp;utm_medium=GoogleMerchant&amp;utm_campaign=GoogleMerchant&amp;sku=RVE30C058&amp;srsltid=AfmBOorC1Vh35aJfzYVruIzQpu-imIJT3bDUzvBqPDqmomPigYULwXODE8k." TargetMode="External"/><Relationship Id="rId674" Type="http://schemas.openxmlformats.org/officeDocument/2006/relationships/hyperlink" Target="https://lojaoficialaklimper.com.br/produtos/carrinho-com-gaveta-para-aparelho-e-equipamentos-odontologico/?srsltid=AfmBOooNSIt1nEmuPkuG6ostARWy_ErC_JLEgEyPD6wZs4Ob9AbhnTWwcxQ" TargetMode="External"/><Relationship Id="rId431" Type="http://schemas.openxmlformats.org/officeDocument/2006/relationships/hyperlink" Target="https://produto.mercadolivre.com.br/MLB-1375502010-armario-para-escritorio-alto-fechado-160x80x42-f15mm-_JM?matt_tool=30040270&amp;matt_word=&amp;matt_source=google&amp;matt_campaign_id=23440873668&amp;matt_ad_group_id=197094210451&amp;matt_match_type=&amp;matt_network=g&amp;matt_device=c&amp;matt_creative=792396423523&amp;matt_keyword=&amp;matt_ad_position=&amp;matt_ad_type=pla&amp;matt_merchant_id=129114765&amp;matt_product_id=MLB1375502010&amp;matt_product_partition_id=2390284843344&amp;matt_target_id=pla-2390284843344&amp;cq_src=google_ads&amp;cq_cmp=23440873668&amp;cq_net=g&amp;cq_plt=gp&amp;cq_med=pla&amp;gad_source=4&amp;gad_campaignid=23440873668&amp;gbraid=0AAAAAD93qcBZwbz3iK6bmJmdRlSTJR6DL&amp;gclid=Cj0KCQiA5I_NBhDVARIsAOrqIsb7kaAmioWkkTHPEczzWvzy0qrzhMyQZBX7VDlel7zA15fZprugj-AaArptEALw_wcB" TargetMode="External"/><Relationship Id="rId673" Type="http://schemas.openxmlformats.org/officeDocument/2006/relationships/hyperlink" Target="https://www.mercadolivre.com.br/seladora-para-sacos-plasticos-bivolt-sela-e-corta-manual-50cm-isamaq/p/MLB23509173?pdp_filters=item_id%3AMLB3632395051&amp;from=gshop&amp;matt_tool=14476645&amp;matt_internal_campaign_id=&amp;matt_word=&amp;matt_source=google&amp;matt_campaign_id=22090193660&amp;matt_ad_group_id=174661938604&amp;matt_match_type=&amp;matt_network=g&amp;matt_device=c&amp;matt_creative=727914178000&amp;matt_keyword=&amp;matt_ad_position=&amp;matt_ad_type=pla&amp;matt_merchant_id=735128188&amp;matt_product_id=MLB23509173-product&amp;matt_product_partition_id=2388008875826&amp;matt_target_id=aud-1966857867496:pla-2388008875826&amp;cq_src=google_ads&amp;cq_cmp=22090193660&amp;cq_net=g&amp;cq_plt=gp&amp;cq_med=pla&amp;gad_source=4&amp;gad_campaignid=22090193660&amp;gbraid=0AAAAAD93qcD9KtXp-azOx1B2uCik1TQCB&amp;gclid=Cj0KCQiAi9rJBhCYARIsALyPDtszvdZGK_AfH0jjhIAM4KFmWPB_wQKMHLYQFHHUUXAnNNKb27Ak_bYaAj-gEALw_wcB" TargetMode="External"/><Relationship Id="rId430" Type="http://schemas.openxmlformats.org/officeDocument/2006/relationships/hyperlink" Target="https://www.mercadolivre.com.br/cadeira-iso-rp-longarina-polipropileno-2-lugares-preta/up/MLBU1160649238?pdp_filters=item_id%3AMLB4094878576&amp;from=gshop&amp;matt_tool=40300352&amp;matt_internal_campaign_id=&amp;matt_word=&amp;matt_source=google&amp;matt_campaign_id=22090354013&amp;matt_ad_group_id=195616607208&amp;matt_match_type=&amp;matt_network=g&amp;matt_device=c&amp;matt_creative=787871502239&amp;matt_keyword=&amp;matt_ad_position=&amp;matt_ad_type=pla&amp;matt_merchant_id=5689833445&amp;matt_product_id=MLBU1160649238&amp;matt_product_partition_id=2455355912855&amp;matt_target_id=pla-2455355912855&amp;cq_src=google_ads&amp;cq_cmp=22090354013&amp;cq_net=g&amp;cq_plt=gp&amp;cq_med=pla&amp;gad_source=1&amp;gad_campaignid=22090354013&amp;gbraid=0AAAAAD93qcC0f46ogM1OezHXPsw1DpRqk&amp;gclid=Cj0KCQiA5I_NBhDVARIsAOrqIsbKNoW8Ao4utvOmJo2zaApPBO9282H6BSbjLCjKj0geEV9jrq0oJvgaAiAUEALw_wcB" TargetMode="External"/><Relationship Id="rId672" Type="http://schemas.openxmlformats.org/officeDocument/2006/relationships/hyperlink" Target="https://www.ponttolavabo.com.br/estante-multiuso-nicho-organizador-movel-com-rodizio-40cm?utm_source=Site&amp;utm_medium=GoogleMerchant&amp;utm_campaign=GoogleMerchant&amp;gad_source=4&amp;gad_campaignid=17338713568&amp;gbraid=0AAAAADwGldp36zxxoElyYdkI_IFufMOiO&amp;gclid=CjwKCAiA3fnJBhAgEiwAyqmY5fvo4oTmMoWvIGbjM2RKs9agu_rh9uQxgR6w8_jFGHjhF0u-Y9Xj8RoCMRUQAvD_Bw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0.63"/>
    <col customWidth="1" min="2" max="2" width="51.75"/>
    <col customWidth="1" min="3" max="3" width="32.63"/>
    <col customWidth="1" min="4" max="4" width="23.0"/>
    <col customWidth="1" min="5" max="5" width="140.13"/>
    <col customWidth="1" min="6" max="6" width="44.25"/>
    <col customWidth="1" min="7" max="7" width="31.13"/>
    <col customWidth="1" min="8" max="8" width="47.75"/>
    <col customWidth="1" min="9" max="9" width="28.75"/>
    <col customWidth="1" min="10" max="10" width="50.63"/>
    <col customWidth="1" min="11" max="11" width="38.88"/>
    <col customWidth="1" min="12" max="12" width="42.88"/>
    <col customWidth="1" min="13" max="13" width="40.13"/>
    <col customWidth="1" min="14" max="14" width="50.0"/>
    <col customWidth="1" min="15" max="15" width="55.0"/>
    <col customWidth="1" min="16" max="16" width="32.88"/>
    <col customWidth="1" min="17" max="17" width="36.38"/>
    <col customWidth="1" min="18" max="18" width="40.0"/>
    <col customWidth="1" min="19" max="19" width="59.25"/>
    <col customWidth="1" min="20" max="20" width="100.25"/>
    <col customWidth="1" min="21" max="21" width="255.75"/>
    <col customWidth="1" min="22" max="22" width="69.25"/>
    <col customWidth="1" min="23" max="27" width="9.13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7"/>
      <c r="X1" s="7"/>
      <c r="Y1" s="7"/>
      <c r="Z1" s="7"/>
      <c r="AA1" s="7"/>
    </row>
    <row r="2" ht="18.75" customHeight="1">
      <c r="A2" s="8" t="s">
        <v>22</v>
      </c>
      <c r="B2" s="9" t="s">
        <v>23</v>
      </c>
      <c r="C2" s="9" t="s">
        <v>24</v>
      </c>
      <c r="D2" s="10">
        <v>514.0</v>
      </c>
      <c r="E2" s="9" t="s">
        <v>25</v>
      </c>
      <c r="F2" s="11" t="s">
        <v>26</v>
      </c>
      <c r="G2" s="12" t="s">
        <v>27</v>
      </c>
      <c r="H2" s="13">
        <v>3104.1</v>
      </c>
      <c r="I2" s="14">
        <v>10.0</v>
      </c>
      <c r="J2" s="15" t="s">
        <v>28</v>
      </c>
      <c r="K2" s="16">
        <v>0.4</v>
      </c>
      <c r="L2" s="17">
        <f t="shared" ref="L2:L1663" si="1">SUM(I2*K2)</f>
        <v>4</v>
      </c>
      <c r="M2" s="17">
        <f t="shared" ref="M2:M1989" si="2">SUM(I2-L2)</f>
        <v>6</v>
      </c>
      <c r="N2" s="18">
        <f t="shared" ref="N2:N1742" si="3">SUM(H2*K2)</f>
        <v>1241.64</v>
      </c>
      <c r="O2" s="18">
        <f t="shared" ref="O2:O1742" si="4">SUM(H2-N2)</f>
        <v>1862.46</v>
      </c>
      <c r="P2" s="18">
        <f t="shared" ref="P2:P1989" si="5">O2</f>
        <v>1862.46</v>
      </c>
      <c r="Q2" s="8">
        <v>0.0</v>
      </c>
      <c r="R2" s="18">
        <f t="shared" ref="R2:R1989" si="6">SUM(O2/M2)</f>
        <v>310.41</v>
      </c>
      <c r="S2" s="19" t="s">
        <v>29</v>
      </c>
      <c r="T2" s="19" t="s">
        <v>30</v>
      </c>
      <c r="U2" s="20" t="s">
        <v>31</v>
      </c>
      <c r="V2" s="21"/>
      <c r="W2" s="7"/>
      <c r="X2" s="7"/>
      <c r="Y2" s="7"/>
      <c r="Z2" s="7"/>
      <c r="AA2" s="7"/>
    </row>
    <row r="3" ht="18.75" customHeight="1">
      <c r="A3" s="22" t="s">
        <v>22</v>
      </c>
      <c r="B3" s="23" t="s">
        <v>32</v>
      </c>
      <c r="C3" s="23" t="s">
        <v>33</v>
      </c>
      <c r="D3" s="24">
        <v>1346.0</v>
      </c>
      <c r="E3" s="23" t="s">
        <v>34</v>
      </c>
      <c r="F3" s="25" t="s">
        <v>26</v>
      </c>
      <c r="G3" s="26" t="s">
        <v>27</v>
      </c>
      <c r="H3" s="27">
        <v>15638.9</v>
      </c>
      <c r="I3" s="28">
        <v>10.0</v>
      </c>
      <c r="J3" s="29" t="s">
        <v>28</v>
      </c>
      <c r="K3" s="30">
        <v>0.4</v>
      </c>
      <c r="L3" s="31">
        <f t="shared" si="1"/>
        <v>4</v>
      </c>
      <c r="M3" s="31">
        <f t="shared" si="2"/>
        <v>6</v>
      </c>
      <c r="N3" s="32">
        <f t="shared" si="3"/>
        <v>6255.56</v>
      </c>
      <c r="O3" s="32">
        <f t="shared" si="4"/>
        <v>9383.34</v>
      </c>
      <c r="P3" s="32">
        <f t="shared" si="5"/>
        <v>9383.34</v>
      </c>
      <c r="Q3" s="22">
        <v>0.0</v>
      </c>
      <c r="R3" s="32">
        <f t="shared" si="6"/>
        <v>1563.89</v>
      </c>
      <c r="S3" s="33" t="s">
        <v>29</v>
      </c>
      <c r="T3" s="33" t="s">
        <v>30</v>
      </c>
      <c r="U3" s="34" t="s">
        <v>35</v>
      </c>
      <c r="V3" s="35"/>
      <c r="W3" s="7"/>
      <c r="X3" s="7"/>
      <c r="Y3" s="7"/>
      <c r="Z3" s="7"/>
      <c r="AA3" s="7"/>
    </row>
    <row r="4" ht="18.75" customHeight="1">
      <c r="A4" s="8" t="s">
        <v>22</v>
      </c>
      <c r="B4" s="9" t="s">
        <v>32</v>
      </c>
      <c r="C4" s="9" t="s">
        <v>33</v>
      </c>
      <c r="D4" s="10">
        <v>1347.0</v>
      </c>
      <c r="E4" s="9" t="s">
        <v>36</v>
      </c>
      <c r="F4" s="11" t="s">
        <v>37</v>
      </c>
      <c r="G4" s="12" t="s">
        <v>27</v>
      </c>
      <c r="H4" s="13">
        <v>410.0</v>
      </c>
      <c r="I4" s="14">
        <v>10.0</v>
      </c>
      <c r="J4" s="15" t="s">
        <v>38</v>
      </c>
      <c r="K4" s="16">
        <v>0.5</v>
      </c>
      <c r="L4" s="17">
        <f t="shared" si="1"/>
        <v>5</v>
      </c>
      <c r="M4" s="17">
        <f t="shared" si="2"/>
        <v>5</v>
      </c>
      <c r="N4" s="18">
        <f t="shared" si="3"/>
        <v>205</v>
      </c>
      <c r="O4" s="18">
        <f t="shared" si="4"/>
        <v>205</v>
      </c>
      <c r="P4" s="18">
        <f t="shared" si="5"/>
        <v>205</v>
      </c>
      <c r="Q4" s="8">
        <v>0.0</v>
      </c>
      <c r="R4" s="18">
        <f t="shared" si="6"/>
        <v>41</v>
      </c>
      <c r="S4" s="19" t="s">
        <v>29</v>
      </c>
      <c r="T4" s="19" t="s">
        <v>30</v>
      </c>
      <c r="U4" s="36" t="s">
        <v>39</v>
      </c>
      <c r="V4" s="37"/>
      <c r="W4" s="7"/>
      <c r="X4" s="7"/>
      <c r="Y4" s="7"/>
      <c r="Z4" s="7"/>
      <c r="AA4" s="7"/>
    </row>
    <row r="5" ht="18.75" customHeight="1">
      <c r="A5" s="22" t="s">
        <v>22</v>
      </c>
      <c r="B5" s="23" t="s">
        <v>32</v>
      </c>
      <c r="C5" s="23" t="s">
        <v>33</v>
      </c>
      <c r="D5" s="24">
        <v>1349.0</v>
      </c>
      <c r="E5" s="23" t="s">
        <v>40</v>
      </c>
      <c r="F5" s="25" t="s">
        <v>26</v>
      </c>
      <c r="G5" s="26" t="s">
        <v>27</v>
      </c>
      <c r="H5" s="27">
        <v>1351.57</v>
      </c>
      <c r="I5" s="28">
        <v>10.0</v>
      </c>
      <c r="J5" s="29" t="s">
        <v>38</v>
      </c>
      <c r="K5" s="30">
        <v>0.5</v>
      </c>
      <c r="L5" s="31">
        <f t="shared" si="1"/>
        <v>5</v>
      </c>
      <c r="M5" s="31">
        <f t="shared" si="2"/>
        <v>5</v>
      </c>
      <c r="N5" s="32">
        <f t="shared" si="3"/>
        <v>675.785</v>
      </c>
      <c r="O5" s="32">
        <f t="shared" si="4"/>
        <v>675.785</v>
      </c>
      <c r="P5" s="32">
        <f t="shared" si="5"/>
        <v>675.785</v>
      </c>
      <c r="Q5" s="22">
        <v>0.0</v>
      </c>
      <c r="R5" s="32">
        <f t="shared" si="6"/>
        <v>135.157</v>
      </c>
      <c r="S5" s="33" t="s">
        <v>29</v>
      </c>
      <c r="T5" s="33" t="s">
        <v>30</v>
      </c>
      <c r="U5" s="34" t="s">
        <v>41</v>
      </c>
      <c r="V5" s="35"/>
      <c r="W5" s="7"/>
      <c r="X5" s="7"/>
      <c r="Y5" s="7"/>
      <c r="Z5" s="7"/>
      <c r="AA5" s="7"/>
    </row>
    <row r="6" ht="18.75" customHeight="1">
      <c r="A6" s="8" t="s">
        <v>22</v>
      </c>
      <c r="B6" s="9" t="s">
        <v>32</v>
      </c>
      <c r="C6" s="9" t="s">
        <v>33</v>
      </c>
      <c r="D6" s="10">
        <v>1350.0</v>
      </c>
      <c r="E6" s="9" t="s">
        <v>42</v>
      </c>
      <c r="F6" s="11" t="s">
        <v>26</v>
      </c>
      <c r="G6" s="12" t="s">
        <v>27</v>
      </c>
      <c r="H6" s="13">
        <v>1897.0</v>
      </c>
      <c r="I6" s="14">
        <v>10.0</v>
      </c>
      <c r="J6" s="15" t="s">
        <v>38</v>
      </c>
      <c r="K6" s="16">
        <v>0.5</v>
      </c>
      <c r="L6" s="17">
        <f t="shared" si="1"/>
        <v>5</v>
      </c>
      <c r="M6" s="17">
        <f t="shared" si="2"/>
        <v>5</v>
      </c>
      <c r="N6" s="18">
        <f t="shared" si="3"/>
        <v>948.5</v>
      </c>
      <c r="O6" s="18">
        <f t="shared" si="4"/>
        <v>948.5</v>
      </c>
      <c r="P6" s="18">
        <f t="shared" si="5"/>
        <v>948.5</v>
      </c>
      <c r="Q6" s="8">
        <v>0.0</v>
      </c>
      <c r="R6" s="18">
        <f t="shared" si="6"/>
        <v>189.7</v>
      </c>
      <c r="S6" s="19" t="s">
        <v>29</v>
      </c>
      <c r="T6" s="19" t="s">
        <v>30</v>
      </c>
      <c r="U6" s="20" t="s">
        <v>43</v>
      </c>
      <c r="V6" s="37"/>
      <c r="W6" s="7"/>
      <c r="X6" s="7"/>
      <c r="Y6" s="7"/>
      <c r="Z6" s="7"/>
      <c r="AA6" s="7"/>
    </row>
    <row r="7" ht="18.75" customHeight="1">
      <c r="A7" s="22" t="s">
        <v>22</v>
      </c>
      <c r="B7" s="23" t="s">
        <v>32</v>
      </c>
      <c r="C7" s="23" t="s">
        <v>33</v>
      </c>
      <c r="D7" s="24">
        <v>1351.0</v>
      </c>
      <c r="E7" s="23" t="s">
        <v>44</v>
      </c>
      <c r="F7" s="25" t="s">
        <v>26</v>
      </c>
      <c r="G7" s="26" t="s">
        <v>27</v>
      </c>
      <c r="H7" s="27">
        <v>2338.0</v>
      </c>
      <c r="I7" s="28">
        <v>10.0</v>
      </c>
      <c r="J7" s="29" t="s">
        <v>38</v>
      </c>
      <c r="K7" s="30">
        <v>0.5</v>
      </c>
      <c r="L7" s="31">
        <f t="shared" si="1"/>
        <v>5</v>
      </c>
      <c r="M7" s="31">
        <f t="shared" si="2"/>
        <v>5</v>
      </c>
      <c r="N7" s="32">
        <f t="shared" si="3"/>
        <v>1169</v>
      </c>
      <c r="O7" s="32">
        <f t="shared" si="4"/>
        <v>1169</v>
      </c>
      <c r="P7" s="32">
        <f t="shared" si="5"/>
        <v>1169</v>
      </c>
      <c r="Q7" s="22">
        <v>0.0</v>
      </c>
      <c r="R7" s="32">
        <f t="shared" si="6"/>
        <v>233.8</v>
      </c>
      <c r="S7" s="33" t="s">
        <v>29</v>
      </c>
      <c r="T7" s="33" t="s">
        <v>30</v>
      </c>
      <c r="U7" s="38" t="s">
        <v>45</v>
      </c>
      <c r="V7" s="35"/>
      <c r="W7" s="7"/>
      <c r="X7" s="7"/>
      <c r="Y7" s="7"/>
      <c r="Z7" s="7"/>
      <c r="AA7" s="7"/>
    </row>
    <row r="8" ht="18.75" customHeight="1">
      <c r="A8" s="8" t="s">
        <v>22</v>
      </c>
      <c r="B8" s="9" t="s">
        <v>32</v>
      </c>
      <c r="C8" s="9" t="s">
        <v>33</v>
      </c>
      <c r="D8" s="10">
        <v>1352.0</v>
      </c>
      <c r="E8" s="9" t="s">
        <v>46</v>
      </c>
      <c r="F8" s="11" t="s">
        <v>37</v>
      </c>
      <c r="G8" s="39"/>
      <c r="H8" s="13">
        <v>369.52</v>
      </c>
      <c r="I8" s="14">
        <v>10.0</v>
      </c>
      <c r="J8" s="15" t="s">
        <v>38</v>
      </c>
      <c r="K8" s="16">
        <v>0.5</v>
      </c>
      <c r="L8" s="17">
        <f t="shared" si="1"/>
        <v>5</v>
      </c>
      <c r="M8" s="17">
        <f t="shared" si="2"/>
        <v>5</v>
      </c>
      <c r="N8" s="18">
        <f t="shared" si="3"/>
        <v>184.76</v>
      </c>
      <c r="O8" s="18">
        <f t="shared" si="4"/>
        <v>184.76</v>
      </c>
      <c r="P8" s="18">
        <f t="shared" si="5"/>
        <v>184.76</v>
      </c>
      <c r="Q8" s="8">
        <v>0.0</v>
      </c>
      <c r="R8" s="18">
        <f t="shared" si="6"/>
        <v>36.952</v>
      </c>
      <c r="S8" s="19" t="s">
        <v>29</v>
      </c>
      <c r="T8" s="19" t="s">
        <v>30</v>
      </c>
      <c r="U8" s="36" t="s">
        <v>47</v>
      </c>
      <c r="V8" s="37"/>
      <c r="W8" s="7"/>
      <c r="X8" s="7"/>
      <c r="Y8" s="7"/>
      <c r="Z8" s="7"/>
      <c r="AA8" s="7"/>
    </row>
    <row r="9" ht="18.75" customHeight="1">
      <c r="A9" s="22" t="s">
        <v>22</v>
      </c>
      <c r="B9" s="23" t="s">
        <v>32</v>
      </c>
      <c r="C9" s="23" t="s">
        <v>33</v>
      </c>
      <c r="D9" s="24">
        <v>1353.0</v>
      </c>
      <c r="E9" s="23" t="s">
        <v>48</v>
      </c>
      <c r="F9" s="25" t="s">
        <v>37</v>
      </c>
      <c r="G9" s="40"/>
      <c r="H9" s="27">
        <v>369.52</v>
      </c>
      <c r="I9" s="28">
        <v>10.0</v>
      </c>
      <c r="J9" s="29" t="s">
        <v>38</v>
      </c>
      <c r="K9" s="30">
        <v>0.5</v>
      </c>
      <c r="L9" s="31">
        <f t="shared" si="1"/>
        <v>5</v>
      </c>
      <c r="M9" s="31">
        <f t="shared" si="2"/>
        <v>5</v>
      </c>
      <c r="N9" s="32">
        <f t="shared" si="3"/>
        <v>184.76</v>
      </c>
      <c r="O9" s="32">
        <f t="shared" si="4"/>
        <v>184.76</v>
      </c>
      <c r="P9" s="32">
        <f t="shared" si="5"/>
        <v>184.76</v>
      </c>
      <c r="Q9" s="22">
        <v>0.0</v>
      </c>
      <c r="R9" s="32">
        <f t="shared" si="6"/>
        <v>36.952</v>
      </c>
      <c r="S9" s="33" t="s">
        <v>29</v>
      </c>
      <c r="T9" s="33" t="s">
        <v>30</v>
      </c>
      <c r="U9" s="38" t="s">
        <v>47</v>
      </c>
      <c r="V9" s="35"/>
      <c r="W9" s="7"/>
      <c r="X9" s="7"/>
      <c r="Y9" s="7"/>
      <c r="Z9" s="7"/>
      <c r="AA9" s="7"/>
    </row>
    <row r="10" ht="18.75" customHeight="1">
      <c r="A10" s="8" t="s">
        <v>22</v>
      </c>
      <c r="B10" s="9" t="s">
        <v>32</v>
      </c>
      <c r="C10" s="9" t="s">
        <v>33</v>
      </c>
      <c r="D10" s="10">
        <v>1354.0</v>
      </c>
      <c r="E10" s="9" t="s">
        <v>49</v>
      </c>
      <c r="F10" s="11" t="s">
        <v>26</v>
      </c>
      <c r="G10" s="12" t="s">
        <v>27</v>
      </c>
      <c r="H10" s="13">
        <v>22652.48</v>
      </c>
      <c r="I10" s="14">
        <v>10.0</v>
      </c>
      <c r="J10" s="15" t="s">
        <v>38</v>
      </c>
      <c r="K10" s="16">
        <v>0.5</v>
      </c>
      <c r="L10" s="17">
        <f t="shared" si="1"/>
        <v>5</v>
      </c>
      <c r="M10" s="17">
        <f t="shared" si="2"/>
        <v>5</v>
      </c>
      <c r="N10" s="18">
        <f t="shared" si="3"/>
        <v>11326.24</v>
      </c>
      <c r="O10" s="18">
        <f t="shared" si="4"/>
        <v>11326.24</v>
      </c>
      <c r="P10" s="18">
        <f t="shared" si="5"/>
        <v>11326.24</v>
      </c>
      <c r="Q10" s="8">
        <v>0.0</v>
      </c>
      <c r="R10" s="18">
        <f t="shared" si="6"/>
        <v>2265.248</v>
      </c>
      <c r="S10" s="19" t="s">
        <v>29</v>
      </c>
      <c r="T10" s="19" t="s">
        <v>30</v>
      </c>
      <c r="U10" s="20" t="s">
        <v>50</v>
      </c>
      <c r="V10" s="37"/>
      <c r="W10" s="7"/>
      <c r="X10" s="7"/>
      <c r="Y10" s="7"/>
      <c r="Z10" s="7"/>
      <c r="AA10" s="7"/>
    </row>
    <row r="11" ht="18.75" customHeight="1">
      <c r="A11" s="22" t="s">
        <v>22</v>
      </c>
      <c r="B11" s="23" t="s">
        <v>32</v>
      </c>
      <c r="C11" s="23" t="s">
        <v>33</v>
      </c>
      <c r="D11" s="24">
        <v>1355.0</v>
      </c>
      <c r="E11" s="23" t="s">
        <v>51</v>
      </c>
      <c r="F11" s="25" t="s">
        <v>37</v>
      </c>
      <c r="G11" s="26" t="s">
        <v>27</v>
      </c>
      <c r="H11" s="27">
        <v>469.2</v>
      </c>
      <c r="I11" s="28">
        <v>10.0</v>
      </c>
      <c r="J11" s="29" t="s">
        <v>28</v>
      </c>
      <c r="K11" s="30">
        <v>0.4</v>
      </c>
      <c r="L11" s="31">
        <f t="shared" si="1"/>
        <v>4</v>
      </c>
      <c r="M11" s="31">
        <f t="shared" si="2"/>
        <v>6</v>
      </c>
      <c r="N11" s="32">
        <f t="shared" si="3"/>
        <v>187.68</v>
      </c>
      <c r="O11" s="32">
        <f t="shared" si="4"/>
        <v>281.52</v>
      </c>
      <c r="P11" s="32">
        <f t="shared" si="5"/>
        <v>281.52</v>
      </c>
      <c r="Q11" s="22">
        <v>0.0</v>
      </c>
      <c r="R11" s="32">
        <f t="shared" si="6"/>
        <v>46.92</v>
      </c>
      <c r="S11" s="33" t="s">
        <v>29</v>
      </c>
      <c r="T11" s="33" t="s">
        <v>30</v>
      </c>
      <c r="U11" s="38" t="s">
        <v>52</v>
      </c>
      <c r="V11" s="35"/>
      <c r="W11" s="7"/>
      <c r="X11" s="7"/>
      <c r="Y11" s="7"/>
      <c r="Z11" s="7"/>
      <c r="AA11" s="7"/>
    </row>
    <row r="12" ht="18.75" customHeight="1">
      <c r="A12" s="8" t="s">
        <v>22</v>
      </c>
      <c r="B12" s="9" t="s">
        <v>32</v>
      </c>
      <c r="C12" s="9" t="s">
        <v>33</v>
      </c>
      <c r="D12" s="10">
        <v>1359.0</v>
      </c>
      <c r="E12" s="9" t="s">
        <v>53</v>
      </c>
      <c r="F12" s="11" t="s">
        <v>26</v>
      </c>
      <c r="G12" s="12" t="s">
        <v>27</v>
      </c>
      <c r="H12" s="13">
        <v>279.0</v>
      </c>
      <c r="I12" s="14">
        <v>5.0</v>
      </c>
      <c r="J12" s="15" t="s">
        <v>54</v>
      </c>
      <c r="K12" s="16">
        <v>0.3</v>
      </c>
      <c r="L12" s="17">
        <f t="shared" si="1"/>
        <v>1.5</v>
      </c>
      <c r="M12" s="17">
        <f t="shared" si="2"/>
        <v>3.5</v>
      </c>
      <c r="N12" s="18">
        <f t="shared" si="3"/>
        <v>83.7</v>
      </c>
      <c r="O12" s="18">
        <f t="shared" si="4"/>
        <v>195.3</v>
      </c>
      <c r="P12" s="18">
        <f t="shared" si="5"/>
        <v>195.3</v>
      </c>
      <c r="Q12" s="8">
        <v>0.0</v>
      </c>
      <c r="R12" s="18">
        <f t="shared" si="6"/>
        <v>55.8</v>
      </c>
      <c r="S12" s="19" t="s">
        <v>29</v>
      </c>
      <c r="T12" s="19" t="s">
        <v>30</v>
      </c>
      <c r="U12" s="20" t="s">
        <v>55</v>
      </c>
      <c r="V12" s="37"/>
      <c r="W12" s="7"/>
      <c r="X12" s="7"/>
      <c r="Y12" s="7"/>
      <c r="Z12" s="7"/>
      <c r="AA12" s="7"/>
    </row>
    <row r="13" ht="18.75" customHeight="1">
      <c r="A13" s="22" t="s">
        <v>22</v>
      </c>
      <c r="B13" s="23" t="s">
        <v>32</v>
      </c>
      <c r="C13" s="23" t="s">
        <v>33</v>
      </c>
      <c r="D13" s="24">
        <v>1365.0</v>
      </c>
      <c r="E13" s="23" t="s">
        <v>56</v>
      </c>
      <c r="F13" s="25" t="s">
        <v>37</v>
      </c>
      <c r="G13" s="40"/>
      <c r="H13" s="27">
        <v>699.0</v>
      </c>
      <c r="I13" s="28">
        <v>10.0</v>
      </c>
      <c r="J13" s="22" t="s">
        <v>54</v>
      </c>
      <c r="K13" s="30">
        <v>0.3</v>
      </c>
      <c r="L13" s="31">
        <f t="shared" si="1"/>
        <v>3</v>
      </c>
      <c r="M13" s="31">
        <f t="shared" si="2"/>
        <v>7</v>
      </c>
      <c r="N13" s="32">
        <f t="shared" si="3"/>
        <v>209.7</v>
      </c>
      <c r="O13" s="32">
        <f t="shared" si="4"/>
        <v>489.3</v>
      </c>
      <c r="P13" s="32">
        <f t="shared" si="5"/>
        <v>489.3</v>
      </c>
      <c r="Q13" s="22">
        <v>0.0</v>
      </c>
      <c r="R13" s="32">
        <f t="shared" si="6"/>
        <v>69.9</v>
      </c>
      <c r="S13" s="33" t="s">
        <v>29</v>
      </c>
      <c r="T13" s="33" t="s">
        <v>30</v>
      </c>
      <c r="U13" s="38" t="s">
        <v>57</v>
      </c>
      <c r="V13" s="35"/>
      <c r="W13" s="7"/>
      <c r="X13" s="7"/>
      <c r="Y13" s="7"/>
      <c r="Z13" s="7"/>
      <c r="AA13" s="7"/>
    </row>
    <row r="14" ht="18.75" customHeight="1">
      <c r="A14" s="8" t="s">
        <v>22</v>
      </c>
      <c r="B14" s="9" t="s">
        <v>32</v>
      </c>
      <c r="C14" s="9" t="s">
        <v>33</v>
      </c>
      <c r="D14" s="10">
        <v>1374.0</v>
      </c>
      <c r="E14" s="9" t="s">
        <v>58</v>
      </c>
      <c r="F14" s="11" t="s">
        <v>26</v>
      </c>
      <c r="G14" s="12" t="s">
        <v>27</v>
      </c>
      <c r="H14" s="13">
        <v>1389.99</v>
      </c>
      <c r="I14" s="14">
        <v>5.0</v>
      </c>
      <c r="J14" s="15" t="s">
        <v>54</v>
      </c>
      <c r="K14" s="16">
        <v>0.3</v>
      </c>
      <c r="L14" s="17">
        <f t="shared" si="1"/>
        <v>1.5</v>
      </c>
      <c r="M14" s="17">
        <f t="shared" si="2"/>
        <v>3.5</v>
      </c>
      <c r="N14" s="18">
        <f t="shared" si="3"/>
        <v>416.997</v>
      </c>
      <c r="O14" s="18">
        <f t="shared" si="4"/>
        <v>972.993</v>
      </c>
      <c r="P14" s="18">
        <f t="shared" si="5"/>
        <v>972.993</v>
      </c>
      <c r="Q14" s="8">
        <v>0.0</v>
      </c>
      <c r="R14" s="18">
        <f t="shared" si="6"/>
        <v>277.998</v>
      </c>
      <c r="S14" s="19" t="s">
        <v>29</v>
      </c>
      <c r="T14" s="19" t="s">
        <v>30</v>
      </c>
      <c r="U14" s="20" t="s">
        <v>59</v>
      </c>
      <c r="V14" s="37"/>
      <c r="W14" s="7"/>
      <c r="X14" s="7"/>
      <c r="Y14" s="7"/>
      <c r="Z14" s="7"/>
      <c r="AA14" s="7"/>
    </row>
    <row r="15" ht="18.75" customHeight="1">
      <c r="A15" s="22" t="s">
        <v>22</v>
      </c>
      <c r="B15" s="23" t="s">
        <v>60</v>
      </c>
      <c r="C15" s="23" t="s">
        <v>61</v>
      </c>
      <c r="D15" s="24">
        <v>1379.0</v>
      </c>
      <c r="E15" s="23" t="s">
        <v>62</v>
      </c>
      <c r="F15" s="25" t="s">
        <v>37</v>
      </c>
      <c r="G15" s="40"/>
      <c r="H15" s="27">
        <v>314.99</v>
      </c>
      <c r="I15" s="28">
        <v>10.0</v>
      </c>
      <c r="J15" s="41" t="s">
        <v>63</v>
      </c>
      <c r="K15" s="42">
        <v>0.7</v>
      </c>
      <c r="L15" s="31">
        <f t="shared" si="1"/>
        <v>7</v>
      </c>
      <c r="M15" s="31">
        <f t="shared" si="2"/>
        <v>3</v>
      </c>
      <c r="N15" s="32">
        <f t="shared" si="3"/>
        <v>220.493</v>
      </c>
      <c r="O15" s="32">
        <f t="shared" si="4"/>
        <v>94.497</v>
      </c>
      <c r="P15" s="32">
        <f t="shared" si="5"/>
        <v>94.497</v>
      </c>
      <c r="Q15" s="22">
        <v>0.0</v>
      </c>
      <c r="R15" s="32">
        <f t="shared" si="6"/>
        <v>31.499</v>
      </c>
      <c r="S15" s="33" t="s">
        <v>29</v>
      </c>
      <c r="T15" s="33" t="s">
        <v>30</v>
      </c>
      <c r="U15" s="38" t="s">
        <v>64</v>
      </c>
      <c r="V15" s="35"/>
      <c r="W15" s="7"/>
      <c r="X15" s="7"/>
      <c r="Y15" s="7"/>
      <c r="Z15" s="7"/>
      <c r="AA15" s="7"/>
    </row>
    <row r="16" ht="18.75" customHeight="1">
      <c r="A16" s="8" t="s">
        <v>22</v>
      </c>
      <c r="B16" s="9" t="s">
        <v>32</v>
      </c>
      <c r="C16" s="9" t="s">
        <v>33</v>
      </c>
      <c r="D16" s="10">
        <v>1569.0</v>
      </c>
      <c r="E16" s="9" t="s">
        <v>65</v>
      </c>
      <c r="F16" s="11" t="s">
        <v>37</v>
      </c>
      <c r="G16" s="12" t="s">
        <v>27</v>
      </c>
      <c r="H16" s="13">
        <v>469.2</v>
      </c>
      <c r="I16" s="14">
        <v>10.0</v>
      </c>
      <c r="J16" s="15" t="s">
        <v>28</v>
      </c>
      <c r="K16" s="16">
        <v>0.4</v>
      </c>
      <c r="L16" s="17">
        <f t="shared" si="1"/>
        <v>4</v>
      </c>
      <c r="M16" s="17">
        <f t="shared" si="2"/>
        <v>6</v>
      </c>
      <c r="N16" s="18">
        <f t="shared" si="3"/>
        <v>187.68</v>
      </c>
      <c r="O16" s="18">
        <f t="shared" si="4"/>
        <v>281.52</v>
      </c>
      <c r="P16" s="18">
        <f t="shared" si="5"/>
        <v>281.52</v>
      </c>
      <c r="Q16" s="8">
        <v>0.0</v>
      </c>
      <c r="R16" s="18">
        <f t="shared" si="6"/>
        <v>46.92</v>
      </c>
      <c r="S16" s="19" t="s">
        <v>29</v>
      </c>
      <c r="T16" s="19" t="s">
        <v>30</v>
      </c>
      <c r="U16" s="36" t="s">
        <v>52</v>
      </c>
      <c r="V16" s="37"/>
      <c r="W16" s="7"/>
      <c r="X16" s="7"/>
      <c r="Y16" s="7"/>
      <c r="Z16" s="7"/>
      <c r="AA16" s="7"/>
    </row>
    <row r="17" ht="18.75" customHeight="1">
      <c r="A17" s="22" t="s">
        <v>22</v>
      </c>
      <c r="B17" s="23" t="s">
        <v>32</v>
      </c>
      <c r="C17" s="23" t="s">
        <v>33</v>
      </c>
      <c r="D17" s="24">
        <v>1572.0</v>
      </c>
      <c r="E17" s="23" t="s">
        <v>66</v>
      </c>
      <c r="F17" s="25" t="s">
        <v>26</v>
      </c>
      <c r="G17" s="40"/>
      <c r="H17" s="27">
        <v>4899.9</v>
      </c>
      <c r="I17" s="28">
        <v>5.0</v>
      </c>
      <c r="J17" s="29" t="s">
        <v>38</v>
      </c>
      <c r="K17" s="30">
        <v>0.5</v>
      </c>
      <c r="L17" s="31">
        <f t="shared" si="1"/>
        <v>2.5</v>
      </c>
      <c r="M17" s="31">
        <f t="shared" si="2"/>
        <v>2.5</v>
      </c>
      <c r="N17" s="32">
        <f t="shared" si="3"/>
        <v>2449.95</v>
      </c>
      <c r="O17" s="32">
        <f t="shared" si="4"/>
        <v>2449.95</v>
      </c>
      <c r="P17" s="32">
        <f t="shared" si="5"/>
        <v>2449.95</v>
      </c>
      <c r="Q17" s="22">
        <v>0.0</v>
      </c>
      <c r="R17" s="32">
        <f t="shared" si="6"/>
        <v>979.98</v>
      </c>
      <c r="S17" s="33" t="s">
        <v>29</v>
      </c>
      <c r="T17" s="33" t="s">
        <v>30</v>
      </c>
      <c r="U17" s="34" t="s">
        <v>67</v>
      </c>
      <c r="V17" s="35"/>
      <c r="W17" s="7"/>
      <c r="X17" s="7"/>
      <c r="Y17" s="7"/>
      <c r="Z17" s="7"/>
      <c r="AA17" s="7"/>
    </row>
    <row r="18" ht="18.75" customHeight="1">
      <c r="A18" s="8" t="s">
        <v>22</v>
      </c>
      <c r="B18" s="9" t="s">
        <v>32</v>
      </c>
      <c r="C18" s="9" t="s">
        <v>33</v>
      </c>
      <c r="D18" s="10">
        <v>1583.0</v>
      </c>
      <c r="E18" s="9" t="s">
        <v>68</v>
      </c>
      <c r="F18" s="11" t="s">
        <v>37</v>
      </c>
      <c r="G18" s="39"/>
      <c r="H18" s="43">
        <v>1880.55</v>
      </c>
      <c r="I18" s="14">
        <v>10.0</v>
      </c>
      <c r="J18" s="15" t="s">
        <v>38</v>
      </c>
      <c r="K18" s="16">
        <v>0.5</v>
      </c>
      <c r="L18" s="17">
        <f t="shared" si="1"/>
        <v>5</v>
      </c>
      <c r="M18" s="17">
        <f t="shared" si="2"/>
        <v>5</v>
      </c>
      <c r="N18" s="18">
        <f t="shared" si="3"/>
        <v>940.275</v>
      </c>
      <c r="O18" s="18">
        <f t="shared" si="4"/>
        <v>940.275</v>
      </c>
      <c r="P18" s="18">
        <f t="shared" si="5"/>
        <v>940.275</v>
      </c>
      <c r="Q18" s="8">
        <v>0.0</v>
      </c>
      <c r="R18" s="18">
        <f t="shared" si="6"/>
        <v>188.055</v>
      </c>
      <c r="S18" s="19" t="s">
        <v>29</v>
      </c>
      <c r="T18" s="19" t="s">
        <v>30</v>
      </c>
      <c r="U18" s="44" t="s">
        <v>69</v>
      </c>
      <c r="V18" s="37"/>
      <c r="W18" s="7"/>
      <c r="X18" s="7"/>
      <c r="Y18" s="7"/>
      <c r="Z18" s="7"/>
      <c r="AA18" s="7"/>
    </row>
    <row r="19" ht="18.75" customHeight="1">
      <c r="A19" s="22" t="s">
        <v>22</v>
      </c>
      <c r="B19" s="23" t="s">
        <v>32</v>
      </c>
      <c r="C19" s="23" t="s">
        <v>61</v>
      </c>
      <c r="D19" s="24">
        <v>1587.0</v>
      </c>
      <c r="E19" s="23" t="s">
        <v>70</v>
      </c>
      <c r="F19" s="25" t="s">
        <v>26</v>
      </c>
      <c r="G19" s="40"/>
      <c r="H19" s="27">
        <v>1802.68</v>
      </c>
      <c r="I19" s="28">
        <v>10.0</v>
      </c>
      <c r="J19" s="45" t="s">
        <v>63</v>
      </c>
      <c r="K19" s="42">
        <v>0.7</v>
      </c>
      <c r="L19" s="31">
        <f t="shared" si="1"/>
        <v>7</v>
      </c>
      <c r="M19" s="31">
        <f t="shared" si="2"/>
        <v>3</v>
      </c>
      <c r="N19" s="32">
        <f t="shared" si="3"/>
        <v>1261.876</v>
      </c>
      <c r="O19" s="32">
        <f t="shared" si="4"/>
        <v>540.804</v>
      </c>
      <c r="P19" s="32">
        <f t="shared" si="5"/>
        <v>540.804</v>
      </c>
      <c r="Q19" s="22">
        <v>0.0</v>
      </c>
      <c r="R19" s="32">
        <f t="shared" si="6"/>
        <v>180.268</v>
      </c>
      <c r="S19" s="33" t="s">
        <v>29</v>
      </c>
      <c r="T19" s="33" t="s">
        <v>30</v>
      </c>
      <c r="U19" s="38" t="s">
        <v>71</v>
      </c>
      <c r="V19" s="35"/>
      <c r="W19" s="7"/>
      <c r="X19" s="7"/>
      <c r="Y19" s="7"/>
      <c r="Z19" s="7"/>
      <c r="AA19" s="7"/>
    </row>
    <row r="20" ht="18.75" customHeight="1">
      <c r="A20" s="8" t="s">
        <v>22</v>
      </c>
      <c r="B20" s="9" t="s">
        <v>72</v>
      </c>
      <c r="C20" s="9" t="s">
        <v>73</v>
      </c>
      <c r="D20" s="10">
        <v>2157.0</v>
      </c>
      <c r="E20" s="46" t="s">
        <v>74</v>
      </c>
      <c r="F20" s="11" t="s">
        <v>37</v>
      </c>
      <c r="G20" s="39"/>
      <c r="H20" s="43">
        <v>233.99</v>
      </c>
      <c r="I20" s="14">
        <v>10.0</v>
      </c>
      <c r="J20" s="15" t="s">
        <v>38</v>
      </c>
      <c r="K20" s="16">
        <v>0.5</v>
      </c>
      <c r="L20" s="17">
        <f t="shared" si="1"/>
        <v>5</v>
      </c>
      <c r="M20" s="17">
        <f t="shared" si="2"/>
        <v>5</v>
      </c>
      <c r="N20" s="18">
        <f t="shared" si="3"/>
        <v>116.995</v>
      </c>
      <c r="O20" s="18">
        <f t="shared" si="4"/>
        <v>116.995</v>
      </c>
      <c r="P20" s="18">
        <f t="shared" si="5"/>
        <v>116.995</v>
      </c>
      <c r="Q20" s="8">
        <v>0.0</v>
      </c>
      <c r="R20" s="18">
        <f t="shared" si="6"/>
        <v>23.399</v>
      </c>
      <c r="S20" s="19" t="s">
        <v>29</v>
      </c>
      <c r="T20" s="19" t="s">
        <v>30</v>
      </c>
      <c r="U20" s="47" t="s">
        <v>75</v>
      </c>
      <c r="V20" s="37"/>
      <c r="W20" s="7"/>
      <c r="X20" s="7"/>
      <c r="Y20" s="7"/>
      <c r="Z20" s="7"/>
      <c r="AA20" s="7"/>
    </row>
    <row r="21" ht="18.75" customHeight="1">
      <c r="A21" s="22" t="s">
        <v>22</v>
      </c>
      <c r="B21" s="23" t="s">
        <v>72</v>
      </c>
      <c r="C21" s="23" t="s">
        <v>73</v>
      </c>
      <c r="D21" s="24">
        <v>2264.0</v>
      </c>
      <c r="E21" s="23" t="s">
        <v>76</v>
      </c>
      <c r="F21" s="25" t="s">
        <v>37</v>
      </c>
      <c r="G21" s="40"/>
      <c r="H21" s="27">
        <v>156.75</v>
      </c>
      <c r="I21" s="28">
        <v>10.0</v>
      </c>
      <c r="J21" s="29" t="s">
        <v>38</v>
      </c>
      <c r="K21" s="30">
        <v>0.5</v>
      </c>
      <c r="L21" s="31">
        <f t="shared" si="1"/>
        <v>5</v>
      </c>
      <c r="M21" s="31">
        <f t="shared" si="2"/>
        <v>5</v>
      </c>
      <c r="N21" s="32">
        <f t="shared" si="3"/>
        <v>78.375</v>
      </c>
      <c r="O21" s="32">
        <f t="shared" si="4"/>
        <v>78.375</v>
      </c>
      <c r="P21" s="32">
        <f t="shared" si="5"/>
        <v>78.375</v>
      </c>
      <c r="Q21" s="22">
        <v>0.0</v>
      </c>
      <c r="R21" s="32">
        <f t="shared" si="6"/>
        <v>15.675</v>
      </c>
      <c r="S21" s="33" t="s">
        <v>29</v>
      </c>
      <c r="T21" s="33" t="s">
        <v>30</v>
      </c>
      <c r="U21" s="38" t="s">
        <v>77</v>
      </c>
      <c r="V21" s="35"/>
      <c r="W21" s="7"/>
      <c r="X21" s="7"/>
      <c r="Y21" s="7"/>
      <c r="Z21" s="7"/>
      <c r="AA21" s="7"/>
    </row>
    <row r="22" ht="18.75" customHeight="1">
      <c r="A22" s="8" t="s">
        <v>22</v>
      </c>
      <c r="B22" s="9" t="s">
        <v>32</v>
      </c>
      <c r="C22" s="9" t="s">
        <v>33</v>
      </c>
      <c r="D22" s="10">
        <v>2359.0</v>
      </c>
      <c r="E22" s="9" t="s">
        <v>78</v>
      </c>
      <c r="F22" s="11" t="s">
        <v>26</v>
      </c>
      <c r="G22" s="12" t="s">
        <v>27</v>
      </c>
      <c r="H22" s="13">
        <v>603.0</v>
      </c>
      <c r="I22" s="14">
        <v>5.0</v>
      </c>
      <c r="J22" s="15" t="s">
        <v>28</v>
      </c>
      <c r="K22" s="16">
        <v>0.4</v>
      </c>
      <c r="L22" s="17">
        <f t="shared" si="1"/>
        <v>2</v>
      </c>
      <c r="M22" s="17">
        <f t="shared" si="2"/>
        <v>3</v>
      </c>
      <c r="N22" s="18">
        <f t="shared" si="3"/>
        <v>241.2</v>
      </c>
      <c r="O22" s="18">
        <f t="shared" si="4"/>
        <v>361.8</v>
      </c>
      <c r="P22" s="18">
        <f t="shared" si="5"/>
        <v>361.8</v>
      </c>
      <c r="Q22" s="8">
        <v>0.0</v>
      </c>
      <c r="R22" s="18">
        <f t="shared" si="6"/>
        <v>120.6</v>
      </c>
      <c r="S22" s="19" t="s">
        <v>29</v>
      </c>
      <c r="T22" s="19" t="s">
        <v>30</v>
      </c>
      <c r="U22" s="20" t="s">
        <v>79</v>
      </c>
      <c r="V22" s="37"/>
      <c r="W22" s="7"/>
      <c r="X22" s="7"/>
      <c r="Y22" s="7"/>
      <c r="Z22" s="7"/>
      <c r="AA22" s="7"/>
    </row>
    <row r="23" ht="18.75" customHeight="1">
      <c r="A23" s="22" t="s">
        <v>22</v>
      </c>
      <c r="B23" s="23" t="s">
        <v>72</v>
      </c>
      <c r="C23" s="23" t="s">
        <v>24</v>
      </c>
      <c r="D23" s="24">
        <v>2444.0</v>
      </c>
      <c r="E23" s="23" t="s">
        <v>80</v>
      </c>
      <c r="F23" s="25" t="s">
        <v>26</v>
      </c>
      <c r="G23" s="40"/>
      <c r="H23" s="27">
        <v>1990.0</v>
      </c>
      <c r="I23" s="28">
        <v>10.0</v>
      </c>
      <c r="J23" s="29" t="s">
        <v>81</v>
      </c>
      <c r="K23" s="30">
        <v>0.15</v>
      </c>
      <c r="L23" s="31">
        <f t="shared" si="1"/>
        <v>1.5</v>
      </c>
      <c r="M23" s="31">
        <f t="shared" si="2"/>
        <v>8.5</v>
      </c>
      <c r="N23" s="32">
        <f t="shared" si="3"/>
        <v>298.5</v>
      </c>
      <c r="O23" s="32">
        <f t="shared" si="4"/>
        <v>1691.5</v>
      </c>
      <c r="P23" s="32">
        <f t="shared" si="5"/>
        <v>1691.5</v>
      </c>
      <c r="Q23" s="22">
        <v>0.0</v>
      </c>
      <c r="R23" s="32">
        <f t="shared" si="6"/>
        <v>199</v>
      </c>
      <c r="S23" s="33" t="s">
        <v>29</v>
      </c>
      <c r="T23" s="33" t="s">
        <v>30</v>
      </c>
      <c r="U23" s="38" t="s">
        <v>82</v>
      </c>
      <c r="V23" s="35"/>
      <c r="W23" s="7"/>
      <c r="X23" s="7"/>
      <c r="Y23" s="7"/>
      <c r="Z23" s="7"/>
      <c r="AA23" s="7"/>
    </row>
    <row r="24" ht="18.75" customHeight="1">
      <c r="A24" s="8" t="s">
        <v>22</v>
      </c>
      <c r="B24" s="9" t="s">
        <v>72</v>
      </c>
      <c r="C24" s="9" t="s">
        <v>24</v>
      </c>
      <c r="D24" s="10">
        <v>2445.0</v>
      </c>
      <c r="E24" s="9" t="s">
        <v>83</v>
      </c>
      <c r="F24" s="11" t="s">
        <v>26</v>
      </c>
      <c r="G24" s="39"/>
      <c r="H24" s="13">
        <v>9229.5</v>
      </c>
      <c r="I24" s="14">
        <v>10.0</v>
      </c>
      <c r="J24" s="8" t="s">
        <v>54</v>
      </c>
      <c r="K24" s="16">
        <v>0.3</v>
      </c>
      <c r="L24" s="17">
        <f t="shared" si="1"/>
        <v>3</v>
      </c>
      <c r="M24" s="17">
        <f t="shared" si="2"/>
        <v>7</v>
      </c>
      <c r="N24" s="18">
        <f t="shared" si="3"/>
        <v>2768.85</v>
      </c>
      <c r="O24" s="18">
        <f t="shared" si="4"/>
        <v>6460.65</v>
      </c>
      <c r="P24" s="18">
        <f t="shared" si="5"/>
        <v>6460.65</v>
      </c>
      <c r="Q24" s="8">
        <v>0.0</v>
      </c>
      <c r="R24" s="18">
        <f t="shared" si="6"/>
        <v>922.95</v>
      </c>
      <c r="S24" s="19" t="s">
        <v>29</v>
      </c>
      <c r="T24" s="19" t="s">
        <v>30</v>
      </c>
      <c r="U24" s="36" t="s">
        <v>84</v>
      </c>
      <c r="V24" s="37"/>
      <c r="W24" s="7"/>
      <c r="X24" s="7"/>
      <c r="Y24" s="7"/>
      <c r="Z24" s="7"/>
      <c r="AA24" s="7"/>
    </row>
    <row r="25" ht="18.75" customHeight="1">
      <c r="A25" s="22" t="s">
        <v>22</v>
      </c>
      <c r="B25" s="23" t="s">
        <v>72</v>
      </c>
      <c r="C25" s="23" t="s">
        <v>24</v>
      </c>
      <c r="D25" s="24">
        <v>2446.0</v>
      </c>
      <c r="E25" s="23" t="s">
        <v>85</v>
      </c>
      <c r="F25" s="25" t="s">
        <v>26</v>
      </c>
      <c r="G25" s="40"/>
      <c r="H25" s="27">
        <v>2840.5</v>
      </c>
      <c r="I25" s="28">
        <v>10.0</v>
      </c>
      <c r="J25" s="22" t="s">
        <v>54</v>
      </c>
      <c r="K25" s="30">
        <v>0.3</v>
      </c>
      <c r="L25" s="31">
        <f t="shared" si="1"/>
        <v>3</v>
      </c>
      <c r="M25" s="31">
        <f t="shared" si="2"/>
        <v>7</v>
      </c>
      <c r="N25" s="32">
        <f t="shared" si="3"/>
        <v>852.15</v>
      </c>
      <c r="O25" s="32">
        <f t="shared" si="4"/>
        <v>1988.35</v>
      </c>
      <c r="P25" s="32">
        <f t="shared" si="5"/>
        <v>1988.35</v>
      </c>
      <c r="Q25" s="22">
        <v>0.0</v>
      </c>
      <c r="R25" s="32">
        <f t="shared" si="6"/>
        <v>284.05</v>
      </c>
      <c r="S25" s="33" t="s">
        <v>29</v>
      </c>
      <c r="T25" s="33" t="s">
        <v>30</v>
      </c>
      <c r="U25" s="38" t="s">
        <v>86</v>
      </c>
      <c r="V25" s="35"/>
      <c r="W25" s="7"/>
      <c r="X25" s="7"/>
      <c r="Y25" s="7"/>
      <c r="Z25" s="7"/>
      <c r="AA25" s="7"/>
    </row>
    <row r="26" ht="18.75" customHeight="1">
      <c r="A26" s="8" t="s">
        <v>22</v>
      </c>
      <c r="B26" s="9" t="s">
        <v>72</v>
      </c>
      <c r="C26" s="9" t="s">
        <v>24</v>
      </c>
      <c r="D26" s="10">
        <v>2447.0</v>
      </c>
      <c r="E26" s="9" t="s">
        <v>87</v>
      </c>
      <c r="F26" s="11" t="s">
        <v>26</v>
      </c>
      <c r="G26" s="39"/>
      <c r="H26" s="13">
        <v>2900.3</v>
      </c>
      <c r="I26" s="14">
        <v>10.0</v>
      </c>
      <c r="J26" s="8" t="s">
        <v>54</v>
      </c>
      <c r="K26" s="16">
        <v>0.3</v>
      </c>
      <c r="L26" s="17">
        <f t="shared" si="1"/>
        <v>3</v>
      </c>
      <c r="M26" s="17">
        <f t="shared" si="2"/>
        <v>7</v>
      </c>
      <c r="N26" s="18">
        <f t="shared" si="3"/>
        <v>870.09</v>
      </c>
      <c r="O26" s="18">
        <f t="shared" si="4"/>
        <v>2030.21</v>
      </c>
      <c r="P26" s="18">
        <f t="shared" si="5"/>
        <v>2030.21</v>
      </c>
      <c r="Q26" s="8">
        <v>0.0</v>
      </c>
      <c r="R26" s="18">
        <f t="shared" si="6"/>
        <v>290.03</v>
      </c>
      <c r="S26" s="19" t="s">
        <v>29</v>
      </c>
      <c r="T26" s="19" t="s">
        <v>30</v>
      </c>
      <c r="U26" s="36" t="s">
        <v>88</v>
      </c>
      <c r="V26" s="37"/>
      <c r="W26" s="7"/>
      <c r="X26" s="7"/>
      <c r="Y26" s="7"/>
      <c r="Z26" s="7"/>
      <c r="AA26" s="7"/>
    </row>
    <row r="27" ht="18.75" customHeight="1">
      <c r="A27" s="22" t="s">
        <v>22</v>
      </c>
      <c r="B27" s="23" t="s">
        <v>72</v>
      </c>
      <c r="C27" s="23" t="s">
        <v>24</v>
      </c>
      <c r="D27" s="24">
        <v>2448.0</v>
      </c>
      <c r="E27" s="23" t="s">
        <v>89</v>
      </c>
      <c r="F27" s="25" t="s">
        <v>37</v>
      </c>
      <c r="G27" s="26" t="s">
        <v>27</v>
      </c>
      <c r="H27" s="27">
        <v>733.95</v>
      </c>
      <c r="I27" s="28">
        <v>5.0</v>
      </c>
      <c r="J27" s="45" t="s">
        <v>63</v>
      </c>
      <c r="K27" s="30">
        <v>0.7</v>
      </c>
      <c r="L27" s="31">
        <f t="shared" si="1"/>
        <v>3.5</v>
      </c>
      <c r="M27" s="31">
        <f t="shared" si="2"/>
        <v>1.5</v>
      </c>
      <c r="N27" s="32">
        <f t="shared" si="3"/>
        <v>513.765</v>
      </c>
      <c r="O27" s="32">
        <f t="shared" si="4"/>
        <v>220.185</v>
      </c>
      <c r="P27" s="32">
        <f t="shared" si="5"/>
        <v>220.185</v>
      </c>
      <c r="Q27" s="22">
        <v>0.0</v>
      </c>
      <c r="R27" s="32">
        <f t="shared" si="6"/>
        <v>146.79</v>
      </c>
      <c r="S27" s="33" t="s">
        <v>29</v>
      </c>
      <c r="T27" s="33" t="s">
        <v>30</v>
      </c>
      <c r="U27" s="34" t="s">
        <v>90</v>
      </c>
      <c r="V27" s="35"/>
      <c r="W27" s="7"/>
      <c r="X27" s="7"/>
      <c r="Y27" s="7"/>
      <c r="Z27" s="7"/>
      <c r="AA27" s="7"/>
    </row>
    <row r="28" ht="18.75" customHeight="1">
      <c r="A28" s="8" t="s">
        <v>22</v>
      </c>
      <c r="B28" s="9" t="s">
        <v>72</v>
      </c>
      <c r="C28" s="9" t="s">
        <v>24</v>
      </c>
      <c r="D28" s="10">
        <v>2449.0</v>
      </c>
      <c r="E28" s="9" t="s">
        <v>89</v>
      </c>
      <c r="F28" s="11" t="s">
        <v>37</v>
      </c>
      <c r="G28" s="12" t="s">
        <v>27</v>
      </c>
      <c r="H28" s="13">
        <v>733.95</v>
      </c>
      <c r="I28" s="14">
        <v>5.0</v>
      </c>
      <c r="J28" s="48" t="s">
        <v>63</v>
      </c>
      <c r="K28" s="16">
        <v>0.7</v>
      </c>
      <c r="L28" s="17">
        <f t="shared" si="1"/>
        <v>3.5</v>
      </c>
      <c r="M28" s="17">
        <f t="shared" si="2"/>
        <v>1.5</v>
      </c>
      <c r="N28" s="18">
        <f t="shared" si="3"/>
        <v>513.765</v>
      </c>
      <c r="O28" s="18">
        <f t="shared" si="4"/>
        <v>220.185</v>
      </c>
      <c r="P28" s="18">
        <f t="shared" si="5"/>
        <v>220.185</v>
      </c>
      <c r="Q28" s="8">
        <v>0.0</v>
      </c>
      <c r="R28" s="18">
        <f t="shared" si="6"/>
        <v>146.79</v>
      </c>
      <c r="S28" s="19" t="s">
        <v>29</v>
      </c>
      <c r="T28" s="19" t="s">
        <v>30</v>
      </c>
      <c r="U28" s="20" t="s">
        <v>90</v>
      </c>
      <c r="V28" s="37"/>
      <c r="W28" s="7"/>
      <c r="X28" s="7"/>
      <c r="Y28" s="7"/>
      <c r="Z28" s="7"/>
      <c r="AA28" s="7"/>
    </row>
    <row r="29" ht="18.75" customHeight="1">
      <c r="A29" s="22" t="s">
        <v>22</v>
      </c>
      <c r="B29" s="23" t="s">
        <v>72</v>
      </c>
      <c r="C29" s="23" t="s">
        <v>24</v>
      </c>
      <c r="D29" s="24">
        <v>2450.0</v>
      </c>
      <c r="E29" s="23" t="s">
        <v>89</v>
      </c>
      <c r="F29" s="25" t="s">
        <v>37</v>
      </c>
      <c r="G29" s="26" t="s">
        <v>27</v>
      </c>
      <c r="H29" s="27">
        <v>733.95</v>
      </c>
      <c r="I29" s="28">
        <v>5.0</v>
      </c>
      <c r="J29" s="45" t="s">
        <v>63</v>
      </c>
      <c r="K29" s="30">
        <v>0.7</v>
      </c>
      <c r="L29" s="31">
        <f t="shared" si="1"/>
        <v>3.5</v>
      </c>
      <c r="M29" s="31">
        <f t="shared" si="2"/>
        <v>1.5</v>
      </c>
      <c r="N29" s="32">
        <f t="shared" si="3"/>
        <v>513.765</v>
      </c>
      <c r="O29" s="32">
        <f t="shared" si="4"/>
        <v>220.185</v>
      </c>
      <c r="P29" s="32">
        <f t="shared" si="5"/>
        <v>220.185</v>
      </c>
      <c r="Q29" s="22">
        <v>0.0</v>
      </c>
      <c r="R29" s="32">
        <f t="shared" si="6"/>
        <v>146.79</v>
      </c>
      <c r="S29" s="33" t="s">
        <v>29</v>
      </c>
      <c r="T29" s="33" t="s">
        <v>30</v>
      </c>
      <c r="U29" s="34" t="s">
        <v>90</v>
      </c>
      <c r="V29" s="35"/>
      <c r="W29" s="7"/>
      <c r="X29" s="7"/>
      <c r="Y29" s="7"/>
      <c r="Z29" s="7"/>
      <c r="AA29" s="7"/>
    </row>
    <row r="30" ht="18.75" customHeight="1">
      <c r="A30" s="8" t="s">
        <v>22</v>
      </c>
      <c r="B30" s="9" t="s">
        <v>72</v>
      </c>
      <c r="C30" s="9" t="s">
        <v>24</v>
      </c>
      <c r="D30" s="10">
        <v>2451.0</v>
      </c>
      <c r="E30" s="9" t="s">
        <v>91</v>
      </c>
      <c r="F30" s="11" t="s">
        <v>26</v>
      </c>
      <c r="G30" s="39"/>
      <c r="H30" s="13">
        <v>419.9</v>
      </c>
      <c r="I30" s="14">
        <v>10.0</v>
      </c>
      <c r="J30" s="8" t="s">
        <v>54</v>
      </c>
      <c r="K30" s="16">
        <v>0.3</v>
      </c>
      <c r="L30" s="17">
        <f t="shared" si="1"/>
        <v>3</v>
      </c>
      <c r="M30" s="17">
        <f t="shared" si="2"/>
        <v>7</v>
      </c>
      <c r="N30" s="18">
        <f t="shared" si="3"/>
        <v>125.97</v>
      </c>
      <c r="O30" s="18">
        <f t="shared" si="4"/>
        <v>293.93</v>
      </c>
      <c r="P30" s="18">
        <f t="shared" si="5"/>
        <v>293.93</v>
      </c>
      <c r="Q30" s="8">
        <v>0.0</v>
      </c>
      <c r="R30" s="18">
        <f t="shared" si="6"/>
        <v>41.99</v>
      </c>
      <c r="S30" s="19" t="s">
        <v>29</v>
      </c>
      <c r="T30" s="19" t="s">
        <v>30</v>
      </c>
      <c r="U30" s="36" t="s">
        <v>92</v>
      </c>
      <c r="V30" s="37"/>
      <c r="W30" s="49"/>
      <c r="X30" s="49"/>
      <c r="Y30" s="49"/>
      <c r="Z30" s="49"/>
      <c r="AA30" s="49"/>
    </row>
    <row r="31" ht="18.75" customHeight="1">
      <c r="A31" s="22" t="s">
        <v>22</v>
      </c>
      <c r="B31" s="23" t="s">
        <v>72</v>
      </c>
      <c r="C31" s="23" t="s">
        <v>24</v>
      </c>
      <c r="D31" s="24">
        <v>2454.0</v>
      </c>
      <c r="E31" s="23" t="s">
        <v>93</v>
      </c>
      <c r="F31" s="25" t="s">
        <v>26</v>
      </c>
      <c r="G31" s="40"/>
      <c r="H31" s="27">
        <v>29.99</v>
      </c>
      <c r="I31" s="28">
        <v>10.0</v>
      </c>
      <c r="J31" s="29" t="s">
        <v>38</v>
      </c>
      <c r="K31" s="30">
        <v>0.5</v>
      </c>
      <c r="L31" s="31">
        <f t="shared" si="1"/>
        <v>5</v>
      </c>
      <c r="M31" s="31">
        <f t="shared" si="2"/>
        <v>5</v>
      </c>
      <c r="N31" s="32">
        <f t="shared" si="3"/>
        <v>14.995</v>
      </c>
      <c r="O31" s="32">
        <f t="shared" si="4"/>
        <v>14.995</v>
      </c>
      <c r="P31" s="32">
        <f t="shared" si="5"/>
        <v>14.995</v>
      </c>
      <c r="Q31" s="22">
        <v>0.0</v>
      </c>
      <c r="R31" s="32">
        <f t="shared" si="6"/>
        <v>2.999</v>
      </c>
      <c r="S31" s="33" t="s">
        <v>29</v>
      </c>
      <c r="T31" s="33" t="s">
        <v>30</v>
      </c>
      <c r="U31" s="38" t="s">
        <v>94</v>
      </c>
      <c r="V31" s="35"/>
      <c r="W31" s="7"/>
      <c r="X31" s="7"/>
      <c r="Y31" s="7"/>
      <c r="Z31" s="7"/>
      <c r="AA31" s="7"/>
    </row>
    <row r="32" ht="18.75" customHeight="1">
      <c r="A32" s="8" t="s">
        <v>22</v>
      </c>
      <c r="B32" s="9" t="s">
        <v>72</v>
      </c>
      <c r="C32" s="9" t="s">
        <v>24</v>
      </c>
      <c r="D32" s="10">
        <v>2455.0</v>
      </c>
      <c r="E32" s="9" t="s">
        <v>95</v>
      </c>
      <c r="F32" s="11" t="s">
        <v>26</v>
      </c>
      <c r="G32" s="12" t="s">
        <v>27</v>
      </c>
      <c r="H32" s="13">
        <v>235.03</v>
      </c>
      <c r="I32" s="14">
        <v>10.0</v>
      </c>
      <c r="J32" s="15" t="s">
        <v>38</v>
      </c>
      <c r="K32" s="16">
        <v>0.5</v>
      </c>
      <c r="L32" s="17">
        <f t="shared" si="1"/>
        <v>5</v>
      </c>
      <c r="M32" s="17">
        <f t="shared" si="2"/>
        <v>5</v>
      </c>
      <c r="N32" s="18">
        <f t="shared" si="3"/>
        <v>117.515</v>
      </c>
      <c r="O32" s="18">
        <f t="shared" si="4"/>
        <v>117.515</v>
      </c>
      <c r="P32" s="18">
        <f t="shared" si="5"/>
        <v>117.515</v>
      </c>
      <c r="Q32" s="8">
        <v>0.0</v>
      </c>
      <c r="R32" s="18">
        <f t="shared" si="6"/>
        <v>23.503</v>
      </c>
      <c r="S32" s="19" t="s">
        <v>29</v>
      </c>
      <c r="T32" s="19" t="s">
        <v>30</v>
      </c>
      <c r="U32" s="20" t="s">
        <v>96</v>
      </c>
      <c r="V32" s="37"/>
      <c r="W32" s="7"/>
      <c r="X32" s="7"/>
      <c r="Y32" s="7"/>
      <c r="Z32" s="7"/>
      <c r="AA32" s="7"/>
    </row>
    <row r="33" ht="18.75" customHeight="1">
      <c r="A33" s="22" t="s">
        <v>22</v>
      </c>
      <c r="B33" s="23" t="s">
        <v>72</v>
      </c>
      <c r="C33" s="23" t="s">
        <v>24</v>
      </c>
      <c r="D33" s="24">
        <v>2456.0</v>
      </c>
      <c r="E33" s="23" t="s">
        <v>97</v>
      </c>
      <c r="F33" s="25" t="s">
        <v>26</v>
      </c>
      <c r="G33" s="40"/>
      <c r="H33" s="27">
        <v>80.0</v>
      </c>
      <c r="I33" s="28">
        <v>10.0</v>
      </c>
      <c r="J33" s="29" t="s">
        <v>38</v>
      </c>
      <c r="K33" s="30">
        <v>0.5</v>
      </c>
      <c r="L33" s="31">
        <f t="shared" si="1"/>
        <v>5</v>
      </c>
      <c r="M33" s="31">
        <f t="shared" si="2"/>
        <v>5</v>
      </c>
      <c r="N33" s="32">
        <f t="shared" si="3"/>
        <v>40</v>
      </c>
      <c r="O33" s="32">
        <f t="shared" si="4"/>
        <v>40</v>
      </c>
      <c r="P33" s="32">
        <f t="shared" si="5"/>
        <v>40</v>
      </c>
      <c r="Q33" s="22">
        <v>0.0</v>
      </c>
      <c r="R33" s="32">
        <f t="shared" si="6"/>
        <v>8</v>
      </c>
      <c r="S33" s="33" t="s">
        <v>29</v>
      </c>
      <c r="T33" s="33" t="s">
        <v>30</v>
      </c>
      <c r="U33" s="38" t="s">
        <v>98</v>
      </c>
      <c r="V33" s="35"/>
      <c r="W33" s="49"/>
      <c r="X33" s="49"/>
      <c r="Y33" s="49"/>
      <c r="Z33" s="49"/>
      <c r="AA33" s="49"/>
    </row>
    <row r="34" ht="18.75" customHeight="1">
      <c r="A34" s="8" t="s">
        <v>22</v>
      </c>
      <c r="B34" s="9" t="s">
        <v>99</v>
      </c>
      <c r="C34" s="9" t="s">
        <v>100</v>
      </c>
      <c r="D34" s="10">
        <v>2521.0</v>
      </c>
      <c r="E34" s="9" t="s">
        <v>101</v>
      </c>
      <c r="F34" s="11" t="s">
        <v>26</v>
      </c>
      <c r="G34" s="12" t="s">
        <v>27</v>
      </c>
      <c r="H34" s="13">
        <v>2101.05</v>
      </c>
      <c r="I34" s="14">
        <v>5.0</v>
      </c>
      <c r="J34" s="15" t="s">
        <v>28</v>
      </c>
      <c r="K34" s="16">
        <v>0.4</v>
      </c>
      <c r="L34" s="17">
        <f t="shared" si="1"/>
        <v>2</v>
      </c>
      <c r="M34" s="17">
        <f t="shared" si="2"/>
        <v>3</v>
      </c>
      <c r="N34" s="18">
        <f t="shared" si="3"/>
        <v>840.42</v>
      </c>
      <c r="O34" s="18">
        <f t="shared" si="4"/>
        <v>1260.63</v>
      </c>
      <c r="P34" s="18">
        <f t="shared" si="5"/>
        <v>1260.63</v>
      </c>
      <c r="Q34" s="8">
        <v>0.0</v>
      </c>
      <c r="R34" s="18">
        <f t="shared" si="6"/>
        <v>420.21</v>
      </c>
      <c r="S34" s="19" t="s">
        <v>29</v>
      </c>
      <c r="T34" s="19" t="s">
        <v>30</v>
      </c>
      <c r="U34" s="20" t="s">
        <v>102</v>
      </c>
      <c r="V34" s="37"/>
      <c r="W34" s="7"/>
      <c r="X34" s="7"/>
      <c r="Y34" s="7"/>
      <c r="Z34" s="7"/>
      <c r="AA34" s="7"/>
    </row>
    <row r="35" ht="18.75" customHeight="1">
      <c r="A35" s="22" t="s">
        <v>22</v>
      </c>
      <c r="B35" s="23" t="s">
        <v>72</v>
      </c>
      <c r="C35" s="23" t="s">
        <v>24</v>
      </c>
      <c r="D35" s="24">
        <v>2813.0</v>
      </c>
      <c r="E35" s="23" t="s">
        <v>103</v>
      </c>
      <c r="F35" s="25" t="s">
        <v>37</v>
      </c>
      <c r="G35" s="26" t="s">
        <v>27</v>
      </c>
      <c r="H35" s="27">
        <v>359.9</v>
      </c>
      <c r="I35" s="28">
        <v>5.0</v>
      </c>
      <c r="J35" s="29" t="s">
        <v>81</v>
      </c>
      <c r="K35" s="30">
        <v>0.15</v>
      </c>
      <c r="L35" s="31">
        <f t="shared" si="1"/>
        <v>0.75</v>
      </c>
      <c r="M35" s="31">
        <f t="shared" si="2"/>
        <v>4.25</v>
      </c>
      <c r="N35" s="32">
        <f t="shared" si="3"/>
        <v>53.985</v>
      </c>
      <c r="O35" s="32">
        <f t="shared" si="4"/>
        <v>305.915</v>
      </c>
      <c r="P35" s="32">
        <f t="shared" si="5"/>
        <v>305.915</v>
      </c>
      <c r="Q35" s="22">
        <v>0.0</v>
      </c>
      <c r="R35" s="32">
        <f t="shared" si="6"/>
        <v>71.98</v>
      </c>
      <c r="S35" s="33" t="s">
        <v>29</v>
      </c>
      <c r="T35" s="33" t="s">
        <v>30</v>
      </c>
      <c r="U35" s="34" t="s">
        <v>104</v>
      </c>
      <c r="V35" s="35"/>
      <c r="W35" s="7"/>
      <c r="X35" s="7"/>
      <c r="Y35" s="7"/>
      <c r="Z35" s="7"/>
      <c r="AA35" s="7"/>
    </row>
    <row r="36" ht="18.75" customHeight="1">
      <c r="A36" s="8" t="s">
        <v>22</v>
      </c>
      <c r="B36" s="9" t="s">
        <v>72</v>
      </c>
      <c r="C36" s="9" t="s">
        <v>24</v>
      </c>
      <c r="D36" s="10">
        <v>2814.0</v>
      </c>
      <c r="E36" s="9" t="s">
        <v>105</v>
      </c>
      <c r="F36" s="11" t="s">
        <v>26</v>
      </c>
      <c r="G36" s="39"/>
      <c r="H36" s="13">
        <v>829.05</v>
      </c>
      <c r="I36" s="14">
        <v>5.0</v>
      </c>
      <c r="J36" s="46" t="s">
        <v>54</v>
      </c>
      <c r="K36" s="16">
        <v>0.3</v>
      </c>
      <c r="L36" s="17">
        <f t="shared" si="1"/>
        <v>1.5</v>
      </c>
      <c r="M36" s="17">
        <f t="shared" si="2"/>
        <v>3.5</v>
      </c>
      <c r="N36" s="18">
        <f t="shared" si="3"/>
        <v>248.715</v>
      </c>
      <c r="O36" s="18">
        <f t="shared" si="4"/>
        <v>580.335</v>
      </c>
      <c r="P36" s="18">
        <f t="shared" si="5"/>
        <v>580.335</v>
      </c>
      <c r="Q36" s="8">
        <v>0.0</v>
      </c>
      <c r="R36" s="18">
        <f t="shared" si="6"/>
        <v>165.81</v>
      </c>
      <c r="S36" s="19" t="s">
        <v>29</v>
      </c>
      <c r="T36" s="19" t="s">
        <v>30</v>
      </c>
      <c r="U36" s="36" t="s">
        <v>106</v>
      </c>
      <c r="V36" s="37"/>
      <c r="W36" s="7"/>
      <c r="X36" s="7"/>
      <c r="Y36" s="7"/>
      <c r="Z36" s="7"/>
      <c r="AA36" s="7"/>
    </row>
    <row r="37" ht="18.75" customHeight="1">
      <c r="A37" s="22" t="s">
        <v>22</v>
      </c>
      <c r="B37" s="23" t="s">
        <v>72</v>
      </c>
      <c r="C37" s="23" t="s">
        <v>24</v>
      </c>
      <c r="D37" s="24">
        <v>2815.0</v>
      </c>
      <c r="E37" s="23" t="s">
        <v>107</v>
      </c>
      <c r="F37" s="25" t="s">
        <v>26</v>
      </c>
      <c r="G37" s="26" t="s">
        <v>27</v>
      </c>
      <c r="H37" s="27">
        <v>238.95</v>
      </c>
      <c r="I37" s="28">
        <v>5.0</v>
      </c>
      <c r="J37" s="22" t="s">
        <v>54</v>
      </c>
      <c r="K37" s="30">
        <v>0.3</v>
      </c>
      <c r="L37" s="31">
        <f t="shared" si="1"/>
        <v>1.5</v>
      </c>
      <c r="M37" s="31">
        <f t="shared" si="2"/>
        <v>3.5</v>
      </c>
      <c r="N37" s="32">
        <f t="shared" si="3"/>
        <v>71.685</v>
      </c>
      <c r="O37" s="32">
        <f t="shared" si="4"/>
        <v>167.265</v>
      </c>
      <c r="P37" s="32">
        <f t="shared" si="5"/>
        <v>167.265</v>
      </c>
      <c r="Q37" s="22">
        <v>0.0</v>
      </c>
      <c r="R37" s="32">
        <f t="shared" si="6"/>
        <v>47.79</v>
      </c>
      <c r="S37" s="33" t="s">
        <v>29</v>
      </c>
      <c r="T37" s="33" t="s">
        <v>30</v>
      </c>
      <c r="U37" s="34" t="s">
        <v>108</v>
      </c>
      <c r="V37" s="35"/>
      <c r="W37" s="49"/>
      <c r="X37" s="49"/>
      <c r="Y37" s="49"/>
      <c r="Z37" s="49"/>
      <c r="AA37" s="49"/>
    </row>
    <row r="38" ht="18.75" customHeight="1">
      <c r="A38" s="8" t="s">
        <v>22</v>
      </c>
      <c r="B38" s="9" t="s">
        <v>72</v>
      </c>
      <c r="C38" s="9" t="s">
        <v>24</v>
      </c>
      <c r="D38" s="10">
        <v>2817.0</v>
      </c>
      <c r="E38" s="9" t="s">
        <v>109</v>
      </c>
      <c r="F38" s="11" t="s">
        <v>26</v>
      </c>
      <c r="G38" s="39"/>
      <c r="H38" s="13">
        <v>1990.0</v>
      </c>
      <c r="I38" s="14">
        <v>10.0</v>
      </c>
      <c r="J38" s="15" t="s">
        <v>81</v>
      </c>
      <c r="K38" s="16">
        <v>0.15</v>
      </c>
      <c r="L38" s="17">
        <f t="shared" si="1"/>
        <v>1.5</v>
      </c>
      <c r="M38" s="17">
        <f t="shared" si="2"/>
        <v>8.5</v>
      </c>
      <c r="N38" s="18">
        <f t="shared" si="3"/>
        <v>298.5</v>
      </c>
      <c r="O38" s="18">
        <f t="shared" si="4"/>
        <v>1691.5</v>
      </c>
      <c r="P38" s="18">
        <f t="shared" si="5"/>
        <v>1691.5</v>
      </c>
      <c r="Q38" s="8">
        <v>0.0</v>
      </c>
      <c r="R38" s="18">
        <f t="shared" si="6"/>
        <v>199</v>
      </c>
      <c r="S38" s="19" t="s">
        <v>29</v>
      </c>
      <c r="T38" s="19" t="s">
        <v>30</v>
      </c>
      <c r="U38" s="36" t="s">
        <v>82</v>
      </c>
      <c r="V38" s="37"/>
      <c r="W38" s="49"/>
      <c r="X38" s="49"/>
      <c r="Y38" s="49"/>
      <c r="Z38" s="49"/>
      <c r="AA38" s="49"/>
    </row>
    <row r="39" ht="18.75" customHeight="1">
      <c r="A39" s="22" t="s">
        <v>22</v>
      </c>
      <c r="B39" s="23" t="s">
        <v>72</v>
      </c>
      <c r="C39" s="23" t="s">
        <v>24</v>
      </c>
      <c r="D39" s="24">
        <v>2883.0</v>
      </c>
      <c r="E39" s="23" t="s">
        <v>110</v>
      </c>
      <c r="F39" s="25" t="s">
        <v>26</v>
      </c>
      <c r="G39" s="26" t="s">
        <v>27</v>
      </c>
      <c r="H39" s="27">
        <v>798.0</v>
      </c>
      <c r="I39" s="28">
        <v>5.0</v>
      </c>
      <c r="J39" s="29" t="s">
        <v>38</v>
      </c>
      <c r="K39" s="30">
        <v>0.5</v>
      </c>
      <c r="L39" s="31">
        <f t="shared" si="1"/>
        <v>2.5</v>
      </c>
      <c r="M39" s="31">
        <f t="shared" si="2"/>
        <v>2.5</v>
      </c>
      <c r="N39" s="32">
        <f t="shared" si="3"/>
        <v>399</v>
      </c>
      <c r="O39" s="32">
        <f t="shared" si="4"/>
        <v>399</v>
      </c>
      <c r="P39" s="32">
        <f t="shared" si="5"/>
        <v>399</v>
      </c>
      <c r="Q39" s="22">
        <v>0.0</v>
      </c>
      <c r="R39" s="32">
        <f t="shared" si="6"/>
        <v>159.6</v>
      </c>
      <c r="S39" s="33" t="s">
        <v>29</v>
      </c>
      <c r="T39" s="33" t="s">
        <v>30</v>
      </c>
      <c r="U39" s="34" t="s">
        <v>111</v>
      </c>
      <c r="V39" s="35"/>
      <c r="W39" s="7"/>
      <c r="X39" s="7"/>
      <c r="Y39" s="7"/>
      <c r="Z39" s="7"/>
      <c r="AA39" s="7"/>
    </row>
    <row r="40" ht="18.75" customHeight="1">
      <c r="A40" s="8" t="s">
        <v>22</v>
      </c>
      <c r="B40" s="9" t="s">
        <v>72</v>
      </c>
      <c r="C40" s="9" t="s">
        <v>33</v>
      </c>
      <c r="D40" s="50" t="s">
        <v>112</v>
      </c>
      <c r="E40" s="8" t="s">
        <v>113</v>
      </c>
      <c r="F40" s="11" t="s">
        <v>26</v>
      </c>
      <c r="G40" s="12" t="s">
        <v>27</v>
      </c>
      <c r="H40" s="13">
        <v>576.47</v>
      </c>
      <c r="I40" s="14">
        <v>5.0</v>
      </c>
      <c r="J40" s="8" t="s">
        <v>54</v>
      </c>
      <c r="K40" s="16">
        <v>0.3</v>
      </c>
      <c r="L40" s="17">
        <f t="shared" si="1"/>
        <v>1.5</v>
      </c>
      <c r="M40" s="17">
        <f t="shared" si="2"/>
        <v>3.5</v>
      </c>
      <c r="N40" s="18">
        <f t="shared" si="3"/>
        <v>172.941</v>
      </c>
      <c r="O40" s="18">
        <f t="shared" si="4"/>
        <v>403.529</v>
      </c>
      <c r="P40" s="18">
        <f t="shared" si="5"/>
        <v>403.529</v>
      </c>
      <c r="Q40" s="8">
        <v>0.0</v>
      </c>
      <c r="R40" s="18">
        <f t="shared" si="6"/>
        <v>115.294</v>
      </c>
      <c r="S40" s="19" t="s">
        <v>29</v>
      </c>
      <c r="T40" s="19" t="s">
        <v>30</v>
      </c>
      <c r="U40" s="20" t="s">
        <v>114</v>
      </c>
      <c r="V40" s="37"/>
      <c r="W40" s="7"/>
      <c r="X40" s="7"/>
      <c r="Y40" s="7"/>
      <c r="Z40" s="7"/>
      <c r="AA40" s="7"/>
    </row>
    <row r="41" ht="18.75" customHeight="1">
      <c r="A41" s="22" t="s">
        <v>22</v>
      </c>
      <c r="B41" s="23" t="s">
        <v>72</v>
      </c>
      <c r="C41" s="23" t="s">
        <v>33</v>
      </c>
      <c r="D41" s="51" t="s">
        <v>115</v>
      </c>
      <c r="E41" s="22" t="s">
        <v>116</v>
      </c>
      <c r="F41" s="25" t="s">
        <v>26</v>
      </c>
      <c r="G41" s="26" t="s">
        <v>27</v>
      </c>
      <c r="H41" s="27">
        <v>623.61</v>
      </c>
      <c r="I41" s="28">
        <v>5.0</v>
      </c>
      <c r="J41" s="22" t="s">
        <v>54</v>
      </c>
      <c r="K41" s="30">
        <v>0.3</v>
      </c>
      <c r="L41" s="31">
        <f t="shared" si="1"/>
        <v>1.5</v>
      </c>
      <c r="M41" s="31">
        <f t="shared" si="2"/>
        <v>3.5</v>
      </c>
      <c r="N41" s="32">
        <f t="shared" si="3"/>
        <v>187.083</v>
      </c>
      <c r="O41" s="32">
        <f t="shared" si="4"/>
        <v>436.527</v>
      </c>
      <c r="P41" s="32">
        <f t="shared" si="5"/>
        <v>436.527</v>
      </c>
      <c r="Q41" s="22">
        <v>0.0</v>
      </c>
      <c r="R41" s="32">
        <f t="shared" si="6"/>
        <v>124.722</v>
      </c>
      <c r="S41" s="33" t="s">
        <v>29</v>
      </c>
      <c r="T41" s="33" t="s">
        <v>30</v>
      </c>
      <c r="U41" s="34" t="s">
        <v>117</v>
      </c>
      <c r="V41" s="35"/>
      <c r="W41" s="7"/>
      <c r="X41" s="7"/>
      <c r="Y41" s="7"/>
      <c r="Z41" s="7"/>
      <c r="AA41" s="7"/>
    </row>
    <row r="42" ht="18.75" customHeight="1">
      <c r="A42" s="8" t="s">
        <v>22</v>
      </c>
      <c r="B42" s="9" t="s">
        <v>72</v>
      </c>
      <c r="C42" s="9" t="s">
        <v>33</v>
      </c>
      <c r="D42" s="50" t="s">
        <v>118</v>
      </c>
      <c r="E42" s="8" t="s">
        <v>113</v>
      </c>
      <c r="F42" s="11" t="s">
        <v>26</v>
      </c>
      <c r="G42" s="12" t="s">
        <v>27</v>
      </c>
      <c r="H42" s="13">
        <v>576.47</v>
      </c>
      <c r="I42" s="14">
        <v>5.0</v>
      </c>
      <c r="J42" s="8" t="s">
        <v>54</v>
      </c>
      <c r="K42" s="16">
        <v>0.3</v>
      </c>
      <c r="L42" s="17">
        <f t="shared" si="1"/>
        <v>1.5</v>
      </c>
      <c r="M42" s="17">
        <f t="shared" si="2"/>
        <v>3.5</v>
      </c>
      <c r="N42" s="18">
        <f t="shared" si="3"/>
        <v>172.941</v>
      </c>
      <c r="O42" s="18">
        <f t="shared" si="4"/>
        <v>403.529</v>
      </c>
      <c r="P42" s="18">
        <f t="shared" si="5"/>
        <v>403.529</v>
      </c>
      <c r="Q42" s="8">
        <v>0.0</v>
      </c>
      <c r="R42" s="18">
        <f t="shared" si="6"/>
        <v>115.294</v>
      </c>
      <c r="S42" s="19" t="s">
        <v>29</v>
      </c>
      <c r="T42" s="19" t="s">
        <v>30</v>
      </c>
      <c r="U42" s="20"/>
      <c r="V42" s="37"/>
      <c r="W42" s="7"/>
      <c r="X42" s="7"/>
      <c r="Y42" s="7"/>
      <c r="Z42" s="7"/>
      <c r="AA42" s="7"/>
    </row>
    <row r="43" ht="18.75" customHeight="1">
      <c r="A43" s="22" t="s">
        <v>22</v>
      </c>
      <c r="B43" s="23" t="s">
        <v>72</v>
      </c>
      <c r="C43" s="23" t="s">
        <v>33</v>
      </c>
      <c r="D43" s="51" t="s">
        <v>119</v>
      </c>
      <c r="E43" s="22" t="s">
        <v>120</v>
      </c>
      <c r="F43" s="25" t="s">
        <v>26</v>
      </c>
      <c r="G43" s="26" t="s">
        <v>27</v>
      </c>
      <c r="H43" s="27">
        <v>651.75</v>
      </c>
      <c r="I43" s="28">
        <v>5.0</v>
      </c>
      <c r="J43" s="22" t="s">
        <v>54</v>
      </c>
      <c r="K43" s="30">
        <v>0.3</v>
      </c>
      <c r="L43" s="31">
        <f t="shared" si="1"/>
        <v>1.5</v>
      </c>
      <c r="M43" s="31">
        <f t="shared" si="2"/>
        <v>3.5</v>
      </c>
      <c r="N43" s="32">
        <f t="shared" si="3"/>
        <v>195.525</v>
      </c>
      <c r="O43" s="32">
        <f t="shared" si="4"/>
        <v>456.225</v>
      </c>
      <c r="P43" s="32">
        <f t="shared" si="5"/>
        <v>456.225</v>
      </c>
      <c r="Q43" s="22">
        <v>0.0</v>
      </c>
      <c r="R43" s="32">
        <f t="shared" si="6"/>
        <v>130.35</v>
      </c>
      <c r="S43" s="33" t="s">
        <v>29</v>
      </c>
      <c r="T43" s="33" t="s">
        <v>30</v>
      </c>
      <c r="U43" s="34" t="s">
        <v>121</v>
      </c>
      <c r="V43" s="35"/>
      <c r="W43" s="7"/>
      <c r="X43" s="7"/>
      <c r="Y43" s="7"/>
      <c r="Z43" s="7"/>
      <c r="AA43" s="7"/>
    </row>
    <row r="44" ht="18.75" customHeight="1">
      <c r="A44" s="8" t="s">
        <v>22</v>
      </c>
      <c r="B44" s="9" t="s">
        <v>72</v>
      </c>
      <c r="C44" s="9" t="s">
        <v>33</v>
      </c>
      <c r="D44" s="50" t="s">
        <v>122</v>
      </c>
      <c r="E44" s="8" t="s">
        <v>116</v>
      </c>
      <c r="F44" s="11" t="s">
        <v>26</v>
      </c>
      <c r="G44" s="12" t="s">
        <v>27</v>
      </c>
      <c r="H44" s="13">
        <v>623.61</v>
      </c>
      <c r="I44" s="14">
        <v>5.0</v>
      </c>
      <c r="J44" s="8" t="s">
        <v>54</v>
      </c>
      <c r="K44" s="16">
        <v>0.3</v>
      </c>
      <c r="L44" s="17">
        <f t="shared" si="1"/>
        <v>1.5</v>
      </c>
      <c r="M44" s="17">
        <f t="shared" si="2"/>
        <v>3.5</v>
      </c>
      <c r="N44" s="18">
        <f t="shared" si="3"/>
        <v>187.083</v>
      </c>
      <c r="O44" s="18">
        <f t="shared" si="4"/>
        <v>436.527</v>
      </c>
      <c r="P44" s="18">
        <f t="shared" si="5"/>
        <v>436.527</v>
      </c>
      <c r="Q44" s="8">
        <v>0.0</v>
      </c>
      <c r="R44" s="18">
        <f t="shared" si="6"/>
        <v>124.722</v>
      </c>
      <c r="S44" s="19" t="s">
        <v>29</v>
      </c>
      <c r="T44" s="19" t="s">
        <v>30</v>
      </c>
      <c r="U44" s="20" t="s">
        <v>117</v>
      </c>
      <c r="V44" s="37"/>
      <c r="W44" s="7"/>
      <c r="X44" s="7"/>
      <c r="Y44" s="7"/>
      <c r="Z44" s="7"/>
      <c r="AA44" s="7"/>
    </row>
    <row r="45" ht="18.75" customHeight="1">
      <c r="A45" s="22" t="s">
        <v>22</v>
      </c>
      <c r="B45" s="23" t="s">
        <v>72</v>
      </c>
      <c r="C45" s="23" t="s">
        <v>33</v>
      </c>
      <c r="D45" s="51" t="s">
        <v>123</v>
      </c>
      <c r="E45" s="22" t="s">
        <v>124</v>
      </c>
      <c r="F45" s="25" t="s">
        <v>26</v>
      </c>
      <c r="G45" s="26" t="s">
        <v>27</v>
      </c>
      <c r="H45" s="27">
        <v>463.56</v>
      </c>
      <c r="I45" s="28">
        <v>5.0</v>
      </c>
      <c r="J45" s="22" t="s">
        <v>54</v>
      </c>
      <c r="K45" s="30">
        <v>0.3</v>
      </c>
      <c r="L45" s="31">
        <f t="shared" si="1"/>
        <v>1.5</v>
      </c>
      <c r="M45" s="31">
        <f t="shared" si="2"/>
        <v>3.5</v>
      </c>
      <c r="N45" s="32">
        <f t="shared" si="3"/>
        <v>139.068</v>
      </c>
      <c r="O45" s="32">
        <f t="shared" si="4"/>
        <v>324.492</v>
      </c>
      <c r="P45" s="32">
        <f t="shared" si="5"/>
        <v>324.492</v>
      </c>
      <c r="Q45" s="22">
        <v>0.0</v>
      </c>
      <c r="R45" s="32">
        <f t="shared" si="6"/>
        <v>92.712</v>
      </c>
      <c r="S45" s="33" t="s">
        <v>29</v>
      </c>
      <c r="T45" s="33" t="s">
        <v>30</v>
      </c>
      <c r="U45" s="34" t="s">
        <v>125</v>
      </c>
      <c r="V45" s="35"/>
      <c r="W45" s="7"/>
      <c r="X45" s="7"/>
      <c r="Y45" s="7"/>
      <c r="Z45" s="7"/>
      <c r="AA45" s="7"/>
    </row>
    <row r="46" ht="18.75" customHeight="1">
      <c r="A46" s="8" t="s">
        <v>22</v>
      </c>
      <c r="B46" s="9" t="s">
        <v>72</v>
      </c>
      <c r="C46" s="9" t="s">
        <v>33</v>
      </c>
      <c r="D46" s="50" t="s">
        <v>126</v>
      </c>
      <c r="E46" s="8" t="s">
        <v>124</v>
      </c>
      <c r="F46" s="11" t="s">
        <v>26</v>
      </c>
      <c r="G46" s="12" t="s">
        <v>27</v>
      </c>
      <c r="H46" s="13">
        <v>463.56</v>
      </c>
      <c r="I46" s="14">
        <v>5.0</v>
      </c>
      <c r="J46" s="8" t="s">
        <v>54</v>
      </c>
      <c r="K46" s="16">
        <v>0.3</v>
      </c>
      <c r="L46" s="17">
        <f t="shared" si="1"/>
        <v>1.5</v>
      </c>
      <c r="M46" s="17">
        <f t="shared" si="2"/>
        <v>3.5</v>
      </c>
      <c r="N46" s="18">
        <f t="shared" si="3"/>
        <v>139.068</v>
      </c>
      <c r="O46" s="18">
        <f t="shared" si="4"/>
        <v>324.492</v>
      </c>
      <c r="P46" s="18">
        <f t="shared" si="5"/>
        <v>324.492</v>
      </c>
      <c r="Q46" s="8">
        <v>0.0</v>
      </c>
      <c r="R46" s="18">
        <f t="shared" si="6"/>
        <v>92.712</v>
      </c>
      <c r="S46" s="19" t="s">
        <v>29</v>
      </c>
      <c r="T46" s="19" t="s">
        <v>30</v>
      </c>
      <c r="U46" s="20" t="s">
        <v>125</v>
      </c>
      <c r="V46" s="37"/>
      <c r="W46" s="7"/>
      <c r="X46" s="7"/>
      <c r="Y46" s="7"/>
      <c r="Z46" s="7"/>
      <c r="AA46" s="7"/>
    </row>
    <row r="47" ht="18.75" customHeight="1">
      <c r="A47" s="52" t="s">
        <v>22</v>
      </c>
      <c r="B47" s="23" t="s">
        <v>72</v>
      </c>
      <c r="C47" s="23" t="s">
        <v>33</v>
      </c>
      <c r="D47" s="24">
        <v>283.0</v>
      </c>
      <c r="E47" s="23" t="s">
        <v>127</v>
      </c>
      <c r="F47" s="25" t="s">
        <v>128</v>
      </c>
      <c r="G47" s="26" t="s">
        <v>27</v>
      </c>
      <c r="H47" s="27">
        <v>1669.0</v>
      </c>
      <c r="I47" s="28">
        <v>5.0</v>
      </c>
      <c r="J47" s="29" t="s">
        <v>38</v>
      </c>
      <c r="K47" s="30">
        <v>0.5</v>
      </c>
      <c r="L47" s="31">
        <f t="shared" si="1"/>
        <v>2.5</v>
      </c>
      <c r="M47" s="31">
        <f t="shared" si="2"/>
        <v>2.5</v>
      </c>
      <c r="N47" s="32">
        <f t="shared" si="3"/>
        <v>834.5</v>
      </c>
      <c r="O47" s="32">
        <f t="shared" si="4"/>
        <v>834.5</v>
      </c>
      <c r="P47" s="32">
        <f t="shared" si="5"/>
        <v>834.5</v>
      </c>
      <c r="Q47" s="22">
        <v>0.0</v>
      </c>
      <c r="R47" s="32">
        <f t="shared" si="6"/>
        <v>333.8</v>
      </c>
      <c r="S47" s="33" t="s">
        <v>29</v>
      </c>
      <c r="T47" s="33" t="s">
        <v>30</v>
      </c>
      <c r="U47" s="34" t="s">
        <v>129</v>
      </c>
      <c r="V47" s="35"/>
      <c r="W47" s="7"/>
      <c r="X47" s="7"/>
      <c r="Y47" s="7"/>
      <c r="Z47" s="7"/>
      <c r="AA47" s="7"/>
    </row>
    <row r="48" ht="18.75" customHeight="1">
      <c r="A48" s="8" t="s">
        <v>130</v>
      </c>
      <c r="B48" s="53" t="s">
        <v>131</v>
      </c>
      <c r="C48" s="9" t="s">
        <v>24</v>
      </c>
      <c r="D48" s="10">
        <v>0.0</v>
      </c>
      <c r="E48" s="8" t="s">
        <v>132</v>
      </c>
      <c r="F48" s="11" t="s">
        <v>26</v>
      </c>
      <c r="G48" s="12" t="s">
        <v>27</v>
      </c>
      <c r="H48" s="13">
        <v>35.48</v>
      </c>
      <c r="I48" s="14">
        <v>5.0</v>
      </c>
      <c r="J48" s="15" t="s">
        <v>54</v>
      </c>
      <c r="K48" s="16">
        <v>0.3</v>
      </c>
      <c r="L48" s="17">
        <f t="shared" si="1"/>
        <v>1.5</v>
      </c>
      <c r="M48" s="17">
        <f t="shared" si="2"/>
        <v>3.5</v>
      </c>
      <c r="N48" s="18">
        <f t="shared" si="3"/>
        <v>10.644</v>
      </c>
      <c r="O48" s="18">
        <f t="shared" si="4"/>
        <v>24.836</v>
      </c>
      <c r="P48" s="18">
        <f t="shared" si="5"/>
        <v>24.836</v>
      </c>
      <c r="Q48" s="8">
        <v>0.0</v>
      </c>
      <c r="R48" s="18">
        <f t="shared" si="6"/>
        <v>7.096</v>
      </c>
      <c r="S48" s="19" t="s">
        <v>29</v>
      </c>
      <c r="T48" s="19" t="s">
        <v>30</v>
      </c>
      <c r="U48" s="20" t="s">
        <v>133</v>
      </c>
      <c r="V48" s="37"/>
      <c r="W48" s="49"/>
      <c r="X48" s="49"/>
      <c r="Y48" s="49"/>
      <c r="Z48" s="49"/>
      <c r="AA48" s="49"/>
    </row>
    <row r="49" ht="18.75" customHeight="1">
      <c r="A49" s="22" t="s">
        <v>130</v>
      </c>
      <c r="B49" s="54" t="s">
        <v>131</v>
      </c>
      <c r="C49" s="23" t="s">
        <v>24</v>
      </c>
      <c r="D49" s="24">
        <v>0.0</v>
      </c>
      <c r="E49" s="22" t="s">
        <v>134</v>
      </c>
      <c r="F49" s="25" t="s">
        <v>26</v>
      </c>
      <c r="G49" s="26" t="s">
        <v>27</v>
      </c>
      <c r="H49" s="27">
        <v>51.9</v>
      </c>
      <c r="I49" s="28">
        <v>5.0</v>
      </c>
      <c r="J49" s="29" t="s">
        <v>38</v>
      </c>
      <c r="K49" s="30">
        <v>0.5</v>
      </c>
      <c r="L49" s="31">
        <f t="shared" si="1"/>
        <v>2.5</v>
      </c>
      <c r="M49" s="31">
        <f t="shared" si="2"/>
        <v>2.5</v>
      </c>
      <c r="N49" s="32">
        <f t="shared" si="3"/>
        <v>25.95</v>
      </c>
      <c r="O49" s="32">
        <f t="shared" si="4"/>
        <v>25.95</v>
      </c>
      <c r="P49" s="32">
        <f t="shared" si="5"/>
        <v>25.95</v>
      </c>
      <c r="Q49" s="22">
        <v>0.0</v>
      </c>
      <c r="R49" s="32">
        <f t="shared" si="6"/>
        <v>10.38</v>
      </c>
      <c r="S49" s="33" t="s">
        <v>29</v>
      </c>
      <c r="T49" s="33" t="s">
        <v>30</v>
      </c>
      <c r="U49" s="34" t="s">
        <v>135</v>
      </c>
      <c r="V49" s="35"/>
      <c r="W49" s="7"/>
      <c r="X49" s="7"/>
      <c r="Y49" s="7"/>
      <c r="Z49" s="7"/>
      <c r="AA49" s="7"/>
    </row>
    <row r="50" ht="18.75" customHeight="1">
      <c r="A50" s="8" t="s">
        <v>130</v>
      </c>
      <c r="B50" s="53" t="s">
        <v>131</v>
      </c>
      <c r="C50" s="9" t="s">
        <v>24</v>
      </c>
      <c r="D50" s="10">
        <v>0.0</v>
      </c>
      <c r="E50" s="8" t="s">
        <v>136</v>
      </c>
      <c r="F50" s="11" t="s">
        <v>26</v>
      </c>
      <c r="G50" s="12" t="s">
        <v>27</v>
      </c>
      <c r="H50" s="13">
        <v>83.13</v>
      </c>
      <c r="I50" s="14">
        <v>5.0</v>
      </c>
      <c r="J50" s="15" t="s">
        <v>38</v>
      </c>
      <c r="K50" s="16">
        <v>0.5</v>
      </c>
      <c r="L50" s="17">
        <f t="shared" si="1"/>
        <v>2.5</v>
      </c>
      <c r="M50" s="17">
        <f t="shared" si="2"/>
        <v>2.5</v>
      </c>
      <c r="N50" s="18">
        <f t="shared" si="3"/>
        <v>41.565</v>
      </c>
      <c r="O50" s="18">
        <f t="shared" si="4"/>
        <v>41.565</v>
      </c>
      <c r="P50" s="18">
        <f t="shared" si="5"/>
        <v>41.565</v>
      </c>
      <c r="Q50" s="8">
        <v>0.0</v>
      </c>
      <c r="R50" s="18">
        <f t="shared" si="6"/>
        <v>16.626</v>
      </c>
      <c r="S50" s="19" t="s">
        <v>29</v>
      </c>
      <c r="T50" s="19" t="s">
        <v>30</v>
      </c>
      <c r="U50" s="20" t="s">
        <v>137</v>
      </c>
      <c r="V50" s="37"/>
      <c r="W50" s="7"/>
      <c r="X50" s="7"/>
      <c r="Y50" s="7"/>
      <c r="Z50" s="7"/>
      <c r="AA50" s="7"/>
    </row>
    <row r="51" ht="18.75" customHeight="1">
      <c r="A51" s="22" t="s">
        <v>130</v>
      </c>
      <c r="B51" s="54" t="s">
        <v>131</v>
      </c>
      <c r="C51" s="23" t="s">
        <v>24</v>
      </c>
      <c r="D51" s="24">
        <v>0.0</v>
      </c>
      <c r="E51" s="22" t="s">
        <v>138</v>
      </c>
      <c r="F51" s="25" t="s">
        <v>26</v>
      </c>
      <c r="G51" s="26" t="s">
        <v>27</v>
      </c>
      <c r="H51" s="27">
        <v>35.52</v>
      </c>
      <c r="I51" s="28">
        <v>5.0</v>
      </c>
      <c r="J51" s="29" t="s">
        <v>38</v>
      </c>
      <c r="K51" s="30">
        <v>0.5</v>
      </c>
      <c r="L51" s="31">
        <f t="shared" si="1"/>
        <v>2.5</v>
      </c>
      <c r="M51" s="31">
        <f t="shared" si="2"/>
        <v>2.5</v>
      </c>
      <c r="N51" s="32">
        <f t="shared" si="3"/>
        <v>17.76</v>
      </c>
      <c r="O51" s="32">
        <f t="shared" si="4"/>
        <v>17.76</v>
      </c>
      <c r="P51" s="32">
        <f t="shared" si="5"/>
        <v>17.76</v>
      </c>
      <c r="Q51" s="22">
        <v>0.0</v>
      </c>
      <c r="R51" s="32">
        <f t="shared" si="6"/>
        <v>7.104</v>
      </c>
      <c r="S51" s="33" t="s">
        <v>29</v>
      </c>
      <c r="T51" s="33" t="s">
        <v>30</v>
      </c>
      <c r="U51" s="34" t="s">
        <v>139</v>
      </c>
      <c r="V51" s="35"/>
      <c r="W51" s="7"/>
      <c r="X51" s="7"/>
      <c r="Y51" s="7"/>
      <c r="Z51" s="7"/>
      <c r="AA51" s="7"/>
    </row>
    <row r="52" ht="18.75" customHeight="1">
      <c r="A52" s="8" t="s">
        <v>130</v>
      </c>
      <c r="B52" s="53" t="s">
        <v>131</v>
      </c>
      <c r="C52" s="9" t="s">
        <v>24</v>
      </c>
      <c r="D52" s="10">
        <v>0.0</v>
      </c>
      <c r="E52" s="8" t="s">
        <v>140</v>
      </c>
      <c r="F52" s="11" t="s">
        <v>26</v>
      </c>
      <c r="G52" s="12" t="s">
        <v>27</v>
      </c>
      <c r="H52" s="13">
        <v>24.75</v>
      </c>
      <c r="I52" s="14">
        <v>5.0</v>
      </c>
      <c r="J52" s="15" t="s">
        <v>38</v>
      </c>
      <c r="K52" s="16">
        <v>0.5</v>
      </c>
      <c r="L52" s="17">
        <f t="shared" si="1"/>
        <v>2.5</v>
      </c>
      <c r="M52" s="17">
        <f t="shared" si="2"/>
        <v>2.5</v>
      </c>
      <c r="N52" s="18">
        <f t="shared" si="3"/>
        <v>12.375</v>
      </c>
      <c r="O52" s="18">
        <f t="shared" si="4"/>
        <v>12.375</v>
      </c>
      <c r="P52" s="18">
        <f t="shared" si="5"/>
        <v>12.375</v>
      </c>
      <c r="Q52" s="8">
        <v>0.0</v>
      </c>
      <c r="R52" s="18">
        <f t="shared" si="6"/>
        <v>4.95</v>
      </c>
      <c r="S52" s="19" t="s">
        <v>29</v>
      </c>
      <c r="T52" s="19" t="s">
        <v>30</v>
      </c>
      <c r="U52" s="20" t="s">
        <v>141</v>
      </c>
      <c r="V52" s="37"/>
      <c r="W52" s="7"/>
      <c r="X52" s="7"/>
      <c r="Y52" s="7"/>
      <c r="Z52" s="7"/>
      <c r="AA52" s="7"/>
    </row>
    <row r="53" ht="18.75" customHeight="1">
      <c r="A53" s="22" t="s">
        <v>130</v>
      </c>
      <c r="B53" s="54" t="s">
        <v>131</v>
      </c>
      <c r="C53" s="23" t="s">
        <v>24</v>
      </c>
      <c r="D53" s="24">
        <v>0.0</v>
      </c>
      <c r="E53" s="22" t="s">
        <v>142</v>
      </c>
      <c r="F53" s="25" t="s">
        <v>26</v>
      </c>
      <c r="G53" s="26" t="s">
        <v>27</v>
      </c>
      <c r="H53" s="27">
        <v>750.0</v>
      </c>
      <c r="I53" s="28">
        <v>10.0</v>
      </c>
      <c r="J53" s="29" t="s">
        <v>143</v>
      </c>
      <c r="K53" s="30"/>
      <c r="L53" s="31">
        <f t="shared" si="1"/>
        <v>0</v>
      </c>
      <c r="M53" s="31">
        <f t="shared" si="2"/>
        <v>10</v>
      </c>
      <c r="N53" s="32">
        <f t="shared" si="3"/>
        <v>0</v>
      </c>
      <c r="O53" s="32">
        <f t="shared" si="4"/>
        <v>750</v>
      </c>
      <c r="P53" s="32">
        <f t="shared" si="5"/>
        <v>750</v>
      </c>
      <c r="Q53" s="22">
        <v>0.0</v>
      </c>
      <c r="R53" s="32">
        <f t="shared" si="6"/>
        <v>75</v>
      </c>
      <c r="S53" s="33" t="s">
        <v>29</v>
      </c>
      <c r="T53" s="33" t="s">
        <v>30</v>
      </c>
      <c r="U53" s="38" t="s">
        <v>144</v>
      </c>
      <c r="V53" s="35"/>
      <c r="W53" s="7"/>
      <c r="X53" s="7"/>
      <c r="Y53" s="7"/>
      <c r="Z53" s="7"/>
      <c r="AA53" s="7"/>
    </row>
    <row r="54" ht="18.75" customHeight="1">
      <c r="A54" s="8" t="s">
        <v>130</v>
      </c>
      <c r="B54" s="53" t="s">
        <v>131</v>
      </c>
      <c r="C54" s="9" t="s">
        <v>24</v>
      </c>
      <c r="D54" s="10">
        <v>0.0</v>
      </c>
      <c r="E54" s="8" t="s">
        <v>142</v>
      </c>
      <c r="F54" s="11" t="s">
        <v>26</v>
      </c>
      <c r="G54" s="12" t="s">
        <v>27</v>
      </c>
      <c r="H54" s="13">
        <v>750.0</v>
      </c>
      <c r="I54" s="14">
        <v>10.0</v>
      </c>
      <c r="J54" s="15" t="s">
        <v>143</v>
      </c>
      <c r="K54" s="16"/>
      <c r="L54" s="17">
        <f t="shared" si="1"/>
        <v>0</v>
      </c>
      <c r="M54" s="17">
        <f t="shared" si="2"/>
        <v>10</v>
      </c>
      <c r="N54" s="18">
        <f t="shared" si="3"/>
        <v>0</v>
      </c>
      <c r="O54" s="18">
        <f t="shared" si="4"/>
        <v>750</v>
      </c>
      <c r="P54" s="18">
        <f t="shared" si="5"/>
        <v>750</v>
      </c>
      <c r="Q54" s="8">
        <v>0.0</v>
      </c>
      <c r="R54" s="18">
        <f t="shared" si="6"/>
        <v>75</v>
      </c>
      <c r="S54" s="19" t="s">
        <v>29</v>
      </c>
      <c r="T54" s="19" t="s">
        <v>30</v>
      </c>
      <c r="U54" s="36" t="s">
        <v>144</v>
      </c>
      <c r="V54" s="37"/>
      <c r="W54" s="7"/>
      <c r="X54" s="7"/>
      <c r="Y54" s="7"/>
      <c r="Z54" s="7"/>
      <c r="AA54" s="7"/>
    </row>
    <row r="55" ht="18.75" customHeight="1">
      <c r="A55" s="22" t="s">
        <v>130</v>
      </c>
      <c r="B55" s="54" t="s">
        <v>131</v>
      </c>
      <c r="C55" s="23" t="s">
        <v>145</v>
      </c>
      <c r="D55" s="24">
        <v>0.0</v>
      </c>
      <c r="E55" s="22" t="s">
        <v>146</v>
      </c>
      <c r="F55" s="25" t="s">
        <v>26</v>
      </c>
      <c r="G55" s="26" t="s">
        <v>27</v>
      </c>
      <c r="H55" s="27">
        <v>463.56</v>
      </c>
      <c r="I55" s="28">
        <v>5.0</v>
      </c>
      <c r="J55" s="29" t="s">
        <v>147</v>
      </c>
      <c r="K55" s="30"/>
      <c r="L55" s="31">
        <f t="shared" si="1"/>
        <v>0</v>
      </c>
      <c r="M55" s="31">
        <f t="shared" si="2"/>
        <v>5</v>
      </c>
      <c r="N55" s="32">
        <f t="shared" si="3"/>
        <v>0</v>
      </c>
      <c r="O55" s="32">
        <f t="shared" si="4"/>
        <v>463.56</v>
      </c>
      <c r="P55" s="32">
        <f t="shared" si="5"/>
        <v>463.56</v>
      </c>
      <c r="Q55" s="22">
        <v>0.0</v>
      </c>
      <c r="R55" s="32">
        <f t="shared" si="6"/>
        <v>92.712</v>
      </c>
      <c r="S55" s="33" t="s">
        <v>29</v>
      </c>
      <c r="T55" s="33" t="s">
        <v>30</v>
      </c>
      <c r="U55" s="34" t="s">
        <v>125</v>
      </c>
      <c r="V55" s="35"/>
      <c r="W55" s="49"/>
      <c r="X55" s="49"/>
      <c r="Y55" s="49"/>
      <c r="Z55" s="49"/>
      <c r="AA55" s="49"/>
    </row>
    <row r="56" ht="18.75" customHeight="1">
      <c r="A56" s="8" t="s">
        <v>130</v>
      </c>
      <c r="B56" s="53" t="s">
        <v>131</v>
      </c>
      <c r="C56" s="9" t="s">
        <v>145</v>
      </c>
      <c r="D56" s="10">
        <v>0.0</v>
      </c>
      <c r="E56" s="8" t="s">
        <v>148</v>
      </c>
      <c r="F56" s="11" t="s">
        <v>26</v>
      </c>
      <c r="G56" s="12" t="s">
        <v>27</v>
      </c>
      <c r="H56" s="13">
        <v>463.56</v>
      </c>
      <c r="I56" s="14">
        <v>5.0</v>
      </c>
      <c r="J56" s="15" t="s">
        <v>147</v>
      </c>
      <c r="K56" s="16"/>
      <c r="L56" s="17">
        <f t="shared" si="1"/>
        <v>0</v>
      </c>
      <c r="M56" s="17">
        <f t="shared" si="2"/>
        <v>5</v>
      </c>
      <c r="N56" s="18">
        <f t="shared" si="3"/>
        <v>0</v>
      </c>
      <c r="O56" s="18">
        <f t="shared" si="4"/>
        <v>463.56</v>
      </c>
      <c r="P56" s="18">
        <f t="shared" si="5"/>
        <v>463.56</v>
      </c>
      <c r="Q56" s="8">
        <v>0.0</v>
      </c>
      <c r="R56" s="18">
        <f t="shared" si="6"/>
        <v>92.712</v>
      </c>
      <c r="S56" s="19" t="s">
        <v>29</v>
      </c>
      <c r="T56" s="19" t="s">
        <v>30</v>
      </c>
      <c r="U56" s="20" t="s">
        <v>125</v>
      </c>
      <c r="V56" s="37"/>
      <c r="W56" s="49"/>
      <c r="X56" s="49"/>
      <c r="Y56" s="49"/>
      <c r="Z56" s="49"/>
      <c r="AA56" s="49"/>
    </row>
    <row r="57" ht="18.75" customHeight="1">
      <c r="A57" s="22" t="s">
        <v>130</v>
      </c>
      <c r="B57" s="54" t="s">
        <v>131</v>
      </c>
      <c r="C57" s="23" t="s">
        <v>145</v>
      </c>
      <c r="D57" s="24">
        <v>0.0</v>
      </c>
      <c r="E57" s="22" t="s">
        <v>149</v>
      </c>
      <c r="F57" s="25" t="s">
        <v>26</v>
      </c>
      <c r="G57" s="26" t="s">
        <v>27</v>
      </c>
      <c r="H57" s="27">
        <v>463.56</v>
      </c>
      <c r="I57" s="28">
        <v>5.0</v>
      </c>
      <c r="J57" s="29" t="s">
        <v>54</v>
      </c>
      <c r="K57" s="30">
        <v>0.3</v>
      </c>
      <c r="L57" s="31">
        <f t="shared" si="1"/>
        <v>1.5</v>
      </c>
      <c r="M57" s="31">
        <f t="shared" si="2"/>
        <v>3.5</v>
      </c>
      <c r="N57" s="32">
        <f t="shared" si="3"/>
        <v>139.068</v>
      </c>
      <c r="O57" s="32">
        <f t="shared" si="4"/>
        <v>324.492</v>
      </c>
      <c r="P57" s="32">
        <f t="shared" si="5"/>
        <v>324.492</v>
      </c>
      <c r="Q57" s="22">
        <v>0.0</v>
      </c>
      <c r="R57" s="32">
        <f t="shared" si="6"/>
        <v>92.712</v>
      </c>
      <c r="S57" s="33" t="s">
        <v>29</v>
      </c>
      <c r="T57" s="33" t="s">
        <v>30</v>
      </c>
      <c r="U57" s="34" t="s">
        <v>125</v>
      </c>
      <c r="V57" s="35"/>
      <c r="W57" s="7"/>
      <c r="X57" s="7"/>
      <c r="Y57" s="7"/>
      <c r="Z57" s="7"/>
      <c r="AA57" s="7"/>
    </row>
    <row r="58" ht="18.75" customHeight="1">
      <c r="A58" s="8" t="s">
        <v>130</v>
      </c>
      <c r="B58" s="53" t="s">
        <v>131</v>
      </c>
      <c r="C58" s="9" t="s">
        <v>150</v>
      </c>
      <c r="D58" s="10">
        <v>0.0</v>
      </c>
      <c r="E58" s="8" t="s">
        <v>151</v>
      </c>
      <c r="F58" s="11" t="s">
        <v>26</v>
      </c>
      <c r="G58" s="12" t="s">
        <v>27</v>
      </c>
      <c r="H58" s="13">
        <v>651.75</v>
      </c>
      <c r="I58" s="14">
        <v>5.0</v>
      </c>
      <c r="J58" s="15" t="s">
        <v>54</v>
      </c>
      <c r="K58" s="16">
        <v>0.3</v>
      </c>
      <c r="L58" s="17">
        <f t="shared" si="1"/>
        <v>1.5</v>
      </c>
      <c r="M58" s="17">
        <f t="shared" si="2"/>
        <v>3.5</v>
      </c>
      <c r="N58" s="18">
        <f t="shared" si="3"/>
        <v>195.525</v>
      </c>
      <c r="O58" s="18">
        <f t="shared" si="4"/>
        <v>456.225</v>
      </c>
      <c r="P58" s="18">
        <f t="shared" si="5"/>
        <v>456.225</v>
      </c>
      <c r="Q58" s="8">
        <v>0.0</v>
      </c>
      <c r="R58" s="18">
        <f t="shared" si="6"/>
        <v>130.35</v>
      </c>
      <c r="S58" s="19" t="s">
        <v>29</v>
      </c>
      <c r="T58" s="19" t="s">
        <v>30</v>
      </c>
      <c r="U58" s="20" t="s">
        <v>121</v>
      </c>
      <c r="V58" s="37"/>
      <c r="W58" s="49"/>
      <c r="X58" s="49"/>
      <c r="Y58" s="49"/>
      <c r="Z58" s="49"/>
      <c r="AA58" s="49"/>
    </row>
    <row r="59" ht="18.75" customHeight="1">
      <c r="A59" s="22" t="s">
        <v>130</v>
      </c>
      <c r="B59" s="54" t="s">
        <v>131</v>
      </c>
      <c r="C59" s="23" t="s">
        <v>145</v>
      </c>
      <c r="D59" s="24">
        <v>0.0</v>
      </c>
      <c r="E59" s="22" t="s">
        <v>152</v>
      </c>
      <c r="F59" s="25" t="s">
        <v>26</v>
      </c>
      <c r="G59" s="26" t="s">
        <v>27</v>
      </c>
      <c r="H59" s="27">
        <v>651.75</v>
      </c>
      <c r="I59" s="28">
        <v>5.0</v>
      </c>
      <c r="J59" s="29" t="s">
        <v>54</v>
      </c>
      <c r="K59" s="30">
        <v>0.3</v>
      </c>
      <c r="L59" s="31">
        <f t="shared" si="1"/>
        <v>1.5</v>
      </c>
      <c r="M59" s="31">
        <f t="shared" si="2"/>
        <v>3.5</v>
      </c>
      <c r="N59" s="32">
        <f t="shared" si="3"/>
        <v>195.525</v>
      </c>
      <c r="O59" s="32">
        <f t="shared" si="4"/>
        <v>456.225</v>
      </c>
      <c r="P59" s="32">
        <f t="shared" si="5"/>
        <v>456.225</v>
      </c>
      <c r="Q59" s="22">
        <v>0.0</v>
      </c>
      <c r="R59" s="32">
        <f t="shared" si="6"/>
        <v>130.35</v>
      </c>
      <c r="S59" s="33" t="s">
        <v>29</v>
      </c>
      <c r="T59" s="33" t="s">
        <v>30</v>
      </c>
      <c r="U59" s="34" t="s">
        <v>121</v>
      </c>
      <c r="V59" s="35"/>
      <c r="W59" s="7"/>
      <c r="X59" s="7"/>
      <c r="Y59" s="7"/>
      <c r="Z59" s="7"/>
      <c r="AA59" s="7"/>
    </row>
    <row r="60" ht="18.75" customHeight="1">
      <c r="A60" s="8" t="s">
        <v>130</v>
      </c>
      <c r="B60" s="53" t="s">
        <v>131</v>
      </c>
      <c r="C60" s="9" t="s">
        <v>24</v>
      </c>
      <c r="D60" s="10">
        <v>0.0</v>
      </c>
      <c r="E60" s="8" t="s">
        <v>153</v>
      </c>
      <c r="F60" s="11" t="s">
        <v>26</v>
      </c>
      <c r="G60" s="12" t="s">
        <v>27</v>
      </c>
      <c r="H60" s="13">
        <v>151.5</v>
      </c>
      <c r="I60" s="14">
        <v>5.0</v>
      </c>
      <c r="J60" s="15" t="s">
        <v>154</v>
      </c>
      <c r="K60" s="16">
        <v>0.8</v>
      </c>
      <c r="L60" s="17">
        <f t="shared" si="1"/>
        <v>4</v>
      </c>
      <c r="M60" s="17">
        <f t="shared" si="2"/>
        <v>1</v>
      </c>
      <c r="N60" s="18">
        <f t="shared" si="3"/>
        <v>121.2</v>
      </c>
      <c r="O60" s="18">
        <f t="shared" si="4"/>
        <v>30.3</v>
      </c>
      <c r="P60" s="18">
        <f t="shared" si="5"/>
        <v>30.3</v>
      </c>
      <c r="Q60" s="8">
        <v>0.0</v>
      </c>
      <c r="R60" s="18">
        <f t="shared" si="6"/>
        <v>30.3</v>
      </c>
      <c r="S60" s="19" t="s">
        <v>29</v>
      </c>
      <c r="T60" s="19" t="s">
        <v>30</v>
      </c>
      <c r="U60" s="20" t="s">
        <v>155</v>
      </c>
      <c r="V60" s="37"/>
      <c r="W60" s="49"/>
      <c r="X60" s="49"/>
      <c r="Y60" s="49"/>
      <c r="Z60" s="49"/>
      <c r="AA60" s="49"/>
    </row>
    <row r="61" ht="18.75" customHeight="1">
      <c r="A61" s="22" t="s">
        <v>130</v>
      </c>
      <c r="B61" s="54" t="s">
        <v>131</v>
      </c>
      <c r="C61" s="23" t="s">
        <v>24</v>
      </c>
      <c r="D61" s="24">
        <v>0.0</v>
      </c>
      <c r="E61" s="22" t="s">
        <v>156</v>
      </c>
      <c r="F61" s="25" t="s">
        <v>26</v>
      </c>
      <c r="G61" s="26" t="s">
        <v>27</v>
      </c>
      <c r="H61" s="27">
        <v>235.55</v>
      </c>
      <c r="I61" s="28">
        <v>5.0</v>
      </c>
      <c r="J61" s="29" t="s">
        <v>38</v>
      </c>
      <c r="K61" s="30">
        <v>0.5</v>
      </c>
      <c r="L61" s="31">
        <f t="shared" si="1"/>
        <v>2.5</v>
      </c>
      <c r="M61" s="31">
        <f t="shared" si="2"/>
        <v>2.5</v>
      </c>
      <c r="N61" s="32">
        <f t="shared" si="3"/>
        <v>117.775</v>
      </c>
      <c r="O61" s="32">
        <f t="shared" si="4"/>
        <v>117.775</v>
      </c>
      <c r="P61" s="32">
        <f t="shared" si="5"/>
        <v>117.775</v>
      </c>
      <c r="Q61" s="22">
        <v>0.0</v>
      </c>
      <c r="R61" s="32">
        <f t="shared" si="6"/>
        <v>47.11</v>
      </c>
      <c r="S61" s="33" t="s">
        <v>29</v>
      </c>
      <c r="T61" s="33" t="s">
        <v>30</v>
      </c>
      <c r="U61" s="34" t="s">
        <v>157</v>
      </c>
      <c r="V61" s="35"/>
      <c r="W61" s="7"/>
      <c r="X61" s="7"/>
      <c r="Y61" s="7"/>
      <c r="Z61" s="7"/>
      <c r="AA61" s="7"/>
    </row>
    <row r="62" ht="18.75" customHeight="1">
      <c r="A62" s="8" t="s">
        <v>130</v>
      </c>
      <c r="B62" s="53" t="s">
        <v>131</v>
      </c>
      <c r="C62" s="9" t="s">
        <v>24</v>
      </c>
      <c r="D62" s="10">
        <v>0.0</v>
      </c>
      <c r="E62" s="8" t="s">
        <v>158</v>
      </c>
      <c r="F62" s="11" t="s">
        <v>26</v>
      </c>
      <c r="G62" s="12" t="s">
        <v>27</v>
      </c>
      <c r="H62" s="13">
        <v>44.9</v>
      </c>
      <c r="I62" s="14">
        <v>20.0</v>
      </c>
      <c r="J62" s="15" t="s">
        <v>54</v>
      </c>
      <c r="K62" s="16">
        <v>0.3</v>
      </c>
      <c r="L62" s="17">
        <f t="shared" si="1"/>
        <v>6</v>
      </c>
      <c r="M62" s="17">
        <f t="shared" si="2"/>
        <v>14</v>
      </c>
      <c r="N62" s="18">
        <f t="shared" si="3"/>
        <v>13.47</v>
      </c>
      <c r="O62" s="18">
        <f t="shared" si="4"/>
        <v>31.43</v>
      </c>
      <c r="P62" s="18">
        <f t="shared" si="5"/>
        <v>31.43</v>
      </c>
      <c r="Q62" s="8">
        <v>0.0</v>
      </c>
      <c r="R62" s="18">
        <f t="shared" si="6"/>
        <v>2.245</v>
      </c>
      <c r="S62" s="19" t="s">
        <v>29</v>
      </c>
      <c r="T62" s="19" t="s">
        <v>30</v>
      </c>
      <c r="U62" s="20" t="s">
        <v>159</v>
      </c>
      <c r="V62" s="37"/>
      <c r="W62" s="7"/>
      <c r="X62" s="7"/>
      <c r="Y62" s="7"/>
      <c r="Z62" s="7"/>
      <c r="AA62" s="7"/>
    </row>
    <row r="63" ht="18.75" customHeight="1">
      <c r="A63" s="22" t="s">
        <v>130</v>
      </c>
      <c r="B63" s="54" t="s">
        <v>131</v>
      </c>
      <c r="C63" s="23" t="s">
        <v>24</v>
      </c>
      <c r="D63" s="24">
        <v>0.0</v>
      </c>
      <c r="E63" s="22" t="s">
        <v>160</v>
      </c>
      <c r="F63" s="25" t="s">
        <v>26</v>
      </c>
      <c r="G63" s="26" t="s">
        <v>27</v>
      </c>
      <c r="H63" s="27">
        <v>279.9</v>
      </c>
      <c r="I63" s="28">
        <v>5.0</v>
      </c>
      <c r="J63" s="29" t="s">
        <v>54</v>
      </c>
      <c r="K63" s="30">
        <v>0.3</v>
      </c>
      <c r="L63" s="31">
        <f t="shared" si="1"/>
        <v>1.5</v>
      </c>
      <c r="M63" s="31">
        <f t="shared" si="2"/>
        <v>3.5</v>
      </c>
      <c r="N63" s="32">
        <f t="shared" si="3"/>
        <v>83.97</v>
      </c>
      <c r="O63" s="32">
        <f t="shared" si="4"/>
        <v>195.93</v>
      </c>
      <c r="P63" s="32">
        <f t="shared" si="5"/>
        <v>195.93</v>
      </c>
      <c r="Q63" s="22">
        <v>0.0</v>
      </c>
      <c r="R63" s="32">
        <f t="shared" si="6"/>
        <v>55.98</v>
      </c>
      <c r="S63" s="33" t="s">
        <v>29</v>
      </c>
      <c r="T63" s="33" t="s">
        <v>30</v>
      </c>
      <c r="U63" s="34" t="s">
        <v>161</v>
      </c>
      <c r="V63" s="35"/>
      <c r="W63" s="7"/>
      <c r="X63" s="7"/>
      <c r="Y63" s="7"/>
      <c r="Z63" s="7"/>
      <c r="AA63" s="7"/>
    </row>
    <row r="64" ht="18.75" customHeight="1">
      <c r="A64" s="8" t="s">
        <v>130</v>
      </c>
      <c r="B64" s="53" t="s">
        <v>131</v>
      </c>
      <c r="C64" s="9" t="s">
        <v>145</v>
      </c>
      <c r="D64" s="10">
        <v>0.0</v>
      </c>
      <c r="E64" s="8" t="s">
        <v>162</v>
      </c>
      <c r="F64" s="11" t="s">
        <v>26</v>
      </c>
      <c r="G64" s="12" t="s">
        <v>27</v>
      </c>
      <c r="H64" s="13">
        <v>576.47</v>
      </c>
      <c r="I64" s="14">
        <v>5.0</v>
      </c>
      <c r="J64" s="15" t="s">
        <v>54</v>
      </c>
      <c r="K64" s="16">
        <v>0.3</v>
      </c>
      <c r="L64" s="17">
        <f t="shared" si="1"/>
        <v>1.5</v>
      </c>
      <c r="M64" s="17">
        <f t="shared" si="2"/>
        <v>3.5</v>
      </c>
      <c r="N64" s="18">
        <f t="shared" si="3"/>
        <v>172.941</v>
      </c>
      <c r="O64" s="18">
        <f t="shared" si="4"/>
        <v>403.529</v>
      </c>
      <c r="P64" s="18">
        <f t="shared" si="5"/>
        <v>403.529</v>
      </c>
      <c r="Q64" s="8">
        <v>0.0</v>
      </c>
      <c r="R64" s="18">
        <f t="shared" si="6"/>
        <v>115.294</v>
      </c>
      <c r="S64" s="19" t="s">
        <v>29</v>
      </c>
      <c r="T64" s="19" t="s">
        <v>30</v>
      </c>
      <c r="U64" s="20" t="s">
        <v>114</v>
      </c>
      <c r="V64" s="37"/>
      <c r="W64" s="49"/>
      <c r="X64" s="49"/>
      <c r="Y64" s="49"/>
      <c r="Z64" s="49"/>
      <c r="AA64" s="49"/>
    </row>
    <row r="65" ht="18.75" customHeight="1">
      <c r="A65" s="22" t="s">
        <v>130</v>
      </c>
      <c r="B65" s="54" t="s">
        <v>131</v>
      </c>
      <c r="C65" s="23" t="s">
        <v>150</v>
      </c>
      <c r="D65" s="24">
        <v>0.0</v>
      </c>
      <c r="E65" s="22" t="s">
        <v>163</v>
      </c>
      <c r="F65" s="25" t="s">
        <v>26</v>
      </c>
      <c r="G65" s="26" t="s">
        <v>27</v>
      </c>
      <c r="H65" s="27">
        <v>576.47</v>
      </c>
      <c r="I65" s="28">
        <v>5.0</v>
      </c>
      <c r="J65" s="29" t="s">
        <v>54</v>
      </c>
      <c r="K65" s="30">
        <v>0.3</v>
      </c>
      <c r="L65" s="31">
        <f t="shared" si="1"/>
        <v>1.5</v>
      </c>
      <c r="M65" s="31">
        <f t="shared" si="2"/>
        <v>3.5</v>
      </c>
      <c r="N65" s="32">
        <f t="shared" si="3"/>
        <v>172.941</v>
      </c>
      <c r="O65" s="32">
        <f t="shared" si="4"/>
        <v>403.529</v>
      </c>
      <c r="P65" s="32">
        <f t="shared" si="5"/>
        <v>403.529</v>
      </c>
      <c r="Q65" s="22">
        <v>0.0</v>
      </c>
      <c r="R65" s="32">
        <f t="shared" si="6"/>
        <v>115.294</v>
      </c>
      <c r="S65" s="33" t="s">
        <v>29</v>
      </c>
      <c r="T65" s="33" t="s">
        <v>30</v>
      </c>
      <c r="U65" s="34" t="s">
        <v>114</v>
      </c>
      <c r="V65" s="35"/>
      <c r="W65" s="7"/>
      <c r="X65" s="7"/>
      <c r="Y65" s="7"/>
      <c r="Z65" s="7"/>
      <c r="AA65" s="7"/>
    </row>
    <row r="66" ht="18.75" customHeight="1">
      <c r="A66" s="8" t="s">
        <v>130</v>
      </c>
      <c r="B66" s="53" t="s">
        <v>131</v>
      </c>
      <c r="C66" s="9" t="s">
        <v>24</v>
      </c>
      <c r="D66" s="10">
        <v>0.0</v>
      </c>
      <c r="E66" s="8" t="s">
        <v>164</v>
      </c>
      <c r="F66" s="11" t="s">
        <v>26</v>
      </c>
      <c r="G66" s="12" t="s">
        <v>27</v>
      </c>
      <c r="H66" s="13">
        <v>78.9</v>
      </c>
      <c r="I66" s="14">
        <v>5.0</v>
      </c>
      <c r="J66" s="15" t="s">
        <v>54</v>
      </c>
      <c r="K66" s="16">
        <v>0.3</v>
      </c>
      <c r="L66" s="17">
        <f t="shared" si="1"/>
        <v>1.5</v>
      </c>
      <c r="M66" s="17">
        <f t="shared" si="2"/>
        <v>3.5</v>
      </c>
      <c r="N66" s="18">
        <f t="shared" si="3"/>
        <v>23.67</v>
      </c>
      <c r="O66" s="18">
        <f t="shared" si="4"/>
        <v>55.23</v>
      </c>
      <c r="P66" s="18">
        <f t="shared" si="5"/>
        <v>55.23</v>
      </c>
      <c r="Q66" s="8">
        <v>0.0</v>
      </c>
      <c r="R66" s="18">
        <f t="shared" si="6"/>
        <v>15.78</v>
      </c>
      <c r="S66" s="19" t="s">
        <v>29</v>
      </c>
      <c r="T66" s="19" t="s">
        <v>30</v>
      </c>
      <c r="U66" s="20" t="s">
        <v>165</v>
      </c>
      <c r="V66" s="37"/>
      <c r="W66" s="49"/>
      <c r="X66" s="49"/>
      <c r="Y66" s="49"/>
      <c r="Z66" s="49"/>
      <c r="AA66" s="49"/>
    </row>
    <row r="67" ht="18.75" customHeight="1">
      <c r="A67" s="22" t="s">
        <v>130</v>
      </c>
      <c r="B67" s="54" t="s">
        <v>131</v>
      </c>
      <c r="C67" s="23" t="s">
        <v>24</v>
      </c>
      <c r="D67" s="24">
        <v>0.0</v>
      </c>
      <c r="E67" s="22" t="s">
        <v>166</v>
      </c>
      <c r="F67" s="25" t="s">
        <v>26</v>
      </c>
      <c r="G67" s="26" t="s">
        <v>27</v>
      </c>
      <c r="H67" s="27">
        <v>44.9</v>
      </c>
      <c r="I67" s="28">
        <v>20.0</v>
      </c>
      <c r="J67" s="29" t="s">
        <v>54</v>
      </c>
      <c r="K67" s="30">
        <v>0.3</v>
      </c>
      <c r="L67" s="31">
        <f t="shared" si="1"/>
        <v>6</v>
      </c>
      <c r="M67" s="31">
        <f t="shared" si="2"/>
        <v>14</v>
      </c>
      <c r="N67" s="32">
        <f t="shared" si="3"/>
        <v>13.47</v>
      </c>
      <c r="O67" s="32">
        <f t="shared" si="4"/>
        <v>31.43</v>
      </c>
      <c r="P67" s="32">
        <f t="shared" si="5"/>
        <v>31.43</v>
      </c>
      <c r="Q67" s="22">
        <v>0.0</v>
      </c>
      <c r="R67" s="32">
        <f t="shared" si="6"/>
        <v>2.245</v>
      </c>
      <c r="S67" s="33" t="s">
        <v>29</v>
      </c>
      <c r="T67" s="33" t="s">
        <v>30</v>
      </c>
      <c r="U67" s="34" t="s">
        <v>167</v>
      </c>
      <c r="V67" s="35"/>
      <c r="W67" s="7"/>
      <c r="X67" s="7"/>
      <c r="Y67" s="7"/>
      <c r="Z67" s="7"/>
      <c r="AA67" s="7"/>
    </row>
    <row r="68" ht="18.75" customHeight="1">
      <c r="A68" s="8" t="s">
        <v>130</v>
      </c>
      <c r="B68" s="53" t="s">
        <v>131</v>
      </c>
      <c r="C68" s="9" t="s">
        <v>24</v>
      </c>
      <c r="D68" s="10">
        <v>0.0</v>
      </c>
      <c r="E68" s="8" t="s">
        <v>168</v>
      </c>
      <c r="F68" s="11" t="s">
        <v>26</v>
      </c>
      <c r="G68" s="12" t="s">
        <v>27</v>
      </c>
      <c r="H68" s="13">
        <v>58.0</v>
      </c>
      <c r="I68" s="14">
        <v>5.0</v>
      </c>
      <c r="J68" s="15" t="s">
        <v>54</v>
      </c>
      <c r="K68" s="16">
        <v>0.3</v>
      </c>
      <c r="L68" s="17">
        <f t="shared" si="1"/>
        <v>1.5</v>
      </c>
      <c r="M68" s="17">
        <f t="shared" si="2"/>
        <v>3.5</v>
      </c>
      <c r="N68" s="18">
        <f t="shared" si="3"/>
        <v>17.4</v>
      </c>
      <c r="O68" s="18">
        <f t="shared" si="4"/>
        <v>40.6</v>
      </c>
      <c r="P68" s="18">
        <f t="shared" si="5"/>
        <v>40.6</v>
      </c>
      <c r="Q68" s="8">
        <v>0.0</v>
      </c>
      <c r="R68" s="18">
        <f t="shared" si="6"/>
        <v>11.6</v>
      </c>
      <c r="S68" s="19" t="s">
        <v>29</v>
      </c>
      <c r="T68" s="19" t="s">
        <v>30</v>
      </c>
      <c r="U68" s="20" t="s">
        <v>169</v>
      </c>
      <c r="V68" s="37"/>
      <c r="W68" s="7"/>
      <c r="X68" s="7"/>
      <c r="Y68" s="7"/>
      <c r="Z68" s="7"/>
      <c r="AA68" s="7"/>
    </row>
    <row r="69" ht="18.75" customHeight="1">
      <c r="A69" s="22" t="s">
        <v>130</v>
      </c>
      <c r="B69" s="54" t="s">
        <v>131</v>
      </c>
      <c r="C69" s="23" t="s">
        <v>24</v>
      </c>
      <c r="D69" s="24">
        <v>0.0</v>
      </c>
      <c r="E69" s="22" t="s">
        <v>170</v>
      </c>
      <c r="F69" s="25" t="s">
        <v>26</v>
      </c>
      <c r="G69" s="26" t="s">
        <v>27</v>
      </c>
      <c r="H69" s="27">
        <v>62.0</v>
      </c>
      <c r="I69" s="28">
        <v>5.0</v>
      </c>
      <c r="J69" s="29" t="s">
        <v>54</v>
      </c>
      <c r="K69" s="30">
        <v>0.3</v>
      </c>
      <c r="L69" s="31">
        <f t="shared" si="1"/>
        <v>1.5</v>
      </c>
      <c r="M69" s="31">
        <f t="shared" si="2"/>
        <v>3.5</v>
      </c>
      <c r="N69" s="32">
        <f t="shared" si="3"/>
        <v>18.6</v>
      </c>
      <c r="O69" s="32">
        <f t="shared" si="4"/>
        <v>43.4</v>
      </c>
      <c r="P69" s="32">
        <f t="shared" si="5"/>
        <v>43.4</v>
      </c>
      <c r="Q69" s="22">
        <v>0.0</v>
      </c>
      <c r="R69" s="32">
        <f t="shared" si="6"/>
        <v>12.4</v>
      </c>
      <c r="S69" s="33" t="s">
        <v>29</v>
      </c>
      <c r="T69" s="33" t="s">
        <v>30</v>
      </c>
      <c r="U69" s="34" t="s">
        <v>171</v>
      </c>
      <c r="V69" s="35"/>
      <c r="W69" s="7"/>
      <c r="X69" s="7"/>
      <c r="Y69" s="7"/>
      <c r="Z69" s="7"/>
      <c r="AA69" s="7"/>
    </row>
    <row r="70" ht="18.75" customHeight="1">
      <c r="A70" s="8" t="s">
        <v>130</v>
      </c>
      <c r="B70" s="53" t="s">
        <v>131</v>
      </c>
      <c r="C70" s="9" t="s">
        <v>24</v>
      </c>
      <c r="D70" s="10">
        <v>0.0</v>
      </c>
      <c r="E70" s="8" t="s">
        <v>172</v>
      </c>
      <c r="F70" s="11" t="s">
        <v>26</v>
      </c>
      <c r="G70" s="12" t="s">
        <v>27</v>
      </c>
      <c r="H70" s="13">
        <v>29.9</v>
      </c>
      <c r="I70" s="14">
        <v>5.0</v>
      </c>
      <c r="J70" s="15" t="s">
        <v>54</v>
      </c>
      <c r="K70" s="16">
        <v>0.3</v>
      </c>
      <c r="L70" s="17">
        <f t="shared" si="1"/>
        <v>1.5</v>
      </c>
      <c r="M70" s="17">
        <f t="shared" si="2"/>
        <v>3.5</v>
      </c>
      <c r="N70" s="18">
        <f t="shared" si="3"/>
        <v>8.97</v>
      </c>
      <c r="O70" s="18">
        <f t="shared" si="4"/>
        <v>20.93</v>
      </c>
      <c r="P70" s="18">
        <f t="shared" si="5"/>
        <v>20.93</v>
      </c>
      <c r="Q70" s="8">
        <v>0.0</v>
      </c>
      <c r="R70" s="18">
        <f t="shared" si="6"/>
        <v>5.98</v>
      </c>
      <c r="S70" s="19" t="s">
        <v>29</v>
      </c>
      <c r="T70" s="19" t="s">
        <v>30</v>
      </c>
      <c r="U70" s="20" t="s">
        <v>173</v>
      </c>
      <c r="V70" s="37"/>
      <c r="W70" s="7"/>
      <c r="X70" s="7"/>
      <c r="Y70" s="7"/>
      <c r="Z70" s="7"/>
      <c r="AA70" s="7"/>
    </row>
    <row r="71" ht="18.75" customHeight="1">
      <c r="A71" s="22" t="s">
        <v>130</v>
      </c>
      <c r="B71" s="54" t="s">
        <v>131</v>
      </c>
      <c r="C71" s="23" t="s">
        <v>24</v>
      </c>
      <c r="D71" s="24">
        <v>0.0</v>
      </c>
      <c r="E71" s="22" t="s">
        <v>174</v>
      </c>
      <c r="F71" s="25" t="s">
        <v>37</v>
      </c>
      <c r="G71" s="26" t="s">
        <v>27</v>
      </c>
      <c r="H71" s="27">
        <v>130.0</v>
      </c>
      <c r="I71" s="28">
        <v>5.0</v>
      </c>
      <c r="J71" s="29" t="s">
        <v>143</v>
      </c>
      <c r="K71" s="30"/>
      <c r="L71" s="31">
        <f t="shared" si="1"/>
        <v>0</v>
      </c>
      <c r="M71" s="31">
        <f t="shared" si="2"/>
        <v>5</v>
      </c>
      <c r="N71" s="32">
        <f t="shared" si="3"/>
        <v>0</v>
      </c>
      <c r="O71" s="32">
        <f t="shared" si="4"/>
        <v>130</v>
      </c>
      <c r="P71" s="32">
        <f t="shared" si="5"/>
        <v>130</v>
      </c>
      <c r="Q71" s="22">
        <v>0.0</v>
      </c>
      <c r="R71" s="32">
        <f t="shared" si="6"/>
        <v>26</v>
      </c>
      <c r="S71" s="33" t="s">
        <v>29</v>
      </c>
      <c r="T71" s="33" t="s">
        <v>30</v>
      </c>
      <c r="U71" s="34" t="s">
        <v>175</v>
      </c>
      <c r="V71" s="35"/>
      <c r="W71" s="7"/>
      <c r="X71" s="7"/>
      <c r="Y71" s="7"/>
      <c r="Z71" s="7"/>
      <c r="AA71" s="7"/>
    </row>
    <row r="72" ht="18.75" customHeight="1">
      <c r="A72" s="8" t="s">
        <v>130</v>
      </c>
      <c r="B72" s="53" t="s">
        <v>131</v>
      </c>
      <c r="C72" s="9" t="s">
        <v>24</v>
      </c>
      <c r="D72" s="10">
        <v>0.0</v>
      </c>
      <c r="E72" s="8" t="s">
        <v>176</v>
      </c>
      <c r="F72" s="11" t="s">
        <v>26</v>
      </c>
      <c r="G72" s="12" t="s">
        <v>27</v>
      </c>
      <c r="H72" s="13">
        <v>30.99</v>
      </c>
      <c r="I72" s="14">
        <v>5.0</v>
      </c>
      <c r="J72" s="15" t="s">
        <v>54</v>
      </c>
      <c r="K72" s="16">
        <v>0.3</v>
      </c>
      <c r="L72" s="17">
        <f t="shared" si="1"/>
        <v>1.5</v>
      </c>
      <c r="M72" s="17">
        <f t="shared" si="2"/>
        <v>3.5</v>
      </c>
      <c r="N72" s="18">
        <f t="shared" si="3"/>
        <v>9.297</v>
      </c>
      <c r="O72" s="18">
        <f t="shared" si="4"/>
        <v>21.693</v>
      </c>
      <c r="P72" s="18">
        <f t="shared" si="5"/>
        <v>21.693</v>
      </c>
      <c r="Q72" s="8">
        <v>0.0</v>
      </c>
      <c r="R72" s="18">
        <f t="shared" si="6"/>
        <v>6.198</v>
      </c>
      <c r="S72" s="19" t="s">
        <v>29</v>
      </c>
      <c r="T72" s="19" t="s">
        <v>30</v>
      </c>
      <c r="U72" s="20" t="s">
        <v>177</v>
      </c>
      <c r="V72" s="37"/>
      <c r="W72" s="7"/>
      <c r="X72" s="7"/>
      <c r="Y72" s="7"/>
      <c r="Z72" s="7"/>
      <c r="AA72" s="7"/>
    </row>
    <row r="73" ht="18.75" customHeight="1">
      <c r="A73" s="22" t="s">
        <v>130</v>
      </c>
      <c r="B73" s="54" t="s">
        <v>131</v>
      </c>
      <c r="C73" s="23" t="s">
        <v>33</v>
      </c>
      <c r="D73" s="24">
        <v>0.0</v>
      </c>
      <c r="E73" s="22" t="s">
        <v>178</v>
      </c>
      <c r="F73" s="25" t="s">
        <v>26</v>
      </c>
      <c r="G73" s="26" t="s">
        <v>27</v>
      </c>
      <c r="H73" s="27">
        <v>623.61</v>
      </c>
      <c r="I73" s="28">
        <v>5.0</v>
      </c>
      <c r="J73" s="29" t="s">
        <v>147</v>
      </c>
      <c r="K73" s="30"/>
      <c r="L73" s="31">
        <f t="shared" si="1"/>
        <v>0</v>
      </c>
      <c r="M73" s="31">
        <f t="shared" si="2"/>
        <v>5</v>
      </c>
      <c r="N73" s="32">
        <f t="shared" si="3"/>
        <v>0</v>
      </c>
      <c r="O73" s="32">
        <f t="shared" si="4"/>
        <v>623.61</v>
      </c>
      <c r="P73" s="32">
        <f t="shared" si="5"/>
        <v>623.61</v>
      </c>
      <c r="Q73" s="22">
        <v>0.0</v>
      </c>
      <c r="R73" s="32">
        <f t="shared" si="6"/>
        <v>124.722</v>
      </c>
      <c r="S73" s="33" t="s">
        <v>29</v>
      </c>
      <c r="T73" s="33" t="s">
        <v>30</v>
      </c>
      <c r="U73" s="34" t="s">
        <v>117</v>
      </c>
      <c r="V73" s="35"/>
      <c r="W73" s="7"/>
      <c r="X73" s="7"/>
      <c r="Y73" s="7"/>
      <c r="Z73" s="7"/>
      <c r="AA73" s="7"/>
    </row>
    <row r="74" ht="18.75" customHeight="1">
      <c r="A74" s="8" t="s">
        <v>130</v>
      </c>
      <c r="B74" s="53" t="s">
        <v>131</v>
      </c>
      <c r="C74" s="9" t="s">
        <v>24</v>
      </c>
      <c r="D74" s="10">
        <v>0.0</v>
      </c>
      <c r="E74" s="8" t="s">
        <v>179</v>
      </c>
      <c r="F74" s="11" t="s">
        <v>26</v>
      </c>
      <c r="G74" s="12" t="s">
        <v>27</v>
      </c>
      <c r="H74" s="13">
        <v>140.28</v>
      </c>
      <c r="I74" s="14">
        <v>5.0</v>
      </c>
      <c r="J74" s="15" t="s">
        <v>38</v>
      </c>
      <c r="K74" s="16">
        <v>0.5</v>
      </c>
      <c r="L74" s="17">
        <f t="shared" si="1"/>
        <v>2.5</v>
      </c>
      <c r="M74" s="17">
        <f t="shared" si="2"/>
        <v>2.5</v>
      </c>
      <c r="N74" s="18">
        <f t="shared" si="3"/>
        <v>70.14</v>
      </c>
      <c r="O74" s="18">
        <f t="shared" si="4"/>
        <v>70.14</v>
      </c>
      <c r="P74" s="18">
        <f t="shared" si="5"/>
        <v>70.14</v>
      </c>
      <c r="Q74" s="8">
        <v>0.0</v>
      </c>
      <c r="R74" s="18">
        <f t="shared" si="6"/>
        <v>28.056</v>
      </c>
      <c r="S74" s="19" t="s">
        <v>29</v>
      </c>
      <c r="T74" s="19" t="s">
        <v>30</v>
      </c>
      <c r="U74" s="20" t="s">
        <v>180</v>
      </c>
      <c r="V74" s="37"/>
      <c r="W74" s="7"/>
      <c r="X74" s="7"/>
      <c r="Y74" s="7"/>
      <c r="Z74" s="7"/>
      <c r="AA74" s="7"/>
    </row>
    <row r="75" ht="18.75" customHeight="1">
      <c r="A75" s="22" t="s">
        <v>130</v>
      </c>
      <c r="B75" s="54" t="s">
        <v>131</v>
      </c>
      <c r="C75" s="23" t="s">
        <v>24</v>
      </c>
      <c r="D75" s="24">
        <v>0.0</v>
      </c>
      <c r="E75" s="22" t="s">
        <v>181</v>
      </c>
      <c r="F75" s="25" t="s">
        <v>26</v>
      </c>
      <c r="G75" s="26" t="s">
        <v>27</v>
      </c>
      <c r="H75" s="27">
        <v>52.73</v>
      </c>
      <c r="I75" s="28">
        <v>5.0</v>
      </c>
      <c r="J75" s="29" t="s">
        <v>54</v>
      </c>
      <c r="K75" s="30">
        <v>0.3</v>
      </c>
      <c r="L75" s="31">
        <f t="shared" si="1"/>
        <v>1.5</v>
      </c>
      <c r="M75" s="31">
        <f t="shared" si="2"/>
        <v>3.5</v>
      </c>
      <c r="N75" s="32">
        <f t="shared" si="3"/>
        <v>15.819</v>
      </c>
      <c r="O75" s="32">
        <f t="shared" si="4"/>
        <v>36.911</v>
      </c>
      <c r="P75" s="32">
        <f t="shared" si="5"/>
        <v>36.911</v>
      </c>
      <c r="Q75" s="22">
        <v>0.0</v>
      </c>
      <c r="R75" s="32">
        <f t="shared" si="6"/>
        <v>10.546</v>
      </c>
      <c r="S75" s="33" t="s">
        <v>29</v>
      </c>
      <c r="T75" s="33" t="s">
        <v>30</v>
      </c>
      <c r="U75" s="34" t="s">
        <v>182</v>
      </c>
      <c r="V75" s="35"/>
      <c r="W75" s="7"/>
      <c r="X75" s="7"/>
      <c r="Y75" s="7"/>
      <c r="Z75" s="7"/>
      <c r="AA75" s="7"/>
    </row>
    <row r="76" ht="18.75" customHeight="1">
      <c r="A76" s="8" t="s">
        <v>130</v>
      </c>
      <c r="B76" s="53" t="s">
        <v>131</v>
      </c>
      <c r="C76" s="9" t="s">
        <v>24</v>
      </c>
      <c r="D76" s="10">
        <v>0.0</v>
      </c>
      <c r="E76" s="8" t="s">
        <v>183</v>
      </c>
      <c r="F76" s="11" t="s">
        <v>37</v>
      </c>
      <c r="G76" s="12" t="s">
        <v>27</v>
      </c>
      <c r="H76" s="13">
        <v>30.26</v>
      </c>
      <c r="I76" s="14">
        <v>5.0</v>
      </c>
      <c r="J76" s="15" t="s">
        <v>154</v>
      </c>
      <c r="K76" s="16">
        <v>0.8</v>
      </c>
      <c r="L76" s="17">
        <f t="shared" si="1"/>
        <v>4</v>
      </c>
      <c r="M76" s="17">
        <f t="shared" si="2"/>
        <v>1</v>
      </c>
      <c r="N76" s="18">
        <f t="shared" si="3"/>
        <v>24.208</v>
      </c>
      <c r="O76" s="18">
        <f t="shared" si="4"/>
        <v>6.052</v>
      </c>
      <c r="P76" s="18">
        <f t="shared" si="5"/>
        <v>6.052</v>
      </c>
      <c r="Q76" s="8">
        <v>0.0</v>
      </c>
      <c r="R76" s="18">
        <f t="shared" si="6"/>
        <v>6.052</v>
      </c>
      <c r="S76" s="19" t="s">
        <v>29</v>
      </c>
      <c r="T76" s="19" t="s">
        <v>30</v>
      </c>
      <c r="U76" s="20" t="s">
        <v>184</v>
      </c>
      <c r="V76" s="37"/>
      <c r="W76" s="7"/>
      <c r="X76" s="7"/>
      <c r="Y76" s="7"/>
      <c r="Z76" s="7"/>
      <c r="AA76" s="7"/>
    </row>
    <row r="77" ht="18.75" customHeight="1">
      <c r="A77" s="22" t="s">
        <v>130</v>
      </c>
      <c r="B77" s="54" t="s">
        <v>131</v>
      </c>
      <c r="C77" s="23" t="s">
        <v>24</v>
      </c>
      <c r="D77" s="24">
        <v>0.0</v>
      </c>
      <c r="E77" s="22" t="s">
        <v>185</v>
      </c>
      <c r="F77" s="25" t="s">
        <v>26</v>
      </c>
      <c r="G77" s="26" t="s">
        <v>27</v>
      </c>
      <c r="H77" s="27">
        <v>169.9</v>
      </c>
      <c r="I77" s="28">
        <v>20.0</v>
      </c>
      <c r="J77" s="29" t="s">
        <v>54</v>
      </c>
      <c r="K77" s="30">
        <v>0.3</v>
      </c>
      <c r="L77" s="31">
        <f t="shared" si="1"/>
        <v>6</v>
      </c>
      <c r="M77" s="31">
        <f t="shared" si="2"/>
        <v>14</v>
      </c>
      <c r="N77" s="32">
        <f t="shared" si="3"/>
        <v>50.97</v>
      </c>
      <c r="O77" s="32">
        <f t="shared" si="4"/>
        <v>118.93</v>
      </c>
      <c r="P77" s="32">
        <f t="shared" si="5"/>
        <v>118.93</v>
      </c>
      <c r="Q77" s="22">
        <v>0.0</v>
      </c>
      <c r="R77" s="32">
        <f t="shared" si="6"/>
        <v>8.495</v>
      </c>
      <c r="S77" s="33" t="s">
        <v>29</v>
      </c>
      <c r="T77" s="33" t="s">
        <v>30</v>
      </c>
      <c r="U77" s="34" t="s">
        <v>186</v>
      </c>
      <c r="V77" s="35"/>
      <c r="W77" s="7"/>
      <c r="X77" s="7"/>
      <c r="Y77" s="7"/>
      <c r="Z77" s="7"/>
      <c r="AA77" s="7"/>
    </row>
    <row r="78" ht="18.75" customHeight="1">
      <c r="A78" s="8" t="s">
        <v>130</v>
      </c>
      <c r="B78" s="53" t="s">
        <v>131</v>
      </c>
      <c r="C78" s="9" t="s">
        <v>24</v>
      </c>
      <c r="D78" s="10">
        <v>0.0</v>
      </c>
      <c r="E78" s="8" t="s">
        <v>187</v>
      </c>
      <c r="F78" s="11" t="s">
        <v>26</v>
      </c>
      <c r="G78" s="12" t="s">
        <v>27</v>
      </c>
      <c r="H78" s="13">
        <v>23.24</v>
      </c>
      <c r="I78" s="14">
        <v>20.0</v>
      </c>
      <c r="J78" s="15" t="s">
        <v>54</v>
      </c>
      <c r="K78" s="16">
        <v>0.3</v>
      </c>
      <c r="L78" s="17">
        <f t="shared" si="1"/>
        <v>6</v>
      </c>
      <c r="M78" s="17">
        <f t="shared" si="2"/>
        <v>14</v>
      </c>
      <c r="N78" s="18">
        <f t="shared" si="3"/>
        <v>6.972</v>
      </c>
      <c r="O78" s="18">
        <f t="shared" si="4"/>
        <v>16.268</v>
      </c>
      <c r="P78" s="18">
        <f t="shared" si="5"/>
        <v>16.268</v>
      </c>
      <c r="Q78" s="8">
        <v>0.0</v>
      </c>
      <c r="R78" s="18">
        <f t="shared" si="6"/>
        <v>1.162</v>
      </c>
      <c r="S78" s="19" t="s">
        <v>29</v>
      </c>
      <c r="T78" s="19" t="s">
        <v>30</v>
      </c>
      <c r="U78" s="20" t="s">
        <v>188</v>
      </c>
      <c r="V78" s="37"/>
      <c r="W78" s="7"/>
      <c r="X78" s="7"/>
      <c r="Y78" s="7"/>
      <c r="Z78" s="7"/>
      <c r="AA78" s="7"/>
    </row>
    <row r="79" ht="18.75" customHeight="1">
      <c r="A79" s="22" t="s">
        <v>130</v>
      </c>
      <c r="B79" s="54" t="s">
        <v>131</v>
      </c>
      <c r="C79" s="23" t="s">
        <v>189</v>
      </c>
      <c r="D79" s="24">
        <v>817.0</v>
      </c>
      <c r="E79" s="22" t="s">
        <v>190</v>
      </c>
      <c r="F79" s="25" t="s">
        <v>26</v>
      </c>
      <c r="G79" s="26" t="s">
        <v>27</v>
      </c>
      <c r="H79" s="27">
        <v>531.9</v>
      </c>
      <c r="I79" s="28">
        <v>10.0</v>
      </c>
      <c r="J79" s="29" t="s">
        <v>28</v>
      </c>
      <c r="K79" s="30">
        <v>0.4</v>
      </c>
      <c r="L79" s="31">
        <f t="shared" si="1"/>
        <v>4</v>
      </c>
      <c r="M79" s="31">
        <f t="shared" si="2"/>
        <v>6</v>
      </c>
      <c r="N79" s="32">
        <f t="shared" si="3"/>
        <v>212.76</v>
      </c>
      <c r="O79" s="32">
        <f t="shared" si="4"/>
        <v>319.14</v>
      </c>
      <c r="P79" s="32">
        <f t="shared" si="5"/>
        <v>319.14</v>
      </c>
      <c r="Q79" s="22">
        <v>0.0</v>
      </c>
      <c r="R79" s="32">
        <f t="shared" si="6"/>
        <v>53.19</v>
      </c>
      <c r="S79" s="33" t="s">
        <v>29</v>
      </c>
      <c r="T79" s="33" t="s">
        <v>30</v>
      </c>
      <c r="U79" s="34" t="s">
        <v>191</v>
      </c>
      <c r="V79" s="35"/>
      <c r="W79" s="7"/>
      <c r="X79" s="7"/>
      <c r="Y79" s="7"/>
      <c r="Z79" s="7"/>
      <c r="AA79" s="7"/>
    </row>
    <row r="80" ht="18.75" customHeight="1">
      <c r="A80" s="8" t="s">
        <v>130</v>
      </c>
      <c r="B80" s="53" t="s">
        <v>131</v>
      </c>
      <c r="C80" s="9" t="s">
        <v>192</v>
      </c>
      <c r="D80" s="10">
        <v>1400.0</v>
      </c>
      <c r="E80" s="8" t="s">
        <v>193</v>
      </c>
      <c r="F80" s="11" t="s">
        <v>37</v>
      </c>
      <c r="G80" s="12" t="s">
        <v>27</v>
      </c>
      <c r="H80" s="13">
        <v>238.77</v>
      </c>
      <c r="I80" s="14">
        <v>10.0</v>
      </c>
      <c r="J80" s="15" t="s">
        <v>54</v>
      </c>
      <c r="K80" s="16">
        <v>0.3</v>
      </c>
      <c r="L80" s="17">
        <f t="shared" si="1"/>
        <v>3</v>
      </c>
      <c r="M80" s="17">
        <f t="shared" si="2"/>
        <v>7</v>
      </c>
      <c r="N80" s="18">
        <f t="shared" si="3"/>
        <v>71.631</v>
      </c>
      <c r="O80" s="18">
        <f t="shared" si="4"/>
        <v>167.139</v>
      </c>
      <c r="P80" s="18">
        <f t="shared" si="5"/>
        <v>167.139</v>
      </c>
      <c r="Q80" s="8">
        <v>0.0</v>
      </c>
      <c r="R80" s="18">
        <f t="shared" si="6"/>
        <v>23.877</v>
      </c>
      <c r="S80" s="19" t="s">
        <v>29</v>
      </c>
      <c r="T80" s="19" t="s">
        <v>30</v>
      </c>
      <c r="U80" s="20" t="s">
        <v>194</v>
      </c>
      <c r="V80" s="37"/>
      <c r="W80" s="7"/>
      <c r="X80" s="7"/>
      <c r="Y80" s="7"/>
      <c r="Z80" s="7"/>
      <c r="AA80" s="7"/>
    </row>
    <row r="81" ht="18.75" customHeight="1">
      <c r="A81" s="22" t="s">
        <v>130</v>
      </c>
      <c r="B81" s="54" t="s">
        <v>131</v>
      </c>
      <c r="C81" s="23" t="s">
        <v>195</v>
      </c>
      <c r="D81" s="24">
        <v>1403.0</v>
      </c>
      <c r="E81" s="22" t="s">
        <v>196</v>
      </c>
      <c r="F81" s="25" t="s">
        <v>26</v>
      </c>
      <c r="G81" s="26" t="s">
        <v>27</v>
      </c>
      <c r="H81" s="27">
        <v>1389.99</v>
      </c>
      <c r="I81" s="28">
        <v>5.0</v>
      </c>
      <c r="J81" s="29" t="s">
        <v>38</v>
      </c>
      <c r="K81" s="30">
        <v>0.5</v>
      </c>
      <c r="L81" s="31">
        <f t="shared" si="1"/>
        <v>2.5</v>
      </c>
      <c r="M81" s="31">
        <f t="shared" si="2"/>
        <v>2.5</v>
      </c>
      <c r="N81" s="32">
        <f t="shared" si="3"/>
        <v>694.995</v>
      </c>
      <c r="O81" s="32">
        <f t="shared" si="4"/>
        <v>694.995</v>
      </c>
      <c r="P81" s="32">
        <f t="shared" si="5"/>
        <v>694.995</v>
      </c>
      <c r="Q81" s="22">
        <v>0.0</v>
      </c>
      <c r="R81" s="32">
        <f t="shared" si="6"/>
        <v>277.998</v>
      </c>
      <c r="S81" s="33" t="s">
        <v>29</v>
      </c>
      <c r="T81" s="33" t="s">
        <v>30</v>
      </c>
      <c r="U81" s="34" t="s">
        <v>59</v>
      </c>
      <c r="V81" s="35"/>
      <c r="W81" s="7"/>
      <c r="X81" s="7"/>
      <c r="Y81" s="7"/>
      <c r="Z81" s="7"/>
      <c r="AA81" s="7"/>
    </row>
    <row r="82" ht="18.75" customHeight="1">
      <c r="A82" s="8" t="s">
        <v>130</v>
      </c>
      <c r="B82" s="53" t="s">
        <v>131</v>
      </c>
      <c r="C82" s="9" t="s">
        <v>197</v>
      </c>
      <c r="D82" s="10">
        <v>1404.0</v>
      </c>
      <c r="E82" s="8" t="s">
        <v>198</v>
      </c>
      <c r="F82" s="11" t="s">
        <v>26</v>
      </c>
      <c r="G82" s="12" t="s">
        <v>27</v>
      </c>
      <c r="H82" s="55">
        <v>840.42</v>
      </c>
      <c r="I82" s="14">
        <v>10.0</v>
      </c>
      <c r="J82" s="15" t="s">
        <v>38</v>
      </c>
      <c r="K82" s="16">
        <v>0.5</v>
      </c>
      <c r="L82" s="17">
        <f t="shared" si="1"/>
        <v>5</v>
      </c>
      <c r="M82" s="17">
        <f t="shared" si="2"/>
        <v>5</v>
      </c>
      <c r="N82" s="18">
        <f t="shared" si="3"/>
        <v>420.21</v>
      </c>
      <c r="O82" s="18">
        <f t="shared" si="4"/>
        <v>420.21</v>
      </c>
      <c r="P82" s="18">
        <f t="shared" si="5"/>
        <v>420.21</v>
      </c>
      <c r="Q82" s="8">
        <v>0.0</v>
      </c>
      <c r="R82" s="18">
        <f t="shared" si="6"/>
        <v>84.042</v>
      </c>
      <c r="S82" s="19" t="s">
        <v>29</v>
      </c>
      <c r="T82" s="19" t="s">
        <v>30</v>
      </c>
      <c r="U82" s="20" t="s">
        <v>102</v>
      </c>
      <c r="V82" s="37"/>
      <c r="W82" s="7"/>
      <c r="X82" s="7"/>
      <c r="Y82" s="7"/>
      <c r="Z82" s="7"/>
      <c r="AA82" s="7"/>
    </row>
    <row r="83" ht="18.75" customHeight="1">
      <c r="A83" s="22" t="s">
        <v>130</v>
      </c>
      <c r="B83" s="54" t="s">
        <v>131</v>
      </c>
      <c r="C83" s="23" t="s">
        <v>199</v>
      </c>
      <c r="D83" s="24">
        <v>1405.0</v>
      </c>
      <c r="E83" s="22" t="s">
        <v>200</v>
      </c>
      <c r="F83" s="25" t="s">
        <v>26</v>
      </c>
      <c r="G83" s="26" t="s">
        <v>27</v>
      </c>
      <c r="H83" s="56">
        <v>1260.63</v>
      </c>
      <c r="I83" s="28">
        <v>10.0</v>
      </c>
      <c r="J83" s="29" t="s">
        <v>38</v>
      </c>
      <c r="K83" s="30">
        <v>0.5</v>
      </c>
      <c r="L83" s="31">
        <f t="shared" si="1"/>
        <v>5</v>
      </c>
      <c r="M83" s="31">
        <f t="shared" si="2"/>
        <v>5</v>
      </c>
      <c r="N83" s="32">
        <f t="shared" si="3"/>
        <v>630.315</v>
      </c>
      <c r="O83" s="32">
        <f t="shared" si="4"/>
        <v>630.315</v>
      </c>
      <c r="P83" s="32">
        <f t="shared" si="5"/>
        <v>630.315</v>
      </c>
      <c r="Q83" s="22">
        <v>0.0</v>
      </c>
      <c r="R83" s="32">
        <f t="shared" si="6"/>
        <v>126.063</v>
      </c>
      <c r="S83" s="33" t="s">
        <v>29</v>
      </c>
      <c r="T83" s="33" t="s">
        <v>30</v>
      </c>
      <c r="U83" s="34" t="s">
        <v>102</v>
      </c>
      <c r="V83" s="35"/>
      <c r="W83" s="7"/>
      <c r="X83" s="7"/>
      <c r="Y83" s="7"/>
      <c r="Z83" s="7"/>
      <c r="AA83" s="7"/>
    </row>
    <row r="84" ht="18.75" customHeight="1">
      <c r="A84" s="8" t="s">
        <v>130</v>
      </c>
      <c r="B84" s="53" t="s">
        <v>131</v>
      </c>
      <c r="C84" s="9" t="s">
        <v>195</v>
      </c>
      <c r="D84" s="10">
        <v>1409.0</v>
      </c>
      <c r="E84" s="8" t="s">
        <v>201</v>
      </c>
      <c r="F84" s="11" t="s">
        <v>202</v>
      </c>
      <c r="G84" s="12" t="s">
        <v>27</v>
      </c>
      <c r="H84" s="13">
        <v>764.99</v>
      </c>
      <c r="I84" s="14">
        <v>5.0</v>
      </c>
      <c r="J84" s="15" t="s">
        <v>38</v>
      </c>
      <c r="K84" s="16">
        <v>0.5</v>
      </c>
      <c r="L84" s="17">
        <f t="shared" si="1"/>
        <v>2.5</v>
      </c>
      <c r="M84" s="17">
        <f t="shared" si="2"/>
        <v>2.5</v>
      </c>
      <c r="N84" s="18">
        <f t="shared" si="3"/>
        <v>382.495</v>
      </c>
      <c r="O84" s="18">
        <f t="shared" si="4"/>
        <v>382.495</v>
      </c>
      <c r="P84" s="18">
        <f t="shared" si="5"/>
        <v>382.495</v>
      </c>
      <c r="Q84" s="8">
        <v>0.0</v>
      </c>
      <c r="R84" s="18">
        <f t="shared" si="6"/>
        <v>152.998</v>
      </c>
      <c r="S84" s="19" t="s">
        <v>29</v>
      </c>
      <c r="T84" s="19" t="s">
        <v>30</v>
      </c>
      <c r="U84" s="20" t="s">
        <v>203</v>
      </c>
      <c r="V84" s="37"/>
      <c r="W84" s="7"/>
      <c r="X84" s="7"/>
      <c r="Y84" s="7"/>
      <c r="Z84" s="7"/>
      <c r="AA84" s="7"/>
    </row>
    <row r="85" ht="18.75" customHeight="1">
      <c r="A85" s="22" t="s">
        <v>130</v>
      </c>
      <c r="B85" s="54" t="s">
        <v>131</v>
      </c>
      <c r="C85" s="23" t="s">
        <v>195</v>
      </c>
      <c r="D85" s="24">
        <v>1412.0</v>
      </c>
      <c r="E85" s="22" t="s">
        <v>204</v>
      </c>
      <c r="F85" s="25" t="s">
        <v>37</v>
      </c>
      <c r="G85" s="26" t="s">
        <v>27</v>
      </c>
      <c r="H85" s="27">
        <v>945.0</v>
      </c>
      <c r="I85" s="28">
        <v>15.0</v>
      </c>
      <c r="J85" s="45" t="s">
        <v>63</v>
      </c>
      <c r="K85" s="30">
        <v>0.7</v>
      </c>
      <c r="L85" s="31">
        <f t="shared" si="1"/>
        <v>10.5</v>
      </c>
      <c r="M85" s="31">
        <f t="shared" si="2"/>
        <v>4.5</v>
      </c>
      <c r="N85" s="32">
        <f t="shared" si="3"/>
        <v>661.5</v>
      </c>
      <c r="O85" s="32">
        <f t="shared" si="4"/>
        <v>283.5</v>
      </c>
      <c r="P85" s="32">
        <f t="shared" si="5"/>
        <v>283.5</v>
      </c>
      <c r="Q85" s="22">
        <v>0.0</v>
      </c>
      <c r="R85" s="32">
        <f t="shared" si="6"/>
        <v>63</v>
      </c>
      <c r="S85" s="33" t="s">
        <v>29</v>
      </c>
      <c r="T85" s="33" t="s">
        <v>30</v>
      </c>
      <c r="U85" s="34" t="s">
        <v>205</v>
      </c>
      <c r="V85" s="35"/>
      <c r="W85" s="7"/>
      <c r="X85" s="7"/>
      <c r="Y85" s="7"/>
      <c r="Z85" s="7"/>
      <c r="AA85" s="7"/>
    </row>
    <row r="86" ht="18.75" customHeight="1">
      <c r="A86" s="8" t="s">
        <v>130</v>
      </c>
      <c r="B86" s="53" t="s">
        <v>131</v>
      </c>
      <c r="C86" s="9" t="s">
        <v>189</v>
      </c>
      <c r="D86" s="10">
        <v>1413.0</v>
      </c>
      <c r="E86" s="8" t="s">
        <v>206</v>
      </c>
      <c r="F86" s="11" t="s">
        <v>37</v>
      </c>
      <c r="G86" s="12" t="s">
        <v>27</v>
      </c>
      <c r="H86" s="13">
        <v>1156.0</v>
      </c>
      <c r="I86" s="14">
        <v>10.0</v>
      </c>
      <c r="J86" s="15" t="s">
        <v>28</v>
      </c>
      <c r="K86" s="16">
        <v>0.4</v>
      </c>
      <c r="L86" s="17">
        <f t="shared" si="1"/>
        <v>4</v>
      </c>
      <c r="M86" s="17">
        <f t="shared" si="2"/>
        <v>6</v>
      </c>
      <c r="N86" s="18">
        <f t="shared" si="3"/>
        <v>462.4</v>
      </c>
      <c r="O86" s="18">
        <f t="shared" si="4"/>
        <v>693.6</v>
      </c>
      <c r="P86" s="18">
        <f t="shared" si="5"/>
        <v>693.6</v>
      </c>
      <c r="Q86" s="8">
        <v>0.0</v>
      </c>
      <c r="R86" s="18">
        <f t="shared" si="6"/>
        <v>115.6</v>
      </c>
      <c r="S86" s="19" t="s">
        <v>29</v>
      </c>
      <c r="T86" s="19" t="s">
        <v>30</v>
      </c>
      <c r="U86" s="20" t="s">
        <v>207</v>
      </c>
      <c r="V86" s="37"/>
      <c r="W86" s="7"/>
      <c r="X86" s="7"/>
      <c r="Y86" s="7"/>
      <c r="Z86" s="7"/>
      <c r="AA86" s="7"/>
    </row>
    <row r="87" ht="18.75" customHeight="1">
      <c r="A87" s="22" t="s">
        <v>130</v>
      </c>
      <c r="B87" s="54" t="s">
        <v>131</v>
      </c>
      <c r="C87" s="23" t="s">
        <v>195</v>
      </c>
      <c r="D87" s="24">
        <v>1414.0</v>
      </c>
      <c r="E87" s="22" t="s">
        <v>208</v>
      </c>
      <c r="F87" s="25" t="s">
        <v>37</v>
      </c>
      <c r="G87" s="26" t="s">
        <v>27</v>
      </c>
      <c r="H87" s="27">
        <v>1156.0</v>
      </c>
      <c r="I87" s="28">
        <v>10.0</v>
      </c>
      <c r="J87" s="29" t="s">
        <v>154</v>
      </c>
      <c r="K87" s="30">
        <v>0.8</v>
      </c>
      <c r="L87" s="31">
        <f t="shared" si="1"/>
        <v>8</v>
      </c>
      <c r="M87" s="31">
        <f t="shared" si="2"/>
        <v>2</v>
      </c>
      <c r="N87" s="32">
        <f t="shared" si="3"/>
        <v>924.8</v>
      </c>
      <c r="O87" s="32">
        <f t="shared" si="4"/>
        <v>231.2</v>
      </c>
      <c r="P87" s="32">
        <f t="shared" si="5"/>
        <v>231.2</v>
      </c>
      <c r="Q87" s="22">
        <v>0.0</v>
      </c>
      <c r="R87" s="32">
        <f t="shared" si="6"/>
        <v>115.6</v>
      </c>
      <c r="S87" s="33" t="s">
        <v>29</v>
      </c>
      <c r="T87" s="33" t="s">
        <v>30</v>
      </c>
      <c r="U87" s="34" t="s">
        <v>207</v>
      </c>
      <c r="V87" s="35"/>
      <c r="W87" s="7"/>
      <c r="X87" s="7"/>
      <c r="Y87" s="7"/>
      <c r="Z87" s="7"/>
      <c r="AA87" s="7"/>
    </row>
    <row r="88" ht="18.75" customHeight="1">
      <c r="A88" s="8" t="s">
        <v>130</v>
      </c>
      <c r="B88" s="53" t="s">
        <v>131</v>
      </c>
      <c r="C88" s="9" t="s">
        <v>209</v>
      </c>
      <c r="D88" s="10">
        <v>1415.0</v>
      </c>
      <c r="E88" s="8" t="s">
        <v>210</v>
      </c>
      <c r="F88" s="11" t="s">
        <v>37</v>
      </c>
      <c r="G88" s="12" t="s">
        <v>27</v>
      </c>
      <c r="H88" s="13">
        <v>1214.0</v>
      </c>
      <c r="I88" s="14">
        <v>10.0</v>
      </c>
      <c r="J88" s="15" t="s">
        <v>81</v>
      </c>
      <c r="K88" s="16">
        <v>0.15</v>
      </c>
      <c r="L88" s="17">
        <f t="shared" si="1"/>
        <v>1.5</v>
      </c>
      <c r="M88" s="17">
        <f t="shared" si="2"/>
        <v>8.5</v>
      </c>
      <c r="N88" s="18">
        <f t="shared" si="3"/>
        <v>182.1</v>
      </c>
      <c r="O88" s="18">
        <f t="shared" si="4"/>
        <v>1031.9</v>
      </c>
      <c r="P88" s="18">
        <f t="shared" si="5"/>
        <v>1031.9</v>
      </c>
      <c r="Q88" s="8">
        <v>0.0</v>
      </c>
      <c r="R88" s="18">
        <f t="shared" si="6"/>
        <v>121.4</v>
      </c>
      <c r="S88" s="19" t="s">
        <v>29</v>
      </c>
      <c r="T88" s="19" t="s">
        <v>30</v>
      </c>
      <c r="U88" s="20" t="s">
        <v>211</v>
      </c>
      <c r="V88" s="37"/>
      <c r="W88" s="7"/>
      <c r="X88" s="7"/>
      <c r="Y88" s="7"/>
      <c r="Z88" s="7"/>
      <c r="AA88" s="7"/>
    </row>
    <row r="89" ht="18.75" customHeight="1">
      <c r="A89" s="22" t="s">
        <v>130</v>
      </c>
      <c r="B89" s="54" t="s">
        <v>131</v>
      </c>
      <c r="C89" s="23" t="s">
        <v>209</v>
      </c>
      <c r="D89" s="24">
        <v>1416.0</v>
      </c>
      <c r="E89" s="22" t="s">
        <v>212</v>
      </c>
      <c r="F89" s="25" t="s">
        <v>37</v>
      </c>
      <c r="G89" s="26" t="s">
        <v>27</v>
      </c>
      <c r="H89" s="27">
        <v>309.9</v>
      </c>
      <c r="I89" s="28">
        <v>10.0</v>
      </c>
      <c r="J89" s="29" t="s">
        <v>81</v>
      </c>
      <c r="K89" s="30">
        <v>0.15</v>
      </c>
      <c r="L89" s="31">
        <f t="shared" si="1"/>
        <v>1.5</v>
      </c>
      <c r="M89" s="31">
        <f t="shared" si="2"/>
        <v>8.5</v>
      </c>
      <c r="N89" s="32">
        <f t="shared" si="3"/>
        <v>46.485</v>
      </c>
      <c r="O89" s="32">
        <f t="shared" si="4"/>
        <v>263.415</v>
      </c>
      <c r="P89" s="32">
        <f t="shared" si="5"/>
        <v>263.415</v>
      </c>
      <c r="Q89" s="22">
        <v>0.0</v>
      </c>
      <c r="R89" s="32">
        <f t="shared" si="6"/>
        <v>30.99</v>
      </c>
      <c r="S89" s="33" t="s">
        <v>29</v>
      </c>
      <c r="T89" s="33" t="s">
        <v>30</v>
      </c>
      <c r="U89" s="34" t="s">
        <v>213</v>
      </c>
      <c r="V89" s="35"/>
      <c r="W89" s="7"/>
      <c r="X89" s="7"/>
      <c r="Y89" s="7"/>
      <c r="Z89" s="7"/>
      <c r="AA89" s="7"/>
    </row>
    <row r="90" ht="18.75" customHeight="1">
      <c r="A90" s="8" t="s">
        <v>130</v>
      </c>
      <c r="B90" s="53" t="s">
        <v>131</v>
      </c>
      <c r="C90" s="9" t="s">
        <v>209</v>
      </c>
      <c r="D90" s="10">
        <v>1417.0</v>
      </c>
      <c r="E90" s="8" t="s">
        <v>214</v>
      </c>
      <c r="F90" s="11" t="s">
        <v>37</v>
      </c>
      <c r="G90" s="12" t="s">
        <v>27</v>
      </c>
      <c r="H90" s="13">
        <v>309.9</v>
      </c>
      <c r="I90" s="14">
        <v>10.0</v>
      </c>
      <c r="J90" s="15" t="s">
        <v>81</v>
      </c>
      <c r="K90" s="16">
        <v>0.15</v>
      </c>
      <c r="L90" s="17">
        <f t="shared" si="1"/>
        <v>1.5</v>
      </c>
      <c r="M90" s="17">
        <f t="shared" si="2"/>
        <v>8.5</v>
      </c>
      <c r="N90" s="18">
        <f t="shared" si="3"/>
        <v>46.485</v>
      </c>
      <c r="O90" s="18">
        <f t="shared" si="4"/>
        <v>263.415</v>
      </c>
      <c r="P90" s="18">
        <f t="shared" si="5"/>
        <v>263.415</v>
      </c>
      <c r="Q90" s="8">
        <v>0.0</v>
      </c>
      <c r="R90" s="18">
        <f t="shared" si="6"/>
        <v>30.99</v>
      </c>
      <c r="S90" s="19" t="s">
        <v>29</v>
      </c>
      <c r="T90" s="19" t="s">
        <v>30</v>
      </c>
      <c r="U90" s="20" t="s">
        <v>213</v>
      </c>
      <c r="V90" s="37"/>
      <c r="W90" s="7"/>
      <c r="X90" s="7"/>
      <c r="Y90" s="7"/>
      <c r="Z90" s="7"/>
      <c r="AA90" s="7"/>
    </row>
    <row r="91" ht="18.75" customHeight="1">
      <c r="A91" s="22" t="s">
        <v>130</v>
      </c>
      <c r="B91" s="54" t="s">
        <v>131</v>
      </c>
      <c r="C91" s="23" t="s">
        <v>199</v>
      </c>
      <c r="D91" s="24">
        <v>1420.0</v>
      </c>
      <c r="E91" s="22" t="s">
        <v>215</v>
      </c>
      <c r="F91" s="25" t="s">
        <v>202</v>
      </c>
      <c r="G91" s="26" t="s">
        <v>27</v>
      </c>
      <c r="H91" s="27">
        <v>205.0</v>
      </c>
      <c r="I91" s="28">
        <v>5.0</v>
      </c>
      <c r="J91" s="29" t="s">
        <v>38</v>
      </c>
      <c r="K91" s="30">
        <v>0.5</v>
      </c>
      <c r="L91" s="31">
        <f t="shared" si="1"/>
        <v>2.5</v>
      </c>
      <c r="M91" s="31">
        <f t="shared" si="2"/>
        <v>2.5</v>
      </c>
      <c r="N91" s="32">
        <f t="shared" si="3"/>
        <v>102.5</v>
      </c>
      <c r="O91" s="32">
        <f t="shared" si="4"/>
        <v>102.5</v>
      </c>
      <c r="P91" s="32">
        <f t="shared" si="5"/>
        <v>102.5</v>
      </c>
      <c r="Q91" s="22">
        <v>0.0</v>
      </c>
      <c r="R91" s="32">
        <f t="shared" si="6"/>
        <v>41</v>
      </c>
      <c r="S91" s="33" t="s">
        <v>29</v>
      </c>
      <c r="T91" s="33" t="s">
        <v>30</v>
      </c>
      <c r="U91" s="34" t="s">
        <v>216</v>
      </c>
      <c r="V91" s="57"/>
      <c r="W91" s="7"/>
      <c r="X91" s="7"/>
      <c r="Y91" s="7"/>
      <c r="Z91" s="7"/>
      <c r="AA91" s="7"/>
    </row>
    <row r="92" ht="18.75" customHeight="1">
      <c r="A92" s="8" t="s">
        <v>130</v>
      </c>
      <c r="B92" s="53" t="s">
        <v>131</v>
      </c>
      <c r="C92" s="9" t="s">
        <v>209</v>
      </c>
      <c r="D92" s="10">
        <v>1422.0</v>
      </c>
      <c r="E92" s="8" t="s">
        <v>217</v>
      </c>
      <c r="F92" s="11" t="s">
        <v>37</v>
      </c>
      <c r="G92" s="12" t="s">
        <v>27</v>
      </c>
      <c r="H92" s="13">
        <v>1267.0</v>
      </c>
      <c r="I92" s="14">
        <v>10.0</v>
      </c>
      <c r="J92" s="15" t="s">
        <v>54</v>
      </c>
      <c r="K92" s="16">
        <v>0.3</v>
      </c>
      <c r="L92" s="17">
        <f t="shared" si="1"/>
        <v>3</v>
      </c>
      <c r="M92" s="17">
        <f t="shared" si="2"/>
        <v>7</v>
      </c>
      <c r="N92" s="18">
        <f t="shared" si="3"/>
        <v>380.1</v>
      </c>
      <c r="O92" s="18">
        <f t="shared" si="4"/>
        <v>886.9</v>
      </c>
      <c r="P92" s="18">
        <f t="shared" si="5"/>
        <v>886.9</v>
      </c>
      <c r="Q92" s="8">
        <v>0.0</v>
      </c>
      <c r="R92" s="18">
        <f t="shared" si="6"/>
        <v>126.7</v>
      </c>
      <c r="S92" s="19" t="s">
        <v>29</v>
      </c>
      <c r="T92" s="19" t="s">
        <v>30</v>
      </c>
      <c r="U92" s="20" t="s">
        <v>218</v>
      </c>
      <c r="V92" s="37"/>
      <c r="W92" s="7"/>
      <c r="X92" s="7"/>
      <c r="Y92" s="7"/>
      <c r="Z92" s="7"/>
      <c r="AA92" s="7"/>
    </row>
    <row r="93" ht="18.75" customHeight="1">
      <c r="A93" s="22" t="s">
        <v>130</v>
      </c>
      <c r="B93" s="54" t="s">
        <v>131</v>
      </c>
      <c r="C93" s="23" t="s">
        <v>192</v>
      </c>
      <c r="D93" s="24">
        <v>1424.0</v>
      </c>
      <c r="E93" s="22" t="s">
        <v>219</v>
      </c>
      <c r="F93" s="25" t="s">
        <v>26</v>
      </c>
      <c r="G93" s="26" t="s">
        <v>27</v>
      </c>
      <c r="H93" s="27">
        <v>785.82</v>
      </c>
      <c r="I93" s="28">
        <v>10.0</v>
      </c>
      <c r="J93" s="29" t="s">
        <v>38</v>
      </c>
      <c r="K93" s="30">
        <v>0.5</v>
      </c>
      <c r="L93" s="31">
        <f t="shared" si="1"/>
        <v>5</v>
      </c>
      <c r="M93" s="31">
        <f t="shared" si="2"/>
        <v>5</v>
      </c>
      <c r="N93" s="32">
        <f t="shared" si="3"/>
        <v>392.91</v>
      </c>
      <c r="O93" s="32">
        <f t="shared" si="4"/>
        <v>392.91</v>
      </c>
      <c r="P93" s="32">
        <f t="shared" si="5"/>
        <v>392.91</v>
      </c>
      <c r="Q93" s="22">
        <v>0.0</v>
      </c>
      <c r="R93" s="32">
        <f t="shared" si="6"/>
        <v>78.582</v>
      </c>
      <c r="S93" s="33" t="s">
        <v>29</v>
      </c>
      <c r="T93" s="33" t="s">
        <v>30</v>
      </c>
      <c r="U93" s="34" t="s">
        <v>220</v>
      </c>
      <c r="V93" s="35"/>
      <c r="W93" s="7"/>
      <c r="X93" s="7"/>
      <c r="Y93" s="7"/>
      <c r="Z93" s="7"/>
      <c r="AA93" s="7"/>
    </row>
    <row r="94" ht="18.75" customHeight="1">
      <c r="A94" s="8" t="s">
        <v>130</v>
      </c>
      <c r="B94" s="53" t="s">
        <v>131</v>
      </c>
      <c r="C94" s="9" t="s">
        <v>195</v>
      </c>
      <c r="D94" s="10">
        <v>1425.0</v>
      </c>
      <c r="E94" s="8" t="s">
        <v>221</v>
      </c>
      <c r="F94" s="11" t="s">
        <v>26</v>
      </c>
      <c r="G94" s="12" t="s">
        <v>27</v>
      </c>
      <c r="H94" s="13">
        <v>1178.73</v>
      </c>
      <c r="I94" s="14">
        <v>10.0</v>
      </c>
      <c r="J94" s="15" t="s">
        <v>38</v>
      </c>
      <c r="K94" s="16">
        <v>0.5</v>
      </c>
      <c r="L94" s="17">
        <f t="shared" si="1"/>
        <v>5</v>
      </c>
      <c r="M94" s="17">
        <f t="shared" si="2"/>
        <v>5</v>
      </c>
      <c r="N94" s="18">
        <f t="shared" si="3"/>
        <v>589.365</v>
      </c>
      <c r="O94" s="18">
        <f t="shared" si="4"/>
        <v>589.365</v>
      </c>
      <c r="P94" s="18">
        <f t="shared" si="5"/>
        <v>589.365</v>
      </c>
      <c r="Q94" s="8">
        <v>0.0</v>
      </c>
      <c r="R94" s="18">
        <f t="shared" si="6"/>
        <v>117.873</v>
      </c>
      <c r="S94" s="19" t="s">
        <v>29</v>
      </c>
      <c r="T94" s="19" t="s">
        <v>30</v>
      </c>
      <c r="U94" s="20" t="s">
        <v>220</v>
      </c>
      <c r="V94" s="37"/>
      <c r="W94" s="7"/>
      <c r="X94" s="7"/>
      <c r="Y94" s="7"/>
      <c r="Z94" s="7"/>
      <c r="AA94" s="7"/>
    </row>
    <row r="95" ht="18.75" customHeight="1">
      <c r="A95" s="22" t="s">
        <v>130</v>
      </c>
      <c r="B95" s="54" t="s">
        <v>131</v>
      </c>
      <c r="C95" s="23" t="s">
        <v>197</v>
      </c>
      <c r="D95" s="24">
        <v>1427.0</v>
      </c>
      <c r="E95" s="22" t="s">
        <v>222</v>
      </c>
      <c r="F95" s="25" t="s">
        <v>37</v>
      </c>
      <c r="G95" s="26" t="s">
        <v>27</v>
      </c>
      <c r="H95" s="27">
        <v>332.91</v>
      </c>
      <c r="I95" s="28">
        <v>10.0</v>
      </c>
      <c r="J95" s="29" t="s">
        <v>54</v>
      </c>
      <c r="K95" s="30">
        <v>0.3</v>
      </c>
      <c r="L95" s="31">
        <f t="shared" si="1"/>
        <v>3</v>
      </c>
      <c r="M95" s="31">
        <f t="shared" si="2"/>
        <v>7</v>
      </c>
      <c r="N95" s="32">
        <f t="shared" si="3"/>
        <v>99.873</v>
      </c>
      <c r="O95" s="32">
        <f t="shared" si="4"/>
        <v>233.037</v>
      </c>
      <c r="P95" s="32">
        <f t="shared" si="5"/>
        <v>233.037</v>
      </c>
      <c r="Q95" s="22">
        <v>0.0</v>
      </c>
      <c r="R95" s="32">
        <f t="shared" si="6"/>
        <v>33.291</v>
      </c>
      <c r="S95" s="33" t="s">
        <v>29</v>
      </c>
      <c r="T95" s="33" t="s">
        <v>30</v>
      </c>
      <c r="U95" s="34" t="s">
        <v>223</v>
      </c>
      <c r="V95" s="35"/>
      <c r="W95" s="7"/>
      <c r="X95" s="7"/>
      <c r="Y95" s="7"/>
      <c r="Z95" s="7"/>
      <c r="AA95" s="7"/>
    </row>
    <row r="96" ht="18.75" customHeight="1">
      <c r="A96" s="8" t="s">
        <v>130</v>
      </c>
      <c r="B96" s="53" t="s">
        <v>131</v>
      </c>
      <c r="C96" s="9" t="s">
        <v>224</v>
      </c>
      <c r="D96" s="10">
        <v>1428.0</v>
      </c>
      <c r="E96" s="8" t="s">
        <v>225</v>
      </c>
      <c r="F96" s="11" t="s">
        <v>37</v>
      </c>
      <c r="G96" s="12" t="s">
        <v>27</v>
      </c>
      <c r="H96" s="13">
        <v>1156.0</v>
      </c>
      <c r="I96" s="14">
        <v>10.0</v>
      </c>
      <c r="J96" s="15" t="s">
        <v>38</v>
      </c>
      <c r="K96" s="16">
        <v>0.5</v>
      </c>
      <c r="L96" s="17">
        <f t="shared" si="1"/>
        <v>5</v>
      </c>
      <c r="M96" s="17">
        <f t="shared" si="2"/>
        <v>5</v>
      </c>
      <c r="N96" s="18">
        <f t="shared" si="3"/>
        <v>578</v>
      </c>
      <c r="O96" s="18">
        <f t="shared" si="4"/>
        <v>578</v>
      </c>
      <c r="P96" s="18">
        <f t="shared" si="5"/>
        <v>578</v>
      </c>
      <c r="Q96" s="8">
        <v>0.0</v>
      </c>
      <c r="R96" s="18">
        <f t="shared" si="6"/>
        <v>115.6</v>
      </c>
      <c r="S96" s="19" t="s">
        <v>29</v>
      </c>
      <c r="T96" s="19" t="s">
        <v>30</v>
      </c>
      <c r="U96" s="20" t="s">
        <v>207</v>
      </c>
      <c r="V96" s="37"/>
      <c r="W96" s="49"/>
      <c r="X96" s="49"/>
      <c r="Y96" s="49"/>
      <c r="Z96" s="49"/>
      <c r="AA96" s="49"/>
    </row>
    <row r="97" ht="18.75" customHeight="1">
      <c r="A97" s="22" t="s">
        <v>130</v>
      </c>
      <c r="B97" s="54" t="s">
        <v>131</v>
      </c>
      <c r="C97" s="23" t="s">
        <v>199</v>
      </c>
      <c r="D97" s="24">
        <v>1429.0</v>
      </c>
      <c r="E97" s="22" t="s">
        <v>226</v>
      </c>
      <c r="F97" s="25" t="s">
        <v>37</v>
      </c>
      <c r="G97" s="26" t="s">
        <v>27</v>
      </c>
      <c r="H97" s="27">
        <v>945.0</v>
      </c>
      <c r="I97" s="28">
        <v>15.0</v>
      </c>
      <c r="J97" s="29" t="s">
        <v>54</v>
      </c>
      <c r="K97" s="30">
        <v>0.3</v>
      </c>
      <c r="L97" s="31">
        <f t="shared" si="1"/>
        <v>4.5</v>
      </c>
      <c r="M97" s="31">
        <f t="shared" si="2"/>
        <v>10.5</v>
      </c>
      <c r="N97" s="32">
        <f t="shared" si="3"/>
        <v>283.5</v>
      </c>
      <c r="O97" s="32">
        <f t="shared" si="4"/>
        <v>661.5</v>
      </c>
      <c r="P97" s="32">
        <f t="shared" si="5"/>
        <v>661.5</v>
      </c>
      <c r="Q97" s="22">
        <v>0.0</v>
      </c>
      <c r="R97" s="32">
        <f t="shared" si="6"/>
        <v>63</v>
      </c>
      <c r="S97" s="33" t="s">
        <v>29</v>
      </c>
      <c r="T97" s="33" t="s">
        <v>30</v>
      </c>
      <c r="U97" s="34" t="s">
        <v>205</v>
      </c>
      <c r="V97" s="35"/>
      <c r="W97" s="7"/>
      <c r="X97" s="7"/>
      <c r="Y97" s="7"/>
      <c r="Z97" s="7"/>
      <c r="AA97" s="7"/>
    </row>
    <row r="98" ht="18.75" customHeight="1">
      <c r="A98" s="8" t="s">
        <v>130</v>
      </c>
      <c r="B98" s="53" t="s">
        <v>131</v>
      </c>
      <c r="C98" s="9" t="s">
        <v>227</v>
      </c>
      <c r="D98" s="10">
        <v>1430.0</v>
      </c>
      <c r="E98" s="8" t="s">
        <v>228</v>
      </c>
      <c r="F98" s="11" t="s">
        <v>37</v>
      </c>
      <c r="G98" s="12" t="s">
        <v>27</v>
      </c>
      <c r="H98" s="13">
        <v>1300.12</v>
      </c>
      <c r="I98" s="14">
        <v>15.0</v>
      </c>
      <c r="J98" s="15" t="s">
        <v>54</v>
      </c>
      <c r="K98" s="16">
        <v>0.3</v>
      </c>
      <c r="L98" s="17">
        <f t="shared" si="1"/>
        <v>4.5</v>
      </c>
      <c r="M98" s="17">
        <f t="shared" si="2"/>
        <v>10.5</v>
      </c>
      <c r="N98" s="18">
        <f t="shared" si="3"/>
        <v>390.036</v>
      </c>
      <c r="O98" s="18">
        <f t="shared" si="4"/>
        <v>910.084</v>
      </c>
      <c r="P98" s="18">
        <f t="shared" si="5"/>
        <v>910.084</v>
      </c>
      <c r="Q98" s="8">
        <v>0.0</v>
      </c>
      <c r="R98" s="18">
        <f t="shared" si="6"/>
        <v>86.67466667</v>
      </c>
      <c r="S98" s="19" t="s">
        <v>29</v>
      </c>
      <c r="T98" s="19" t="s">
        <v>30</v>
      </c>
      <c r="U98" s="20" t="s">
        <v>229</v>
      </c>
      <c r="V98" s="37"/>
      <c r="W98" s="7"/>
      <c r="X98" s="7"/>
      <c r="Y98" s="7"/>
      <c r="Z98" s="7"/>
      <c r="AA98" s="7"/>
    </row>
    <row r="99" ht="18.75" customHeight="1">
      <c r="A99" s="22" t="s">
        <v>130</v>
      </c>
      <c r="B99" s="54" t="s">
        <v>131</v>
      </c>
      <c r="C99" s="23" t="s">
        <v>230</v>
      </c>
      <c r="D99" s="24">
        <v>1434.0</v>
      </c>
      <c r="E99" s="22" t="s">
        <v>231</v>
      </c>
      <c r="F99" s="25" t="s">
        <v>26</v>
      </c>
      <c r="G99" s="26" t="s">
        <v>27</v>
      </c>
      <c r="H99" s="27">
        <v>1583.6</v>
      </c>
      <c r="I99" s="28">
        <v>10.0</v>
      </c>
      <c r="J99" s="29" t="s">
        <v>38</v>
      </c>
      <c r="K99" s="30">
        <v>0.5</v>
      </c>
      <c r="L99" s="31">
        <f t="shared" si="1"/>
        <v>5</v>
      </c>
      <c r="M99" s="31">
        <f t="shared" si="2"/>
        <v>5</v>
      </c>
      <c r="N99" s="32">
        <f t="shared" si="3"/>
        <v>791.8</v>
      </c>
      <c r="O99" s="32">
        <f t="shared" si="4"/>
        <v>791.8</v>
      </c>
      <c r="P99" s="32">
        <f t="shared" si="5"/>
        <v>791.8</v>
      </c>
      <c r="Q99" s="22">
        <v>0.0</v>
      </c>
      <c r="R99" s="32">
        <f t="shared" si="6"/>
        <v>158.36</v>
      </c>
      <c r="S99" s="33" t="s">
        <v>29</v>
      </c>
      <c r="T99" s="33" t="s">
        <v>30</v>
      </c>
      <c r="U99" s="34" t="s">
        <v>232</v>
      </c>
      <c r="V99" s="35"/>
      <c r="W99" s="7"/>
      <c r="X99" s="7"/>
      <c r="Y99" s="7"/>
      <c r="Z99" s="7"/>
      <c r="AA99" s="7"/>
    </row>
    <row r="100" ht="18.75" customHeight="1">
      <c r="A100" s="8" t="s">
        <v>130</v>
      </c>
      <c r="B100" s="53" t="s">
        <v>131</v>
      </c>
      <c r="C100" s="9" t="s">
        <v>230</v>
      </c>
      <c r="D100" s="10">
        <v>1435.0</v>
      </c>
      <c r="E100" s="8" t="s">
        <v>233</v>
      </c>
      <c r="F100" s="11" t="s">
        <v>26</v>
      </c>
      <c r="G100" s="12" t="s">
        <v>27</v>
      </c>
      <c r="H100" s="13">
        <v>2375.4</v>
      </c>
      <c r="I100" s="14">
        <v>10.0</v>
      </c>
      <c r="J100" s="15" t="s">
        <v>38</v>
      </c>
      <c r="K100" s="16">
        <v>0.5</v>
      </c>
      <c r="L100" s="17">
        <f t="shared" si="1"/>
        <v>5</v>
      </c>
      <c r="M100" s="17">
        <f t="shared" si="2"/>
        <v>5</v>
      </c>
      <c r="N100" s="18">
        <f t="shared" si="3"/>
        <v>1187.7</v>
      </c>
      <c r="O100" s="18">
        <f t="shared" si="4"/>
        <v>1187.7</v>
      </c>
      <c r="P100" s="18">
        <f t="shared" si="5"/>
        <v>1187.7</v>
      </c>
      <c r="Q100" s="8">
        <v>0.0</v>
      </c>
      <c r="R100" s="18">
        <f t="shared" si="6"/>
        <v>237.54</v>
      </c>
      <c r="S100" s="19" t="s">
        <v>29</v>
      </c>
      <c r="T100" s="19" t="s">
        <v>30</v>
      </c>
      <c r="U100" s="20" t="s">
        <v>232</v>
      </c>
      <c r="V100" s="37"/>
      <c r="W100" s="7"/>
      <c r="X100" s="7"/>
      <c r="Y100" s="7"/>
      <c r="Z100" s="7"/>
      <c r="AA100" s="7"/>
    </row>
    <row r="101" ht="18.75" customHeight="1">
      <c r="A101" s="22" t="s">
        <v>130</v>
      </c>
      <c r="B101" s="54" t="s">
        <v>131</v>
      </c>
      <c r="C101" s="23" t="s">
        <v>24</v>
      </c>
      <c r="D101" s="24">
        <v>1436.0</v>
      </c>
      <c r="E101" s="22" t="s">
        <v>234</v>
      </c>
      <c r="F101" s="25" t="s">
        <v>37</v>
      </c>
      <c r="G101" s="26" t="s">
        <v>27</v>
      </c>
      <c r="H101" s="27">
        <v>626.0</v>
      </c>
      <c r="I101" s="28">
        <v>10.0</v>
      </c>
      <c r="J101" s="29" t="s">
        <v>28</v>
      </c>
      <c r="K101" s="30">
        <v>0.4</v>
      </c>
      <c r="L101" s="31">
        <f t="shared" si="1"/>
        <v>4</v>
      </c>
      <c r="M101" s="31">
        <f t="shared" si="2"/>
        <v>6</v>
      </c>
      <c r="N101" s="32">
        <f t="shared" si="3"/>
        <v>250.4</v>
      </c>
      <c r="O101" s="32">
        <f t="shared" si="4"/>
        <v>375.6</v>
      </c>
      <c r="P101" s="32">
        <f t="shared" si="5"/>
        <v>375.6</v>
      </c>
      <c r="Q101" s="22">
        <v>0.0</v>
      </c>
      <c r="R101" s="32">
        <f t="shared" si="6"/>
        <v>62.6</v>
      </c>
      <c r="S101" s="33" t="s">
        <v>29</v>
      </c>
      <c r="T101" s="33" t="s">
        <v>30</v>
      </c>
      <c r="U101" s="34" t="s">
        <v>235</v>
      </c>
      <c r="V101" s="35"/>
      <c r="W101" s="7"/>
      <c r="X101" s="7"/>
      <c r="Y101" s="7"/>
      <c r="Z101" s="7"/>
      <c r="AA101" s="7"/>
    </row>
    <row r="102" ht="18.75" customHeight="1">
      <c r="A102" s="8" t="s">
        <v>130</v>
      </c>
      <c r="B102" s="53" t="s">
        <v>131</v>
      </c>
      <c r="C102" s="9" t="s">
        <v>236</v>
      </c>
      <c r="D102" s="10">
        <v>1437.0</v>
      </c>
      <c r="E102" s="8" t="s">
        <v>234</v>
      </c>
      <c r="F102" s="11" t="s">
        <v>37</v>
      </c>
      <c r="G102" s="12" t="s">
        <v>27</v>
      </c>
      <c r="H102" s="13">
        <v>626.0</v>
      </c>
      <c r="I102" s="14">
        <v>10.0</v>
      </c>
      <c r="J102" s="15" t="s">
        <v>54</v>
      </c>
      <c r="K102" s="16">
        <v>0.3</v>
      </c>
      <c r="L102" s="17">
        <f t="shared" si="1"/>
        <v>3</v>
      </c>
      <c r="M102" s="17">
        <f t="shared" si="2"/>
        <v>7</v>
      </c>
      <c r="N102" s="18">
        <f t="shared" si="3"/>
        <v>187.8</v>
      </c>
      <c r="O102" s="18">
        <f t="shared" si="4"/>
        <v>438.2</v>
      </c>
      <c r="P102" s="18">
        <f t="shared" si="5"/>
        <v>438.2</v>
      </c>
      <c r="Q102" s="8">
        <v>0.0</v>
      </c>
      <c r="R102" s="18">
        <f t="shared" si="6"/>
        <v>62.6</v>
      </c>
      <c r="S102" s="19" t="s">
        <v>29</v>
      </c>
      <c r="T102" s="19" t="s">
        <v>30</v>
      </c>
      <c r="U102" s="20" t="s">
        <v>235</v>
      </c>
      <c r="V102" s="37"/>
      <c r="W102" s="7"/>
      <c r="X102" s="7"/>
      <c r="Y102" s="7"/>
      <c r="Z102" s="7"/>
      <c r="AA102" s="7"/>
    </row>
    <row r="103" ht="18.75" customHeight="1">
      <c r="A103" s="22" t="s">
        <v>130</v>
      </c>
      <c r="B103" s="54" t="s">
        <v>131</v>
      </c>
      <c r="C103" s="23" t="s">
        <v>237</v>
      </c>
      <c r="D103" s="24">
        <v>1442.0</v>
      </c>
      <c r="E103" s="22" t="s">
        <v>238</v>
      </c>
      <c r="F103" s="25" t="s">
        <v>26</v>
      </c>
      <c r="G103" s="26" t="s">
        <v>27</v>
      </c>
      <c r="H103" s="56">
        <v>840.42</v>
      </c>
      <c r="I103" s="28">
        <v>10.0</v>
      </c>
      <c r="J103" s="29" t="s">
        <v>38</v>
      </c>
      <c r="K103" s="30">
        <v>0.5</v>
      </c>
      <c r="L103" s="31">
        <f t="shared" si="1"/>
        <v>5</v>
      </c>
      <c r="M103" s="31">
        <f t="shared" si="2"/>
        <v>5</v>
      </c>
      <c r="N103" s="32">
        <f t="shared" si="3"/>
        <v>420.21</v>
      </c>
      <c r="O103" s="32">
        <f t="shared" si="4"/>
        <v>420.21</v>
      </c>
      <c r="P103" s="32">
        <f t="shared" si="5"/>
        <v>420.21</v>
      </c>
      <c r="Q103" s="22">
        <v>0.0</v>
      </c>
      <c r="R103" s="32">
        <f t="shared" si="6"/>
        <v>84.042</v>
      </c>
      <c r="S103" s="33" t="s">
        <v>29</v>
      </c>
      <c r="T103" s="33" t="s">
        <v>30</v>
      </c>
      <c r="U103" s="34" t="s">
        <v>102</v>
      </c>
      <c r="V103" s="35"/>
      <c r="W103" s="7"/>
      <c r="X103" s="7"/>
      <c r="Y103" s="7"/>
      <c r="Z103" s="7"/>
      <c r="AA103" s="7"/>
    </row>
    <row r="104" ht="18.75" customHeight="1">
      <c r="A104" s="8" t="s">
        <v>130</v>
      </c>
      <c r="B104" s="53" t="s">
        <v>131</v>
      </c>
      <c r="C104" s="9" t="s">
        <v>189</v>
      </c>
      <c r="D104" s="10">
        <v>1443.0</v>
      </c>
      <c r="E104" s="8" t="s">
        <v>239</v>
      </c>
      <c r="F104" s="11" t="s">
        <v>26</v>
      </c>
      <c r="G104" s="12" t="s">
        <v>27</v>
      </c>
      <c r="H104" s="55">
        <v>1260.63</v>
      </c>
      <c r="I104" s="14">
        <v>10.0</v>
      </c>
      <c r="J104" s="15" t="s">
        <v>38</v>
      </c>
      <c r="K104" s="16">
        <v>0.5</v>
      </c>
      <c r="L104" s="17">
        <f t="shared" si="1"/>
        <v>5</v>
      </c>
      <c r="M104" s="17">
        <f t="shared" si="2"/>
        <v>5</v>
      </c>
      <c r="N104" s="18">
        <f t="shared" si="3"/>
        <v>630.315</v>
      </c>
      <c r="O104" s="18">
        <f t="shared" si="4"/>
        <v>630.315</v>
      </c>
      <c r="P104" s="18">
        <f t="shared" si="5"/>
        <v>630.315</v>
      </c>
      <c r="Q104" s="8">
        <v>0.0</v>
      </c>
      <c r="R104" s="18">
        <f t="shared" si="6"/>
        <v>126.063</v>
      </c>
      <c r="S104" s="19" t="s">
        <v>29</v>
      </c>
      <c r="T104" s="19" t="s">
        <v>30</v>
      </c>
      <c r="U104" s="20" t="s">
        <v>102</v>
      </c>
      <c r="V104" s="37"/>
      <c r="W104" s="7"/>
      <c r="X104" s="7"/>
      <c r="Y104" s="7"/>
      <c r="Z104" s="7"/>
      <c r="AA104" s="7"/>
    </row>
    <row r="105" ht="18.75" customHeight="1">
      <c r="A105" s="22" t="s">
        <v>130</v>
      </c>
      <c r="B105" s="54" t="s">
        <v>131</v>
      </c>
      <c r="C105" s="23" t="s">
        <v>199</v>
      </c>
      <c r="D105" s="24">
        <v>1446.0</v>
      </c>
      <c r="E105" s="22" t="s">
        <v>240</v>
      </c>
      <c r="F105" s="25" t="s">
        <v>37</v>
      </c>
      <c r="G105" s="26" t="s">
        <v>27</v>
      </c>
      <c r="H105" s="27">
        <v>332.91</v>
      </c>
      <c r="I105" s="28">
        <v>10.0</v>
      </c>
      <c r="J105" s="29" t="s">
        <v>38</v>
      </c>
      <c r="K105" s="30">
        <v>0.5</v>
      </c>
      <c r="L105" s="31">
        <f t="shared" si="1"/>
        <v>5</v>
      </c>
      <c r="M105" s="31">
        <f t="shared" si="2"/>
        <v>5</v>
      </c>
      <c r="N105" s="32">
        <f t="shared" si="3"/>
        <v>166.455</v>
      </c>
      <c r="O105" s="32">
        <f t="shared" si="4"/>
        <v>166.455</v>
      </c>
      <c r="P105" s="32">
        <f t="shared" si="5"/>
        <v>166.455</v>
      </c>
      <c r="Q105" s="22">
        <v>0.0</v>
      </c>
      <c r="R105" s="32">
        <f t="shared" si="6"/>
        <v>33.291</v>
      </c>
      <c r="S105" s="33" t="s">
        <v>29</v>
      </c>
      <c r="T105" s="33" t="s">
        <v>30</v>
      </c>
      <c r="U105" s="34" t="s">
        <v>223</v>
      </c>
      <c r="V105" s="35"/>
      <c r="W105" s="7"/>
      <c r="X105" s="7"/>
      <c r="Y105" s="7"/>
      <c r="Z105" s="7"/>
      <c r="AA105" s="7"/>
    </row>
    <row r="106" ht="18.75" customHeight="1">
      <c r="A106" s="8" t="s">
        <v>130</v>
      </c>
      <c r="B106" s="53" t="s">
        <v>131</v>
      </c>
      <c r="C106" s="9" t="s">
        <v>24</v>
      </c>
      <c r="D106" s="10">
        <v>1449.0</v>
      </c>
      <c r="E106" s="8" t="s">
        <v>241</v>
      </c>
      <c r="F106" s="11" t="s">
        <v>26</v>
      </c>
      <c r="G106" s="12" t="s">
        <v>27</v>
      </c>
      <c r="H106" s="13">
        <v>238.95</v>
      </c>
      <c r="I106" s="14">
        <v>5.0</v>
      </c>
      <c r="J106" s="15" t="s">
        <v>28</v>
      </c>
      <c r="K106" s="16">
        <v>0.4</v>
      </c>
      <c r="L106" s="17">
        <f t="shared" si="1"/>
        <v>2</v>
      </c>
      <c r="M106" s="17">
        <f t="shared" si="2"/>
        <v>3</v>
      </c>
      <c r="N106" s="18">
        <f t="shared" si="3"/>
        <v>95.58</v>
      </c>
      <c r="O106" s="18">
        <f t="shared" si="4"/>
        <v>143.37</v>
      </c>
      <c r="P106" s="18">
        <f t="shared" si="5"/>
        <v>143.37</v>
      </c>
      <c r="Q106" s="8">
        <v>0.0</v>
      </c>
      <c r="R106" s="18">
        <f t="shared" si="6"/>
        <v>47.79</v>
      </c>
      <c r="S106" s="19" t="s">
        <v>29</v>
      </c>
      <c r="T106" s="19" t="s">
        <v>30</v>
      </c>
      <c r="U106" s="20" t="s">
        <v>108</v>
      </c>
      <c r="V106" s="37"/>
      <c r="W106" s="7"/>
      <c r="X106" s="7"/>
      <c r="Y106" s="7"/>
      <c r="Z106" s="7"/>
      <c r="AA106" s="7"/>
    </row>
    <row r="107" ht="18.75" customHeight="1">
      <c r="A107" s="22" t="s">
        <v>130</v>
      </c>
      <c r="B107" s="54" t="s">
        <v>131</v>
      </c>
      <c r="C107" s="23" t="s">
        <v>24</v>
      </c>
      <c r="D107" s="24">
        <v>1450.0</v>
      </c>
      <c r="E107" s="22" t="s">
        <v>242</v>
      </c>
      <c r="F107" s="25" t="s">
        <v>26</v>
      </c>
      <c r="G107" s="26" t="s">
        <v>27</v>
      </c>
      <c r="H107" s="27">
        <v>154.99</v>
      </c>
      <c r="I107" s="28">
        <v>5.0</v>
      </c>
      <c r="J107" s="29" t="s">
        <v>28</v>
      </c>
      <c r="K107" s="30">
        <v>0.4</v>
      </c>
      <c r="L107" s="31">
        <f t="shared" si="1"/>
        <v>2</v>
      </c>
      <c r="M107" s="31">
        <f t="shared" si="2"/>
        <v>3</v>
      </c>
      <c r="N107" s="32">
        <f t="shared" si="3"/>
        <v>61.996</v>
      </c>
      <c r="O107" s="32">
        <f t="shared" si="4"/>
        <v>92.994</v>
      </c>
      <c r="P107" s="32">
        <f t="shared" si="5"/>
        <v>92.994</v>
      </c>
      <c r="Q107" s="22">
        <v>0.0</v>
      </c>
      <c r="R107" s="32">
        <f t="shared" si="6"/>
        <v>30.998</v>
      </c>
      <c r="S107" s="33" t="s">
        <v>29</v>
      </c>
      <c r="T107" s="33" t="s">
        <v>30</v>
      </c>
      <c r="U107" s="34" t="s">
        <v>243</v>
      </c>
      <c r="V107" s="35"/>
      <c r="W107" s="7"/>
      <c r="X107" s="7"/>
      <c r="Y107" s="7"/>
      <c r="Z107" s="7"/>
      <c r="AA107" s="7"/>
    </row>
    <row r="108" ht="18.75" customHeight="1">
      <c r="A108" s="8" t="s">
        <v>130</v>
      </c>
      <c r="B108" s="53" t="s">
        <v>131</v>
      </c>
      <c r="C108" s="9" t="s">
        <v>24</v>
      </c>
      <c r="D108" s="10">
        <v>1451.0</v>
      </c>
      <c r="E108" s="8" t="s">
        <v>244</v>
      </c>
      <c r="F108" s="11" t="s">
        <v>26</v>
      </c>
      <c r="G108" s="12" t="s">
        <v>27</v>
      </c>
      <c r="H108" s="13">
        <v>159.9</v>
      </c>
      <c r="I108" s="14">
        <v>5.0</v>
      </c>
      <c r="J108" s="15" t="s">
        <v>38</v>
      </c>
      <c r="K108" s="16">
        <v>0.5</v>
      </c>
      <c r="L108" s="17">
        <f t="shared" si="1"/>
        <v>2.5</v>
      </c>
      <c r="M108" s="17">
        <f t="shared" si="2"/>
        <v>2.5</v>
      </c>
      <c r="N108" s="18">
        <f t="shared" si="3"/>
        <v>79.95</v>
      </c>
      <c r="O108" s="18">
        <f t="shared" si="4"/>
        <v>79.95</v>
      </c>
      <c r="P108" s="18">
        <f t="shared" si="5"/>
        <v>79.95</v>
      </c>
      <c r="Q108" s="8">
        <v>0.0</v>
      </c>
      <c r="R108" s="18">
        <f t="shared" si="6"/>
        <v>31.98</v>
      </c>
      <c r="S108" s="19" t="s">
        <v>29</v>
      </c>
      <c r="T108" s="19" t="s">
        <v>30</v>
      </c>
      <c r="U108" s="20" t="s">
        <v>245</v>
      </c>
      <c r="V108" s="37"/>
      <c r="W108" s="7"/>
      <c r="X108" s="7"/>
      <c r="Y108" s="7"/>
      <c r="Z108" s="7"/>
      <c r="AA108" s="7"/>
    </row>
    <row r="109" ht="18.75" customHeight="1">
      <c r="A109" s="22" t="s">
        <v>130</v>
      </c>
      <c r="B109" s="54" t="s">
        <v>131</v>
      </c>
      <c r="C109" s="23" t="s">
        <v>24</v>
      </c>
      <c r="D109" s="24">
        <v>1453.0</v>
      </c>
      <c r="E109" s="22" t="s">
        <v>246</v>
      </c>
      <c r="F109" s="25" t="s">
        <v>26</v>
      </c>
      <c r="G109" s="26" t="s">
        <v>27</v>
      </c>
      <c r="H109" s="27">
        <v>236.72</v>
      </c>
      <c r="I109" s="28">
        <v>5.0</v>
      </c>
      <c r="J109" s="29" t="s">
        <v>28</v>
      </c>
      <c r="K109" s="30">
        <v>0.4</v>
      </c>
      <c r="L109" s="31">
        <f t="shared" si="1"/>
        <v>2</v>
      </c>
      <c r="M109" s="31">
        <f t="shared" si="2"/>
        <v>3</v>
      </c>
      <c r="N109" s="32">
        <f t="shared" si="3"/>
        <v>94.688</v>
      </c>
      <c r="O109" s="32">
        <f t="shared" si="4"/>
        <v>142.032</v>
      </c>
      <c r="P109" s="32">
        <f t="shared" si="5"/>
        <v>142.032</v>
      </c>
      <c r="Q109" s="22">
        <v>0.0</v>
      </c>
      <c r="R109" s="32">
        <f t="shared" si="6"/>
        <v>47.344</v>
      </c>
      <c r="S109" s="33" t="s">
        <v>29</v>
      </c>
      <c r="T109" s="33" t="s">
        <v>30</v>
      </c>
      <c r="U109" s="34" t="s">
        <v>247</v>
      </c>
      <c r="V109" s="35"/>
      <c r="W109" s="7"/>
      <c r="X109" s="7"/>
      <c r="Y109" s="7"/>
      <c r="Z109" s="7"/>
      <c r="AA109" s="7"/>
    </row>
    <row r="110" ht="18.75" customHeight="1">
      <c r="A110" s="8" t="s">
        <v>130</v>
      </c>
      <c r="B110" s="53" t="s">
        <v>131</v>
      </c>
      <c r="C110" s="9" t="s">
        <v>24</v>
      </c>
      <c r="D110" s="10">
        <v>1455.0</v>
      </c>
      <c r="E110" s="8" t="s">
        <v>248</v>
      </c>
      <c r="F110" s="11" t="s">
        <v>26</v>
      </c>
      <c r="G110" s="12" t="s">
        <v>27</v>
      </c>
      <c r="H110" s="13">
        <v>1946.55</v>
      </c>
      <c r="I110" s="14">
        <v>10.0</v>
      </c>
      <c r="J110" s="15" t="s">
        <v>28</v>
      </c>
      <c r="K110" s="16">
        <v>0.4</v>
      </c>
      <c r="L110" s="17">
        <f t="shared" si="1"/>
        <v>4</v>
      </c>
      <c r="M110" s="17">
        <f t="shared" si="2"/>
        <v>6</v>
      </c>
      <c r="N110" s="18">
        <f t="shared" si="3"/>
        <v>778.62</v>
      </c>
      <c r="O110" s="18">
        <f t="shared" si="4"/>
        <v>1167.93</v>
      </c>
      <c r="P110" s="18">
        <f t="shared" si="5"/>
        <v>1167.93</v>
      </c>
      <c r="Q110" s="8">
        <v>0.0</v>
      </c>
      <c r="R110" s="18">
        <f t="shared" si="6"/>
        <v>194.655</v>
      </c>
      <c r="S110" s="19" t="s">
        <v>29</v>
      </c>
      <c r="T110" s="19" t="s">
        <v>30</v>
      </c>
      <c r="U110" s="20" t="s">
        <v>249</v>
      </c>
      <c r="V110" s="37"/>
      <c r="W110" s="7"/>
      <c r="X110" s="7"/>
      <c r="Y110" s="7"/>
      <c r="Z110" s="7"/>
      <c r="AA110" s="7"/>
    </row>
    <row r="111" ht="18.75" customHeight="1">
      <c r="A111" s="22" t="s">
        <v>130</v>
      </c>
      <c r="B111" s="54" t="s">
        <v>131</v>
      </c>
      <c r="C111" s="23" t="s">
        <v>24</v>
      </c>
      <c r="D111" s="24">
        <v>1456.0</v>
      </c>
      <c r="E111" s="22" t="s">
        <v>250</v>
      </c>
      <c r="F111" s="25" t="s">
        <v>26</v>
      </c>
      <c r="G111" s="26" t="s">
        <v>27</v>
      </c>
      <c r="H111" s="27">
        <v>285.0</v>
      </c>
      <c r="I111" s="28">
        <v>5.0</v>
      </c>
      <c r="J111" s="29" t="s">
        <v>28</v>
      </c>
      <c r="K111" s="30">
        <v>0.4</v>
      </c>
      <c r="L111" s="31">
        <f t="shared" si="1"/>
        <v>2</v>
      </c>
      <c r="M111" s="31">
        <f t="shared" si="2"/>
        <v>3</v>
      </c>
      <c r="N111" s="32">
        <f t="shared" si="3"/>
        <v>114</v>
      </c>
      <c r="O111" s="32">
        <f t="shared" si="4"/>
        <v>171</v>
      </c>
      <c r="P111" s="32">
        <f t="shared" si="5"/>
        <v>171</v>
      </c>
      <c r="Q111" s="22">
        <v>0.0</v>
      </c>
      <c r="R111" s="32">
        <f t="shared" si="6"/>
        <v>57</v>
      </c>
      <c r="S111" s="33" t="s">
        <v>29</v>
      </c>
      <c r="T111" s="33" t="s">
        <v>30</v>
      </c>
      <c r="U111" s="34" t="s">
        <v>251</v>
      </c>
      <c r="V111" s="35"/>
      <c r="W111" s="7"/>
      <c r="X111" s="7"/>
      <c r="Y111" s="7"/>
      <c r="Z111" s="7"/>
      <c r="AA111" s="7"/>
    </row>
    <row r="112" ht="18.75" customHeight="1">
      <c r="A112" s="8" t="s">
        <v>130</v>
      </c>
      <c r="B112" s="53" t="s">
        <v>131</v>
      </c>
      <c r="C112" s="9" t="s">
        <v>24</v>
      </c>
      <c r="D112" s="10">
        <v>1457.0</v>
      </c>
      <c r="E112" s="8" t="s">
        <v>252</v>
      </c>
      <c r="F112" s="11" t="s">
        <v>26</v>
      </c>
      <c r="G112" s="12" t="s">
        <v>27</v>
      </c>
      <c r="H112" s="13">
        <v>3104.1</v>
      </c>
      <c r="I112" s="14">
        <v>10.0</v>
      </c>
      <c r="J112" s="15" t="s">
        <v>28</v>
      </c>
      <c r="K112" s="16">
        <v>0.4</v>
      </c>
      <c r="L112" s="17">
        <f t="shared" si="1"/>
        <v>4</v>
      </c>
      <c r="M112" s="17">
        <f t="shared" si="2"/>
        <v>6</v>
      </c>
      <c r="N112" s="18">
        <f t="shared" si="3"/>
        <v>1241.64</v>
      </c>
      <c r="O112" s="18">
        <f t="shared" si="4"/>
        <v>1862.46</v>
      </c>
      <c r="P112" s="18">
        <f t="shared" si="5"/>
        <v>1862.46</v>
      </c>
      <c r="Q112" s="8">
        <v>0.0</v>
      </c>
      <c r="R112" s="18">
        <f t="shared" si="6"/>
        <v>310.41</v>
      </c>
      <c r="S112" s="19" t="s">
        <v>29</v>
      </c>
      <c r="T112" s="19" t="s">
        <v>30</v>
      </c>
      <c r="U112" s="20" t="s">
        <v>31</v>
      </c>
      <c r="V112" s="37"/>
      <c r="W112" s="7"/>
      <c r="X112" s="7"/>
      <c r="Y112" s="7"/>
      <c r="Z112" s="7"/>
      <c r="AA112" s="7"/>
    </row>
    <row r="113" ht="18.75" customHeight="1">
      <c r="A113" s="22" t="s">
        <v>130</v>
      </c>
      <c r="B113" s="54" t="s">
        <v>131</v>
      </c>
      <c r="C113" s="23" t="s">
        <v>253</v>
      </c>
      <c r="D113" s="24">
        <v>1458.0</v>
      </c>
      <c r="E113" s="22" t="s">
        <v>254</v>
      </c>
      <c r="F113" s="25" t="s">
        <v>26</v>
      </c>
      <c r="G113" s="26" t="s">
        <v>27</v>
      </c>
      <c r="H113" s="27">
        <v>1749.0</v>
      </c>
      <c r="I113" s="28">
        <v>10.0</v>
      </c>
      <c r="J113" s="29" t="s">
        <v>54</v>
      </c>
      <c r="K113" s="30">
        <v>0.3</v>
      </c>
      <c r="L113" s="31">
        <f t="shared" si="1"/>
        <v>3</v>
      </c>
      <c r="M113" s="31">
        <f t="shared" si="2"/>
        <v>7</v>
      </c>
      <c r="N113" s="32">
        <f t="shared" si="3"/>
        <v>524.7</v>
      </c>
      <c r="O113" s="32">
        <f t="shared" si="4"/>
        <v>1224.3</v>
      </c>
      <c r="P113" s="32">
        <f t="shared" si="5"/>
        <v>1224.3</v>
      </c>
      <c r="Q113" s="22">
        <v>0.0</v>
      </c>
      <c r="R113" s="32">
        <f t="shared" si="6"/>
        <v>174.9</v>
      </c>
      <c r="S113" s="33" t="s">
        <v>29</v>
      </c>
      <c r="T113" s="33" t="s">
        <v>30</v>
      </c>
      <c r="U113" s="34" t="s">
        <v>255</v>
      </c>
      <c r="V113" s="35"/>
      <c r="W113" s="7"/>
      <c r="X113" s="7"/>
      <c r="Y113" s="7"/>
      <c r="Z113" s="7"/>
      <c r="AA113" s="7"/>
    </row>
    <row r="114" ht="18.75" customHeight="1">
      <c r="A114" s="8" t="s">
        <v>130</v>
      </c>
      <c r="B114" s="53" t="s">
        <v>131</v>
      </c>
      <c r="C114" s="9" t="s">
        <v>24</v>
      </c>
      <c r="D114" s="10">
        <v>1459.0</v>
      </c>
      <c r="E114" s="8" t="s">
        <v>226</v>
      </c>
      <c r="F114" s="11" t="s">
        <v>37</v>
      </c>
      <c r="G114" s="12" t="s">
        <v>27</v>
      </c>
      <c r="H114" s="13">
        <v>945.0</v>
      </c>
      <c r="I114" s="14">
        <v>15.0</v>
      </c>
      <c r="J114" s="15" t="s">
        <v>54</v>
      </c>
      <c r="K114" s="16">
        <v>0.3</v>
      </c>
      <c r="L114" s="17">
        <f t="shared" si="1"/>
        <v>4.5</v>
      </c>
      <c r="M114" s="17">
        <f t="shared" si="2"/>
        <v>10.5</v>
      </c>
      <c r="N114" s="18">
        <f t="shared" si="3"/>
        <v>283.5</v>
      </c>
      <c r="O114" s="18">
        <f t="shared" si="4"/>
        <v>661.5</v>
      </c>
      <c r="P114" s="18">
        <f t="shared" si="5"/>
        <v>661.5</v>
      </c>
      <c r="Q114" s="8">
        <v>0.0</v>
      </c>
      <c r="R114" s="18">
        <f t="shared" si="6"/>
        <v>63</v>
      </c>
      <c r="S114" s="19" t="s">
        <v>29</v>
      </c>
      <c r="T114" s="19" t="s">
        <v>30</v>
      </c>
      <c r="U114" s="20" t="s">
        <v>205</v>
      </c>
      <c r="V114" s="37"/>
      <c r="W114" s="7"/>
      <c r="X114" s="7"/>
      <c r="Y114" s="7"/>
      <c r="Z114" s="7"/>
      <c r="AA114" s="7"/>
    </row>
    <row r="115" ht="18.75" customHeight="1">
      <c r="A115" s="22" t="s">
        <v>130</v>
      </c>
      <c r="B115" s="54" t="s">
        <v>131</v>
      </c>
      <c r="C115" s="23" t="s">
        <v>24</v>
      </c>
      <c r="D115" s="24">
        <v>1460.0</v>
      </c>
      <c r="E115" s="22" t="s">
        <v>256</v>
      </c>
      <c r="F115" s="25" t="s">
        <v>37</v>
      </c>
      <c r="G115" s="26" t="s">
        <v>27</v>
      </c>
      <c r="H115" s="27">
        <v>500.0</v>
      </c>
      <c r="I115" s="28">
        <v>10.0</v>
      </c>
      <c r="J115" s="45" t="s">
        <v>63</v>
      </c>
      <c r="K115" s="30">
        <v>0.7</v>
      </c>
      <c r="L115" s="31">
        <f t="shared" si="1"/>
        <v>7</v>
      </c>
      <c r="M115" s="31">
        <f t="shared" si="2"/>
        <v>3</v>
      </c>
      <c r="N115" s="32">
        <f t="shared" si="3"/>
        <v>350</v>
      </c>
      <c r="O115" s="32">
        <f t="shared" si="4"/>
        <v>150</v>
      </c>
      <c r="P115" s="32">
        <f t="shared" si="5"/>
        <v>150</v>
      </c>
      <c r="Q115" s="22">
        <v>0.0</v>
      </c>
      <c r="R115" s="32">
        <f t="shared" si="6"/>
        <v>50</v>
      </c>
      <c r="S115" s="33" t="s">
        <v>29</v>
      </c>
      <c r="T115" s="33" t="s">
        <v>30</v>
      </c>
      <c r="U115" s="34" t="s">
        <v>257</v>
      </c>
      <c r="V115" s="35"/>
      <c r="W115" s="7"/>
      <c r="X115" s="7"/>
      <c r="Y115" s="7"/>
      <c r="Z115" s="7"/>
      <c r="AA115" s="7"/>
    </row>
    <row r="116" ht="18.75" customHeight="1">
      <c r="A116" s="8" t="s">
        <v>130</v>
      </c>
      <c r="B116" s="53" t="s">
        <v>131</v>
      </c>
      <c r="C116" s="9" t="s">
        <v>24</v>
      </c>
      <c r="D116" s="10">
        <v>1463.0</v>
      </c>
      <c r="E116" s="8" t="s">
        <v>258</v>
      </c>
      <c r="F116" s="11" t="s">
        <v>26</v>
      </c>
      <c r="G116" s="12" t="s">
        <v>27</v>
      </c>
      <c r="H116" s="13">
        <v>359.9</v>
      </c>
      <c r="I116" s="14">
        <v>5.0</v>
      </c>
      <c r="J116" s="15" t="s">
        <v>38</v>
      </c>
      <c r="K116" s="16">
        <v>0.5</v>
      </c>
      <c r="L116" s="17">
        <f t="shared" si="1"/>
        <v>2.5</v>
      </c>
      <c r="M116" s="17">
        <f t="shared" si="2"/>
        <v>2.5</v>
      </c>
      <c r="N116" s="18">
        <f t="shared" si="3"/>
        <v>179.95</v>
      </c>
      <c r="O116" s="18">
        <f t="shared" si="4"/>
        <v>179.95</v>
      </c>
      <c r="P116" s="18">
        <f t="shared" si="5"/>
        <v>179.95</v>
      </c>
      <c r="Q116" s="8">
        <v>0.0</v>
      </c>
      <c r="R116" s="18">
        <f t="shared" si="6"/>
        <v>71.98</v>
      </c>
      <c r="S116" s="19" t="s">
        <v>29</v>
      </c>
      <c r="T116" s="19" t="s">
        <v>30</v>
      </c>
      <c r="U116" s="20" t="s">
        <v>104</v>
      </c>
      <c r="V116" s="37"/>
      <c r="W116" s="7"/>
      <c r="X116" s="7"/>
      <c r="Y116" s="7"/>
      <c r="Z116" s="7"/>
      <c r="AA116" s="7"/>
    </row>
    <row r="117" ht="18.75" customHeight="1">
      <c r="A117" s="22" t="s">
        <v>130</v>
      </c>
      <c r="B117" s="54" t="s">
        <v>131</v>
      </c>
      <c r="C117" s="23" t="s">
        <v>24</v>
      </c>
      <c r="D117" s="24">
        <v>1465.0</v>
      </c>
      <c r="E117" s="22" t="s">
        <v>259</v>
      </c>
      <c r="F117" s="25" t="s">
        <v>26</v>
      </c>
      <c r="G117" s="26" t="s">
        <v>27</v>
      </c>
      <c r="H117" s="27">
        <v>2563.29</v>
      </c>
      <c r="I117" s="28">
        <v>5.0</v>
      </c>
      <c r="J117" s="29" t="s">
        <v>54</v>
      </c>
      <c r="K117" s="30">
        <v>0.3</v>
      </c>
      <c r="L117" s="31">
        <f t="shared" si="1"/>
        <v>1.5</v>
      </c>
      <c r="M117" s="31">
        <f t="shared" si="2"/>
        <v>3.5</v>
      </c>
      <c r="N117" s="32">
        <f t="shared" si="3"/>
        <v>768.987</v>
      </c>
      <c r="O117" s="32">
        <f t="shared" si="4"/>
        <v>1794.303</v>
      </c>
      <c r="P117" s="32">
        <f t="shared" si="5"/>
        <v>1794.303</v>
      </c>
      <c r="Q117" s="22">
        <v>0.0</v>
      </c>
      <c r="R117" s="32">
        <f t="shared" si="6"/>
        <v>512.658</v>
      </c>
      <c r="S117" s="33" t="s">
        <v>29</v>
      </c>
      <c r="T117" s="33" t="s">
        <v>30</v>
      </c>
      <c r="U117" s="34" t="s">
        <v>260</v>
      </c>
      <c r="V117" s="35"/>
      <c r="W117" s="7"/>
      <c r="X117" s="7"/>
      <c r="Y117" s="7"/>
      <c r="Z117" s="7"/>
      <c r="AA117" s="7"/>
    </row>
    <row r="118" ht="18.75" customHeight="1">
      <c r="A118" s="8" t="s">
        <v>130</v>
      </c>
      <c r="B118" s="53" t="s">
        <v>131</v>
      </c>
      <c r="C118" s="9" t="s">
        <v>24</v>
      </c>
      <c r="D118" s="10">
        <v>1468.0</v>
      </c>
      <c r="E118" s="8" t="s">
        <v>261</v>
      </c>
      <c r="F118" s="11" t="s">
        <v>37</v>
      </c>
      <c r="G118" s="12" t="s">
        <v>27</v>
      </c>
      <c r="H118" s="13">
        <v>359.9</v>
      </c>
      <c r="I118" s="14">
        <v>5.0</v>
      </c>
      <c r="J118" s="15" t="s">
        <v>38</v>
      </c>
      <c r="K118" s="16">
        <v>0.5</v>
      </c>
      <c r="L118" s="17">
        <f t="shared" si="1"/>
        <v>2.5</v>
      </c>
      <c r="M118" s="17">
        <f t="shared" si="2"/>
        <v>2.5</v>
      </c>
      <c r="N118" s="18">
        <f t="shared" si="3"/>
        <v>179.95</v>
      </c>
      <c r="O118" s="18">
        <f t="shared" si="4"/>
        <v>179.95</v>
      </c>
      <c r="P118" s="18">
        <f t="shared" si="5"/>
        <v>179.95</v>
      </c>
      <c r="Q118" s="8">
        <v>0.0</v>
      </c>
      <c r="R118" s="18">
        <f t="shared" si="6"/>
        <v>71.98</v>
      </c>
      <c r="S118" s="19" t="s">
        <v>29</v>
      </c>
      <c r="T118" s="19" t="s">
        <v>30</v>
      </c>
      <c r="U118" s="20" t="s">
        <v>262</v>
      </c>
      <c r="V118" s="37"/>
      <c r="W118" s="7"/>
      <c r="X118" s="7"/>
      <c r="Y118" s="7"/>
      <c r="Z118" s="7"/>
      <c r="AA118" s="7"/>
    </row>
    <row r="119" ht="18.75" customHeight="1">
      <c r="A119" s="22" t="s">
        <v>130</v>
      </c>
      <c r="B119" s="54" t="s">
        <v>131</v>
      </c>
      <c r="C119" s="23" t="s">
        <v>24</v>
      </c>
      <c r="D119" s="24">
        <v>1469.0</v>
      </c>
      <c r="E119" s="22" t="s">
        <v>263</v>
      </c>
      <c r="F119" s="25" t="s">
        <v>26</v>
      </c>
      <c r="G119" s="26" t="s">
        <v>27</v>
      </c>
      <c r="H119" s="27">
        <v>1478.0</v>
      </c>
      <c r="I119" s="28">
        <v>5.0</v>
      </c>
      <c r="J119" s="29" t="s">
        <v>54</v>
      </c>
      <c r="K119" s="30">
        <v>0.3</v>
      </c>
      <c r="L119" s="31">
        <f t="shared" si="1"/>
        <v>1.5</v>
      </c>
      <c r="M119" s="31">
        <f t="shared" si="2"/>
        <v>3.5</v>
      </c>
      <c r="N119" s="32">
        <f t="shared" si="3"/>
        <v>443.4</v>
      </c>
      <c r="O119" s="32">
        <f t="shared" si="4"/>
        <v>1034.6</v>
      </c>
      <c r="P119" s="32">
        <f t="shared" si="5"/>
        <v>1034.6</v>
      </c>
      <c r="Q119" s="22">
        <v>0.0</v>
      </c>
      <c r="R119" s="32">
        <f t="shared" si="6"/>
        <v>295.6</v>
      </c>
      <c r="S119" s="33" t="s">
        <v>29</v>
      </c>
      <c r="T119" s="33" t="s">
        <v>30</v>
      </c>
      <c r="U119" s="34" t="s">
        <v>264</v>
      </c>
      <c r="V119" s="35"/>
      <c r="W119" s="7"/>
      <c r="X119" s="7"/>
      <c r="Y119" s="7"/>
      <c r="Z119" s="7"/>
      <c r="AA119" s="7"/>
    </row>
    <row r="120" ht="18.75" customHeight="1">
      <c r="A120" s="8" t="s">
        <v>130</v>
      </c>
      <c r="B120" s="53" t="s">
        <v>131</v>
      </c>
      <c r="C120" s="9" t="s">
        <v>24</v>
      </c>
      <c r="D120" s="10">
        <v>1471.0</v>
      </c>
      <c r="E120" s="8" t="s">
        <v>265</v>
      </c>
      <c r="F120" s="11" t="s">
        <v>26</v>
      </c>
      <c r="G120" s="12" t="s">
        <v>27</v>
      </c>
      <c r="H120" s="13">
        <v>199.0</v>
      </c>
      <c r="I120" s="14">
        <v>10.0</v>
      </c>
      <c r="J120" s="48" t="s">
        <v>63</v>
      </c>
      <c r="K120" s="16">
        <v>0.7</v>
      </c>
      <c r="L120" s="17">
        <f t="shared" si="1"/>
        <v>7</v>
      </c>
      <c r="M120" s="17">
        <f t="shared" si="2"/>
        <v>3</v>
      </c>
      <c r="N120" s="18">
        <f t="shared" si="3"/>
        <v>139.3</v>
      </c>
      <c r="O120" s="18">
        <f t="shared" si="4"/>
        <v>59.7</v>
      </c>
      <c r="P120" s="18">
        <f t="shared" si="5"/>
        <v>59.7</v>
      </c>
      <c r="Q120" s="8">
        <v>0.0</v>
      </c>
      <c r="R120" s="18">
        <f t="shared" si="6"/>
        <v>19.9</v>
      </c>
      <c r="S120" s="19" t="s">
        <v>29</v>
      </c>
      <c r="T120" s="19" t="s">
        <v>30</v>
      </c>
      <c r="U120" s="20" t="s">
        <v>266</v>
      </c>
      <c r="V120" s="37"/>
      <c r="W120" s="7"/>
      <c r="X120" s="7"/>
      <c r="Y120" s="7"/>
      <c r="Z120" s="7"/>
      <c r="AA120" s="7"/>
    </row>
    <row r="121" ht="18.75" customHeight="1">
      <c r="A121" s="22" t="s">
        <v>130</v>
      </c>
      <c r="B121" s="54" t="s">
        <v>131</v>
      </c>
      <c r="C121" s="23" t="s">
        <v>24</v>
      </c>
      <c r="D121" s="24">
        <v>1472.0</v>
      </c>
      <c r="E121" s="22" t="s">
        <v>267</v>
      </c>
      <c r="F121" s="25" t="s">
        <v>26</v>
      </c>
      <c r="G121" s="26" t="s">
        <v>27</v>
      </c>
      <c r="H121" s="27">
        <v>131.58</v>
      </c>
      <c r="I121" s="28">
        <v>5.0</v>
      </c>
      <c r="J121" s="29" t="s">
        <v>38</v>
      </c>
      <c r="K121" s="30">
        <v>0.5</v>
      </c>
      <c r="L121" s="31">
        <f t="shared" si="1"/>
        <v>2.5</v>
      </c>
      <c r="M121" s="31">
        <f t="shared" si="2"/>
        <v>2.5</v>
      </c>
      <c r="N121" s="32">
        <f t="shared" si="3"/>
        <v>65.79</v>
      </c>
      <c r="O121" s="32">
        <f t="shared" si="4"/>
        <v>65.79</v>
      </c>
      <c r="P121" s="32">
        <f t="shared" si="5"/>
        <v>65.79</v>
      </c>
      <c r="Q121" s="22">
        <v>0.0</v>
      </c>
      <c r="R121" s="32">
        <f t="shared" si="6"/>
        <v>26.316</v>
      </c>
      <c r="S121" s="33" t="s">
        <v>29</v>
      </c>
      <c r="T121" s="33" t="s">
        <v>30</v>
      </c>
      <c r="U121" s="34" t="s">
        <v>268</v>
      </c>
      <c r="V121" s="35"/>
      <c r="W121" s="49"/>
      <c r="X121" s="49"/>
      <c r="Y121" s="49"/>
      <c r="Z121" s="49"/>
      <c r="AA121" s="49"/>
    </row>
    <row r="122" ht="18.75" customHeight="1">
      <c r="A122" s="8" t="s">
        <v>130</v>
      </c>
      <c r="B122" s="53" t="s">
        <v>131</v>
      </c>
      <c r="C122" s="9" t="s">
        <v>189</v>
      </c>
      <c r="D122" s="10">
        <v>1474.0</v>
      </c>
      <c r="E122" s="8" t="s">
        <v>238</v>
      </c>
      <c r="F122" s="11" t="s">
        <v>26</v>
      </c>
      <c r="G122" s="12" t="s">
        <v>27</v>
      </c>
      <c r="H122" s="55">
        <v>840.42</v>
      </c>
      <c r="I122" s="14">
        <v>10.0</v>
      </c>
      <c r="J122" s="15" t="s">
        <v>28</v>
      </c>
      <c r="K122" s="16">
        <v>0.4</v>
      </c>
      <c r="L122" s="17">
        <f t="shared" si="1"/>
        <v>4</v>
      </c>
      <c r="M122" s="17">
        <f t="shared" si="2"/>
        <v>6</v>
      </c>
      <c r="N122" s="18">
        <f t="shared" si="3"/>
        <v>336.168</v>
      </c>
      <c r="O122" s="18">
        <f t="shared" si="4"/>
        <v>504.252</v>
      </c>
      <c r="P122" s="18">
        <f t="shared" si="5"/>
        <v>504.252</v>
      </c>
      <c r="Q122" s="8">
        <v>0.0</v>
      </c>
      <c r="R122" s="18">
        <f t="shared" si="6"/>
        <v>84.042</v>
      </c>
      <c r="S122" s="19" t="s">
        <v>29</v>
      </c>
      <c r="T122" s="19" t="s">
        <v>30</v>
      </c>
      <c r="U122" s="20" t="s">
        <v>102</v>
      </c>
      <c r="V122" s="37"/>
      <c r="W122" s="7"/>
      <c r="X122" s="7"/>
      <c r="Y122" s="7"/>
      <c r="Z122" s="7"/>
      <c r="AA122" s="7"/>
    </row>
    <row r="123" ht="18.75" customHeight="1">
      <c r="A123" s="22" t="s">
        <v>130</v>
      </c>
      <c r="B123" s="54" t="s">
        <v>131</v>
      </c>
      <c r="C123" s="23" t="s">
        <v>236</v>
      </c>
      <c r="D123" s="24">
        <v>1475.0</v>
      </c>
      <c r="E123" s="22" t="s">
        <v>239</v>
      </c>
      <c r="F123" s="25" t="s">
        <v>26</v>
      </c>
      <c r="G123" s="26" t="s">
        <v>27</v>
      </c>
      <c r="H123" s="56">
        <v>1260.63</v>
      </c>
      <c r="I123" s="28">
        <v>10.0</v>
      </c>
      <c r="J123" s="29" t="s">
        <v>28</v>
      </c>
      <c r="K123" s="30">
        <v>0.4</v>
      </c>
      <c r="L123" s="31">
        <f t="shared" si="1"/>
        <v>4</v>
      </c>
      <c r="M123" s="31">
        <f t="shared" si="2"/>
        <v>6</v>
      </c>
      <c r="N123" s="32">
        <f t="shared" si="3"/>
        <v>504.252</v>
      </c>
      <c r="O123" s="32">
        <f t="shared" si="4"/>
        <v>756.378</v>
      </c>
      <c r="P123" s="32">
        <f t="shared" si="5"/>
        <v>756.378</v>
      </c>
      <c r="Q123" s="22">
        <v>0.0</v>
      </c>
      <c r="R123" s="32">
        <f t="shared" si="6"/>
        <v>126.063</v>
      </c>
      <c r="S123" s="33" t="s">
        <v>29</v>
      </c>
      <c r="T123" s="33" t="s">
        <v>30</v>
      </c>
      <c r="U123" s="34" t="s">
        <v>102</v>
      </c>
      <c r="V123" s="35"/>
      <c r="W123" s="7"/>
      <c r="X123" s="7"/>
      <c r="Y123" s="7"/>
      <c r="Z123" s="7"/>
      <c r="AA123" s="7"/>
    </row>
    <row r="124" ht="18.75" customHeight="1">
      <c r="A124" s="8" t="s">
        <v>130</v>
      </c>
      <c r="B124" s="53" t="s">
        <v>131</v>
      </c>
      <c r="C124" s="9" t="s">
        <v>189</v>
      </c>
      <c r="D124" s="10">
        <v>1477.0</v>
      </c>
      <c r="E124" s="8" t="s">
        <v>228</v>
      </c>
      <c r="F124" s="11" t="s">
        <v>37</v>
      </c>
      <c r="G124" s="12" t="s">
        <v>27</v>
      </c>
      <c r="H124" s="13">
        <v>1300.12</v>
      </c>
      <c r="I124" s="14">
        <v>15.0</v>
      </c>
      <c r="J124" s="15" t="s">
        <v>54</v>
      </c>
      <c r="K124" s="16">
        <v>0.3</v>
      </c>
      <c r="L124" s="17">
        <f t="shared" si="1"/>
        <v>4.5</v>
      </c>
      <c r="M124" s="17">
        <f t="shared" si="2"/>
        <v>10.5</v>
      </c>
      <c r="N124" s="18">
        <f t="shared" si="3"/>
        <v>390.036</v>
      </c>
      <c r="O124" s="18">
        <f t="shared" si="4"/>
        <v>910.084</v>
      </c>
      <c r="P124" s="18">
        <f t="shared" si="5"/>
        <v>910.084</v>
      </c>
      <c r="Q124" s="8">
        <v>0.0</v>
      </c>
      <c r="R124" s="18">
        <f t="shared" si="6"/>
        <v>86.67466667</v>
      </c>
      <c r="S124" s="19" t="s">
        <v>29</v>
      </c>
      <c r="T124" s="19" t="s">
        <v>30</v>
      </c>
      <c r="U124" s="20" t="s">
        <v>229</v>
      </c>
      <c r="V124" s="37"/>
      <c r="W124" s="7"/>
      <c r="X124" s="7"/>
      <c r="Y124" s="7"/>
      <c r="Z124" s="7"/>
      <c r="AA124" s="7"/>
    </row>
    <row r="125" ht="18.75" customHeight="1">
      <c r="A125" s="22" t="s">
        <v>130</v>
      </c>
      <c r="B125" s="54" t="s">
        <v>131</v>
      </c>
      <c r="C125" s="23" t="s">
        <v>24</v>
      </c>
      <c r="D125" s="24">
        <v>1478.0</v>
      </c>
      <c r="E125" s="22" t="s">
        <v>201</v>
      </c>
      <c r="F125" s="25" t="s">
        <v>202</v>
      </c>
      <c r="G125" s="26" t="s">
        <v>27</v>
      </c>
      <c r="H125" s="27">
        <v>764.99</v>
      </c>
      <c r="I125" s="28">
        <v>5.0</v>
      </c>
      <c r="J125" s="29" t="s">
        <v>38</v>
      </c>
      <c r="K125" s="30">
        <v>0.5</v>
      </c>
      <c r="L125" s="31">
        <f t="shared" si="1"/>
        <v>2.5</v>
      </c>
      <c r="M125" s="31">
        <f t="shared" si="2"/>
        <v>2.5</v>
      </c>
      <c r="N125" s="32">
        <f t="shared" si="3"/>
        <v>382.495</v>
      </c>
      <c r="O125" s="32">
        <f t="shared" si="4"/>
        <v>382.495</v>
      </c>
      <c r="P125" s="32">
        <f t="shared" si="5"/>
        <v>382.495</v>
      </c>
      <c r="Q125" s="22">
        <v>0.0</v>
      </c>
      <c r="R125" s="32">
        <f t="shared" si="6"/>
        <v>152.998</v>
      </c>
      <c r="S125" s="33" t="s">
        <v>29</v>
      </c>
      <c r="T125" s="33" t="s">
        <v>30</v>
      </c>
      <c r="U125" s="34" t="s">
        <v>203</v>
      </c>
      <c r="V125" s="35"/>
      <c r="W125" s="7"/>
      <c r="X125" s="7"/>
      <c r="Y125" s="7"/>
      <c r="Z125" s="7"/>
      <c r="AA125" s="7"/>
    </row>
    <row r="126" ht="18.75" customHeight="1">
      <c r="A126" s="8" t="s">
        <v>130</v>
      </c>
      <c r="B126" s="53" t="s">
        <v>131</v>
      </c>
      <c r="C126" s="9" t="s">
        <v>236</v>
      </c>
      <c r="D126" s="10">
        <v>1479.0</v>
      </c>
      <c r="E126" s="8" t="s">
        <v>215</v>
      </c>
      <c r="F126" s="11" t="s">
        <v>202</v>
      </c>
      <c r="G126" s="12" t="s">
        <v>27</v>
      </c>
      <c r="H126" s="13">
        <v>205.0</v>
      </c>
      <c r="I126" s="14">
        <v>5.0</v>
      </c>
      <c r="J126" s="15" t="s">
        <v>54</v>
      </c>
      <c r="K126" s="16">
        <v>0.3</v>
      </c>
      <c r="L126" s="17">
        <f t="shared" si="1"/>
        <v>1.5</v>
      </c>
      <c r="M126" s="17">
        <f t="shared" si="2"/>
        <v>3.5</v>
      </c>
      <c r="N126" s="18">
        <f t="shared" si="3"/>
        <v>61.5</v>
      </c>
      <c r="O126" s="18">
        <f t="shared" si="4"/>
        <v>143.5</v>
      </c>
      <c r="P126" s="18">
        <f t="shared" si="5"/>
        <v>143.5</v>
      </c>
      <c r="Q126" s="8">
        <v>0.0</v>
      </c>
      <c r="R126" s="18">
        <f t="shared" si="6"/>
        <v>41</v>
      </c>
      <c r="S126" s="19" t="s">
        <v>29</v>
      </c>
      <c r="T126" s="19" t="s">
        <v>30</v>
      </c>
      <c r="U126" s="20" t="s">
        <v>216</v>
      </c>
      <c r="V126" s="37"/>
      <c r="W126" s="7"/>
      <c r="X126" s="7"/>
      <c r="Y126" s="7"/>
      <c r="Z126" s="7"/>
      <c r="AA126" s="7"/>
    </row>
    <row r="127" ht="18.75" customHeight="1">
      <c r="A127" s="22" t="s">
        <v>130</v>
      </c>
      <c r="B127" s="54" t="s">
        <v>131</v>
      </c>
      <c r="C127" s="23" t="s">
        <v>189</v>
      </c>
      <c r="D127" s="24">
        <v>1480.0</v>
      </c>
      <c r="E127" s="22" t="s">
        <v>269</v>
      </c>
      <c r="F127" s="25" t="s">
        <v>37</v>
      </c>
      <c r="G127" s="26" t="s">
        <v>27</v>
      </c>
      <c r="H127" s="27">
        <v>546.9</v>
      </c>
      <c r="I127" s="28">
        <v>10.0</v>
      </c>
      <c r="J127" s="29" t="s">
        <v>38</v>
      </c>
      <c r="K127" s="30">
        <v>0.5</v>
      </c>
      <c r="L127" s="31">
        <f t="shared" si="1"/>
        <v>5</v>
      </c>
      <c r="M127" s="31">
        <f t="shared" si="2"/>
        <v>5</v>
      </c>
      <c r="N127" s="32">
        <f t="shared" si="3"/>
        <v>273.45</v>
      </c>
      <c r="O127" s="32">
        <f t="shared" si="4"/>
        <v>273.45</v>
      </c>
      <c r="P127" s="32">
        <f t="shared" si="5"/>
        <v>273.45</v>
      </c>
      <c r="Q127" s="22">
        <v>0.0</v>
      </c>
      <c r="R127" s="32">
        <f t="shared" si="6"/>
        <v>54.69</v>
      </c>
      <c r="S127" s="33" t="s">
        <v>29</v>
      </c>
      <c r="T127" s="33" t="s">
        <v>30</v>
      </c>
      <c r="U127" s="34" t="s">
        <v>270</v>
      </c>
      <c r="V127" s="35"/>
      <c r="W127" s="7"/>
      <c r="X127" s="7"/>
      <c r="Y127" s="7"/>
      <c r="Z127" s="7"/>
      <c r="AA127" s="7"/>
    </row>
    <row r="128" ht="18.75" customHeight="1">
      <c r="A128" s="8" t="s">
        <v>130</v>
      </c>
      <c r="B128" s="53" t="s">
        <v>131</v>
      </c>
      <c r="C128" s="9" t="s">
        <v>236</v>
      </c>
      <c r="D128" s="10">
        <v>1481.0</v>
      </c>
      <c r="E128" s="8" t="s">
        <v>271</v>
      </c>
      <c r="F128" s="11" t="s">
        <v>37</v>
      </c>
      <c r="G128" s="12" t="s">
        <v>27</v>
      </c>
      <c r="H128" s="13">
        <v>1156.0</v>
      </c>
      <c r="I128" s="14">
        <v>10.0</v>
      </c>
      <c r="J128" s="15" t="s">
        <v>54</v>
      </c>
      <c r="K128" s="16">
        <v>0.3</v>
      </c>
      <c r="L128" s="17">
        <f t="shared" si="1"/>
        <v>3</v>
      </c>
      <c r="M128" s="17">
        <f t="shared" si="2"/>
        <v>7</v>
      </c>
      <c r="N128" s="18">
        <f t="shared" si="3"/>
        <v>346.8</v>
      </c>
      <c r="O128" s="18">
        <f t="shared" si="4"/>
        <v>809.2</v>
      </c>
      <c r="P128" s="18">
        <f t="shared" si="5"/>
        <v>809.2</v>
      </c>
      <c r="Q128" s="8">
        <v>0.0</v>
      </c>
      <c r="R128" s="18">
        <f t="shared" si="6"/>
        <v>115.6</v>
      </c>
      <c r="S128" s="19" t="s">
        <v>29</v>
      </c>
      <c r="T128" s="19" t="s">
        <v>30</v>
      </c>
      <c r="U128" s="20" t="s">
        <v>207</v>
      </c>
      <c r="V128" s="37"/>
      <c r="W128" s="7"/>
      <c r="X128" s="7"/>
      <c r="Y128" s="7"/>
      <c r="Z128" s="7"/>
      <c r="AA128" s="7"/>
    </row>
    <row r="129" ht="18.75" customHeight="1">
      <c r="A129" s="22" t="s">
        <v>130</v>
      </c>
      <c r="B129" s="54" t="s">
        <v>131</v>
      </c>
      <c r="C129" s="23" t="s">
        <v>145</v>
      </c>
      <c r="D129" s="24">
        <v>1482.0</v>
      </c>
      <c r="E129" s="22" t="s">
        <v>272</v>
      </c>
      <c r="F129" s="25" t="s">
        <v>26</v>
      </c>
      <c r="G129" s="26" t="s">
        <v>27</v>
      </c>
      <c r="H129" s="27">
        <v>15638.9</v>
      </c>
      <c r="I129" s="28">
        <v>10.0</v>
      </c>
      <c r="J129" s="29" t="s">
        <v>38</v>
      </c>
      <c r="K129" s="30">
        <v>0.5</v>
      </c>
      <c r="L129" s="31">
        <f t="shared" si="1"/>
        <v>5</v>
      </c>
      <c r="M129" s="31">
        <f t="shared" si="2"/>
        <v>5</v>
      </c>
      <c r="N129" s="32">
        <f t="shared" si="3"/>
        <v>7819.45</v>
      </c>
      <c r="O129" s="32">
        <f t="shared" si="4"/>
        <v>7819.45</v>
      </c>
      <c r="P129" s="32">
        <f t="shared" si="5"/>
        <v>7819.45</v>
      </c>
      <c r="Q129" s="22">
        <v>0.0</v>
      </c>
      <c r="R129" s="32">
        <f t="shared" si="6"/>
        <v>1563.89</v>
      </c>
      <c r="S129" s="33" t="s">
        <v>29</v>
      </c>
      <c r="T129" s="33" t="s">
        <v>30</v>
      </c>
      <c r="U129" s="34" t="s">
        <v>35</v>
      </c>
      <c r="V129" s="35"/>
      <c r="W129" s="7"/>
      <c r="X129" s="7"/>
      <c r="Y129" s="7"/>
      <c r="Z129" s="7"/>
      <c r="AA129" s="7"/>
    </row>
    <row r="130" ht="18.75" customHeight="1">
      <c r="A130" s="8" t="s">
        <v>130</v>
      </c>
      <c r="B130" s="53" t="s">
        <v>131</v>
      </c>
      <c r="C130" s="9" t="s">
        <v>273</v>
      </c>
      <c r="D130" s="10">
        <v>1483.0</v>
      </c>
      <c r="E130" s="8" t="s">
        <v>274</v>
      </c>
      <c r="F130" s="11" t="s">
        <v>37</v>
      </c>
      <c r="G130" s="12" t="s">
        <v>27</v>
      </c>
      <c r="H130" s="13">
        <v>529.0</v>
      </c>
      <c r="I130" s="14">
        <v>10.0</v>
      </c>
      <c r="J130" s="46" t="s">
        <v>63</v>
      </c>
      <c r="K130" s="16">
        <v>0.7</v>
      </c>
      <c r="L130" s="17">
        <f t="shared" si="1"/>
        <v>7</v>
      </c>
      <c r="M130" s="17">
        <f t="shared" si="2"/>
        <v>3</v>
      </c>
      <c r="N130" s="18">
        <f t="shared" si="3"/>
        <v>370.3</v>
      </c>
      <c r="O130" s="18">
        <f t="shared" si="4"/>
        <v>158.7</v>
      </c>
      <c r="P130" s="18">
        <f t="shared" si="5"/>
        <v>158.7</v>
      </c>
      <c r="Q130" s="8">
        <v>0.0</v>
      </c>
      <c r="R130" s="18">
        <f t="shared" si="6"/>
        <v>52.9</v>
      </c>
      <c r="S130" s="19" t="s">
        <v>29</v>
      </c>
      <c r="T130" s="19" t="s">
        <v>30</v>
      </c>
      <c r="U130" s="20" t="s">
        <v>275</v>
      </c>
      <c r="V130" s="37"/>
      <c r="W130" s="7"/>
      <c r="X130" s="7"/>
      <c r="Y130" s="7"/>
      <c r="Z130" s="7"/>
      <c r="AA130" s="7"/>
    </row>
    <row r="131" ht="18.75" customHeight="1">
      <c r="A131" s="22" t="s">
        <v>130</v>
      </c>
      <c r="B131" s="54" t="s">
        <v>131</v>
      </c>
      <c r="C131" s="23" t="s">
        <v>150</v>
      </c>
      <c r="D131" s="24">
        <v>1486.0</v>
      </c>
      <c r="E131" s="22" t="s">
        <v>276</v>
      </c>
      <c r="F131" s="25" t="s">
        <v>37</v>
      </c>
      <c r="G131" s="26" t="s">
        <v>27</v>
      </c>
      <c r="H131" s="27">
        <v>469.2</v>
      </c>
      <c r="I131" s="28">
        <v>10.0</v>
      </c>
      <c r="J131" s="29" t="s">
        <v>54</v>
      </c>
      <c r="K131" s="30">
        <v>0.3</v>
      </c>
      <c r="L131" s="31">
        <f t="shared" si="1"/>
        <v>3</v>
      </c>
      <c r="M131" s="31">
        <f t="shared" si="2"/>
        <v>7</v>
      </c>
      <c r="N131" s="32">
        <f t="shared" si="3"/>
        <v>140.76</v>
      </c>
      <c r="O131" s="32">
        <f t="shared" si="4"/>
        <v>328.44</v>
      </c>
      <c r="P131" s="32">
        <f t="shared" si="5"/>
        <v>328.44</v>
      </c>
      <c r="Q131" s="22">
        <v>0.0</v>
      </c>
      <c r="R131" s="32">
        <f t="shared" si="6"/>
        <v>46.92</v>
      </c>
      <c r="S131" s="33" t="s">
        <v>29</v>
      </c>
      <c r="T131" s="33" t="s">
        <v>30</v>
      </c>
      <c r="U131" s="38" t="s">
        <v>52</v>
      </c>
      <c r="V131" s="35"/>
      <c r="W131" s="7"/>
      <c r="X131" s="7"/>
      <c r="Y131" s="7"/>
      <c r="Z131" s="7"/>
      <c r="AA131" s="7"/>
    </row>
    <row r="132" ht="18.75" customHeight="1">
      <c r="A132" s="8" t="s">
        <v>130</v>
      </c>
      <c r="B132" s="53" t="s">
        <v>131</v>
      </c>
      <c r="C132" s="9" t="s">
        <v>145</v>
      </c>
      <c r="D132" s="10">
        <v>1487.0</v>
      </c>
      <c r="E132" s="8" t="s">
        <v>277</v>
      </c>
      <c r="F132" s="11" t="s">
        <v>37</v>
      </c>
      <c r="G132" s="12" t="s">
        <v>27</v>
      </c>
      <c r="H132" s="13">
        <v>469.2</v>
      </c>
      <c r="I132" s="14">
        <v>10.0</v>
      </c>
      <c r="J132" s="15" t="s">
        <v>54</v>
      </c>
      <c r="K132" s="16">
        <v>0.3</v>
      </c>
      <c r="L132" s="17">
        <f t="shared" si="1"/>
        <v>3</v>
      </c>
      <c r="M132" s="17">
        <f t="shared" si="2"/>
        <v>7</v>
      </c>
      <c r="N132" s="18">
        <f t="shared" si="3"/>
        <v>140.76</v>
      </c>
      <c r="O132" s="18">
        <f t="shared" si="4"/>
        <v>328.44</v>
      </c>
      <c r="P132" s="18">
        <f t="shared" si="5"/>
        <v>328.44</v>
      </c>
      <c r="Q132" s="8">
        <v>0.0</v>
      </c>
      <c r="R132" s="18">
        <f t="shared" si="6"/>
        <v>46.92</v>
      </c>
      <c r="S132" s="19" t="s">
        <v>29</v>
      </c>
      <c r="T132" s="19" t="s">
        <v>30</v>
      </c>
      <c r="U132" s="36" t="s">
        <v>52</v>
      </c>
      <c r="V132" s="37"/>
      <c r="W132" s="7"/>
      <c r="X132" s="7"/>
      <c r="Y132" s="7"/>
      <c r="Z132" s="7"/>
      <c r="AA132" s="7"/>
    </row>
    <row r="133" ht="18.75" customHeight="1">
      <c r="A133" s="22" t="s">
        <v>130</v>
      </c>
      <c r="B133" s="54" t="s">
        <v>131</v>
      </c>
      <c r="C133" s="23" t="s">
        <v>145</v>
      </c>
      <c r="D133" s="24">
        <v>1488.0</v>
      </c>
      <c r="E133" s="22" t="s">
        <v>278</v>
      </c>
      <c r="F133" s="25" t="s">
        <v>26</v>
      </c>
      <c r="G133" s="26" t="s">
        <v>27</v>
      </c>
      <c r="H133" s="27">
        <v>2338.0</v>
      </c>
      <c r="I133" s="28">
        <v>10.0</v>
      </c>
      <c r="J133" s="41" t="s">
        <v>147</v>
      </c>
      <c r="K133" s="30">
        <v>0.5</v>
      </c>
      <c r="L133" s="31">
        <f t="shared" si="1"/>
        <v>5</v>
      </c>
      <c r="M133" s="31">
        <f t="shared" si="2"/>
        <v>5</v>
      </c>
      <c r="N133" s="32">
        <f t="shared" si="3"/>
        <v>1169</v>
      </c>
      <c r="O133" s="32">
        <f t="shared" si="4"/>
        <v>1169</v>
      </c>
      <c r="P133" s="32">
        <f t="shared" si="5"/>
        <v>1169</v>
      </c>
      <c r="Q133" s="22">
        <v>0.0</v>
      </c>
      <c r="R133" s="32">
        <f t="shared" si="6"/>
        <v>233.8</v>
      </c>
      <c r="S133" s="33" t="s">
        <v>29</v>
      </c>
      <c r="T133" s="33" t="s">
        <v>30</v>
      </c>
      <c r="U133" s="38" t="s">
        <v>45</v>
      </c>
      <c r="V133" s="35"/>
      <c r="W133" s="7"/>
      <c r="X133" s="7"/>
      <c r="Y133" s="7"/>
      <c r="Z133" s="7"/>
      <c r="AA133" s="7"/>
    </row>
    <row r="134" ht="18.75" customHeight="1">
      <c r="A134" s="8" t="s">
        <v>130</v>
      </c>
      <c r="B134" s="53" t="s">
        <v>131</v>
      </c>
      <c r="C134" s="9" t="s">
        <v>150</v>
      </c>
      <c r="D134" s="10">
        <v>1489.0</v>
      </c>
      <c r="E134" s="8" t="s">
        <v>279</v>
      </c>
      <c r="F134" s="11" t="s">
        <v>26</v>
      </c>
      <c r="G134" s="12" t="s">
        <v>27</v>
      </c>
      <c r="H134" s="13">
        <v>1897.0</v>
      </c>
      <c r="I134" s="14">
        <v>10.0</v>
      </c>
      <c r="J134" s="15" t="s">
        <v>28</v>
      </c>
      <c r="K134" s="16">
        <v>0.4</v>
      </c>
      <c r="L134" s="17">
        <f t="shared" si="1"/>
        <v>4</v>
      </c>
      <c r="M134" s="17">
        <f t="shared" si="2"/>
        <v>6</v>
      </c>
      <c r="N134" s="18">
        <f t="shared" si="3"/>
        <v>758.8</v>
      </c>
      <c r="O134" s="18">
        <f t="shared" si="4"/>
        <v>1138.2</v>
      </c>
      <c r="P134" s="18">
        <f t="shared" si="5"/>
        <v>1138.2</v>
      </c>
      <c r="Q134" s="8">
        <v>0.0</v>
      </c>
      <c r="R134" s="18">
        <f t="shared" si="6"/>
        <v>189.7</v>
      </c>
      <c r="S134" s="19" t="s">
        <v>29</v>
      </c>
      <c r="T134" s="19" t="s">
        <v>30</v>
      </c>
      <c r="U134" s="20" t="s">
        <v>43</v>
      </c>
      <c r="V134" s="37"/>
      <c r="W134" s="7"/>
      <c r="X134" s="7"/>
      <c r="Y134" s="7"/>
      <c r="Z134" s="7"/>
      <c r="AA134" s="7"/>
    </row>
    <row r="135" ht="18.75" customHeight="1">
      <c r="A135" s="22" t="s">
        <v>130</v>
      </c>
      <c r="B135" s="54" t="s">
        <v>131</v>
      </c>
      <c r="C135" s="23" t="s">
        <v>145</v>
      </c>
      <c r="D135" s="24">
        <v>1490.0</v>
      </c>
      <c r="E135" s="22" t="s">
        <v>280</v>
      </c>
      <c r="F135" s="25" t="s">
        <v>26</v>
      </c>
      <c r="G135" s="26" t="s">
        <v>27</v>
      </c>
      <c r="H135" s="27">
        <v>22652.48</v>
      </c>
      <c r="I135" s="28">
        <v>10.0</v>
      </c>
      <c r="J135" s="29" t="s">
        <v>38</v>
      </c>
      <c r="K135" s="30">
        <v>0.5</v>
      </c>
      <c r="L135" s="31">
        <f t="shared" si="1"/>
        <v>5</v>
      </c>
      <c r="M135" s="31">
        <f t="shared" si="2"/>
        <v>5</v>
      </c>
      <c r="N135" s="32">
        <f t="shared" si="3"/>
        <v>11326.24</v>
      </c>
      <c r="O135" s="32">
        <f t="shared" si="4"/>
        <v>11326.24</v>
      </c>
      <c r="P135" s="32">
        <f t="shared" si="5"/>
        <v>11326.24</v>
      </c>
      <c r="Q135" s="22">
        <v>0.0</v>
      </c>
      <c r="R135" s="32">
        <f t="shared" si="6"/>
        <v>2265.248</v>
      </c>
      <c r="S135" s="33" t="s">
        <v>29</v>
      </c>
      <c r="T135" s="33" t="s">
        <v>30</v>
      </c>
      <c r="U135" s="34" t="s">
        <v>50</v>
      </c>
      <c r="V135" s="35"/>
      <c r="W135" s="7"/>
      <c r="X135" s="7"/>
      <c r="Y135" s="7"/>
      <c r="Z135" s="7"/>
      <c r="AA135" s="7"/>
    </row>
    <row r="136" ht="18.75" customHeight="1">
      <c r="A136" s="8" t="s">
        <v>130</v>
      </c>
      <c r="B136" s="53" t="s">
        <v>131</v>
      </c>
      <c r="C136" s="9" t="s">
        <v>145</v>
      </c>
      <c r="D136" s="10">
        <v>1491.0</v>
      </c>
      <c r="E136" s="8" t="s">
        <v>281</v>
      </c>
      <c r="F136" s="11" t="s">
        <v>26</v>
      </c>
      <c r="G136" s="12" t="s">
        <v>27</v>
      </c>
      <c r="H136" s="13">
        <v>1351.57</v>
      </c>
      <c r="I136" s="14">
        <v>10.0</v>
      </c>
      <c r="J136" s="15" t="s">
        <v>28</v>
      </c>
      <c r="K136" s="16">
        <v>0.4</v>
      </c>
      <c r="L136" s="17">
        <f t="shared" si="1"/>
        <v>4</v>
      </c>
      <c r="M136" s="17">
        <f t="shared" si="2"/>
        <v>6</v>
      </c>
      <c r="N136" s="18">
        <f t="shared" si="3"/>
        <v>540.628</v>
      </c>
      <c r="O136" s="18">
        <f t="shared" si="4"/>
        <v>810.942</v>
      </c>
      <c r="P136" s="18">
        <f t="shared" si="5"/>
        <v>810.942</v>
      </c>
      <c r="Q136" s="8">
        <v>0.0</v>
      </c>
      <c r="R136" s="18">
        <f t="shared" si="6"/>
        <v>135.157</v>
      </c>
      <c r="S136" s="19" t="s">
        <v>29</v>
      </c>
      <c r="T136" s="19" t="s">
        <v>30</v>
      </c>
      <c r="U136" s="20" t="s">
        <v>41</v>
      </c>
      <c r="V136" s="37"/>
      <c r="W136" s="7"/>
      <c r="X136" s="7"/>
      <c r="Y136" s="7"/>
      <c r="Z136" s="7"/>
      <c r="AA136" s="7"/>
    </row>
    <row r="137" ht="18.75" customHeight="1">
      <c r="A137" s="22" t="s">
        <v>130</v>
      </c>
      <c r="B137" s="54" t="s">
        <v>131</v>
      </c>
      <c r="C137" s="23" t="s">
        <v>282</v>
      </c>
      <c r="D137" s="24">
        <v>1492.0</v>
      </c>
      <c r="E137" s="22" t="s">
        <v>283</v>
      </c>
      <c r="F137" s="25" t="s">
        <v>37</v>
      </c>
      <c r="G137" s="26" t="s">
        <v>27</v>
      </c>
      <c r="H137" s="27">
        <v>626.99</v>
      </c>
      <c r="I137" s="28">
        <v>10.0</v>
      </c>
      <c r="J137" s="29" t="s">
        <v>38</v>
      </c>
      <c r="K137" s="30">
        <v>0.5</v>
      </c>
      <c r="L137" s="31">
        <f t="shared" si="1"/>
        <v>5</v>
      </c>
      <c r="M137" s="31">
        <f t="shared" si="2"/>
        <v>5</v>
      </c>
      <c r="N137" s="32">
        <f t="shared" si="3"/>
        <v>313.495</v>
      </c>
      <c r="O137" s="32">
        <f t="shared" si="4"/>
        <v>313.495</v>
      </c>
      <c r="P137" s="32">
        <f t="shared" si="5"/>
        <v>313.495</v>
      </c>
      <c r="Q137" s="22">
        <v>0.0</v>
      </c>
      <c r="R137" s="32">
        <f t="shared" si="6"/>
        <v>62.699</v>
      </c>
      <c r="S137" s="33" t="s">
        <v>29</v>
      </c>
      <c r="T137" s="33" t="s">
        <v>30</v>
      </c>
      <c r="U137" s="34" t="s">
        <v>284</v>
      </c>
      <c r="V137" s="35"/>
      <c r="W137" s="49"/>
      <c r="X137" s="49"/>
      <c r="Y137" s="49"/>
      <c r="Z137" s="49"/>
      <c r="AA137" s="49"/>
    </row>
    <row r="138" ht="18.75" customHeight="1">
      <c r="A138" s="8" t="s">
        <v>130</v>
      </c>
      <c r="B138" s="53" t="s">
        <v>131</v>
      </c>
      <c r="C138" s="9" t="s">
        <v>236</v>
      </c>
      <c r="D138" s="10">
        <v>1494.0</v>
      </c>
      <c r="E138" s="8" t="s">
        <v>285</v>
      </c>
      <c r="F138" s="11" t="s">
        <v>26</v>
      </c>
      <c r="G138" s="12" t="s">
        <v>27</v>
      </c>
      <c r="H138" s="55">
        <v>840.42</v>
      </c>
      <c r="I138" s="14">
        <v>10.0</v>
      </c>
      <c r="J138" s="15" t="s">
        <v>38</v>
      </c>
      <c r="K138" s="16">
        <v>0.5</v>
      </c>
      <c r="L138" s="17">
        <f t="shared" si="1"/>
        <v>5</v>
      </c>
      <c r="M138" s="17">
        <f t="shared" si="2"/>
        <v>5</v>
      </c>
      <c r="N138" s="18">
        <f t="shared" si="3"/>
        <v>420.21</v>
      </c>
      <c r="O138" s="18">
        <f t="shared" si="4"/>
        <v>420.21</v>
      </c>
      <c r="P138" s="18">
        <f t="shared" si="5"/>
        <v>420.21</v>
      </c>
      <c r="Q138" s="8">
        <v>0.0</v>
      </c>
      <c r="R138" s="18">
        <f t="shared" si="6"/>
        <v>84.042</v>
      </c>
      <c r="S138" s="19" t="s">
        <v>29</v>
      </c>
      <c r="T138" s="19" t="s">
        <v>30</v>
      </c>
      <c r="U138" s="20" t="s">
        <v>102</v>
      </c>
      <c r="V138" s="37"/>
      <c r="W138" s="7"/>
      <c r="X138" s="7"/>
      <c r="Y138" s="7"/>
      <c r="Z138" s="7"/>
      <c r="AA138" s="7"/>
    </row>
    <row r="139" ht="18.75" customHeight="1">
      <c r="A139" s="22" t="s">
        <v>130</v>
      </c>
      <c r="B139" s="54" t="s">
        <v>131</v>
      </c>
      <c r="C139" s="23" t="s">
        <v>145</v>
      </c>
      <c r="D139" s="24">
        <v>1495.0</v>
      </c>
      <c r="E139" s="22" t="s">
        <v>286</v>
      </c>
      <c r="F139" s="25" t="s">
        <v>26</v>
      </c>
      <c r="G139" s="26" t="s">
        <v>27</v>
      </c>
      <c r="H139" s="56">
        <v>1260.63</v>
      </c>
      <c r="I139" s="28">
        <v>10.0</v>
      </c>
      <c r="J139" s="29" t="s">
        <v>38</v>
      </c>
      <c r="K139" s="30">
        <v>0.5</v>
      </c>
      <c r="L139" s="31">
        <f t="shared" si="1"/>
        <v>5</v>
      </c>
      <c r="M139" s="31">
        <f t="shared" si="2"/>
        <v>5</v>
      </c>
      <c r="N139" s="32">
        <f t="shared" si="3"/>
        <v>630.315</v>
      </c>
      <c r="O139" s="32">
        <f t="shared" si="4"/>
        <v>630.315</v>
      </c>
      <c r="P139" s="32">
        <f t="shared" si="5"/>
        <v>630.315</v>
      </c>
      <c r="Q139" s="22">
        <v>0.0</v>
      </c>
      <c r="R139" s="32">
        <f t="shared" si="6"/>
        <v>126.063</v>
      </c>
      <c r="S139" s="33" t="s">
        <v>29</v>
      </c>
      <c r="T139" s="33" t="s">
        <v>30</v>
      </c>
      <c r="U139" s="34" t="s">
        <v>102</v>
      </c>
      <c r="V139" s="35"/>
      <c r="W139" s="7"/>
      <c r="X139" s="7"/>
      <c r="Y139" s="7"/>
      <c r="Z139" s="7"/>
      <c r="AA139" s="7"/>
    </row>
    <row r="140" ht="18.75" customHeight="1">
      <c r="A140" s="8" t="s">
        <v>130</v>
      </c>
      <c r="B140" s="53" t="s">
        <v>131</v>
      </c>
      <c r="C140" s="9" t="s">
        <v>287</v>
      </c>
      <c r="D140" s="10">
        <v>1496.0</v>
      </c>
      <c r="E140" s="8" t="s">
        <v>288</v>
      </c>
      <c r="F140" s="11" t="s">
        <v>26</v>
      </c>
      <c r="G140" s="12" t="s">
        <v>27</v>
      </c>
      <c r="H140" s="13">
        <v>1804.05</v>
      </c>
      <c r="I140" s="14">
        <v>5.0</v>
      </c>
      <c r="J140" s="15" t="s">
        <v>289</v>
      </c>
      <c r="K140" s="16">
        <v>0.95</v>
      </c>
      <c r="L140" s="17">
        <f t="shared" si="1"/>
        <v>4.75</v>
      </c>
      <c r="M140" s="17">
        <f t="shared" si="2"/>
        <v>0.25</v>
      </c>
      <c r="N140" s="18">
        <f t="shared" si="3"/>
        <v>1713.8475</v>
      </c>
      <c r="O140" s="18">
        <f t="shared" si="4"/>
        <v>90.2025</v>
      </c>
      <c r="P140" s="18">
        <f t="shared" si="5"/>
        <v>90.2025</v>
      </c>
      <c r="Q140" s="8">
        <v>0.0</v>
      </c>
      <c r="R140" s="18">
        <f t="shared" si="6"/>
        <v>360.81</v>
      </c>
      <c r="S140" s="19" t="s">
        <v>29</v>
      </c>
      <c r="T140" s="19" t="s">
        <v>30</v>
      </c>
      <c r="U140" s="36" t="s">
        <v>290</v>
      </c>
      <c r="V140" s="37"/>
      <c r="W140" s="7"/>
      <c r="X140" s="7"/>
      <c r="Y140" s="7"/>
      <c r="Z140" s="7"/>
      <c r="AA140" s="7"/>
    </row>
    <row r="141" ht="18.75" customHeight="1">
      <c r="A141" s="22" t="s">
        <v>130</v>
      </c>
      <c r="B141" s="54" t="s">
        <v>131</v>
      </c>
      <c r="C141" s="23" t="s">
        <v>24</v>
      </c>
      <c r="D141" s="24">
        <v>1499.0</v>
      </c>
      <c r="E141" s="22" t="s">
        <v>291</v>
      </c>
      <c r="F141" s="25" t="s">
        <v>26</v>
      </c>
      <c r="G141" s="26" t="s">
        <v>27</v>
      </c>
      <c r="H141" s="27">
        <v>450.0</v>
      </c>
      <c r="I141" s="28">
        <v>5.0</v>
      </c>
      <c r="J141" s="29" t="s">
        <v>54</v>
      </c>
      <c r="K141" s="30">
        <v>0.3</v>
      </c>
      <c r="L141" s="31">
        <f t="shared" si="1"/>
        <v>1.5</v>
      </c>
      <c r="M141" s="31">
        <f t="shared" si="2"/>
        <v>3.5</v>
      </c>
      <c r="N141" s="32">
        <f t="shared" si="3"/>
        <v>135</v>
      </c>
      <c r="O141" s="32">
        <f t="shared" si="4"/>
        <v>315</v>
      </c>
      <c r="P141" s="32">
        <f t="shared" si="5"/>
        <v>315</v>
      </c>
      <c r="Q141" s="22">
        <v>0.0</v>
      </c>
      <c r="R141" s="32">
        <f t="shared" si="6"/>
        <v>90</v>
      </c>
      <c r="S141" s="33" t="s">
        <v>29</v>
      </c>
      <c r="T141" s="33" t="s">
        <v>30</v>
      </c>
      <c r="U141" s="34" t="s">
        <v>292</v>
      </c>
      <c r="V141" s="35"/>
      <c r="W141" s="7"/>
      <c r="X141" s="7"/>
      <c r="Y141" s="7"/>
      <c r="Z141" s="7"/>
      <c r="AA141" s="7"/>
    </row>
    <row r="142" ht="18.75" customHeight="1">
      <c r="A142" s="8" t="s">
        <v>130</v>
      </c>
      <c r="B142" s="53" t="s">
        <v>131</v>
      </c>
      <c r="C142" s="9" t="s">
        <v>189</v>
      </c>
      <c r="D142" s="10">
        <v>1501.0</v>
      </c>
      <c r="E142" s="8" t="s">
        <v>293</v>
      </c>
      <c r="F142" s="11" t="s">
        <v>37</v>
      </c>
      <c r="G142" s="12" t="s">
        <v>27</v>
      </c>
      <c r="H142" s="13">
        <v>1300.12</v>
      </c>
      <c r="I142" s="14">
        <v>15.0</v>
      </c>
      <c r="J142" s="15" t="s">
        <v>38</v>
      </c>
      <c r="K142" s="16">
        <v>0.5</v>
      </c>
      <c r="L142" s="17">
        <f t="shared" si="1"/>
        <v>7.5</v>
      </c>
      <c r="M142" s="17">
        <f t="shared" si="2"/>
        <v>7.5</v>
      </c>
      <c r="N142" s="18">
        <f t="shared" si="3"/>
        <v>650.06</v>
      </c>
      <c r="O142" s="18">
        <f t="shared" si="4"/>
        <v>650.06</v>
      </c>
      <c r="P142" s="18">
        <f t="shared" si="5"/>
        <v>650.06</v>
      </c>
      <c r="Q142" s="8">
        <v>0.0</v>
      </c>
      <c r="R142" s="18">
        <f t="shared" si="6"/>
        <v>86.67466667</v>
      </c>
      <c r="S142" s="19" t="s">
        <v>29</v>
      </c>
      <c r="T142" s="19" t="s">
        <v>30</v>
      </c>
      <c r="U142" s="20" t="s">
        <v>229</v>
      </c>
      <c r="V142" s="37"/>
      <c r="W142" s="7"/>
      <c r="X142" s="7"/>
      <c r="Y142" s="7"/>
      <c r="Z142" s="7"/>
      <c r="AA142" s="7"/>
    </row>
    <row r="143" ht="18.75" customHeight="1">
      <c r="A143" s="22" t="s">
        <v>130</v>
      </c>
      <c r="B143" s="54" t="s">
        <v>131</v>
      </c>
      <c r="C143" s="23" t="s">
        <v>294</v>
      </c>
      <c r="D143" s="24">
        <v>1502.0</v>
      </c>
      <c r="E143" s="22" t="s">
        <v>295</v>
      </c>
      <c r="F143" s="25" t="s">
        <v>37</v>
      </c>
      <c r="G143" s="26" t="s">
        <v>27</v>
      </c>
      <c r="H143" s="27">
        <v>1156.0</v>
      </c>
      <c r="I143" s="28">
        <v>10.0</v>
      </c>
      <c r="J143" s="29" t="s">
        <v>154</v>
      </c>
      <c r="K143" s="30">
        <v>0.8</v>
      </c>
      <c r="L143" s="31">
        <f t="shared" si="1"/>
        <v>8</v>
      </c>
      <c r="M143" s="31">
        <f t="shared" si="2"/>
        <v>2</v>
      </c>
      <c r="N143" s="32">
        <f t="shared" si="3"/>
        <v>924.8</v>
      </c>
      <c r="O143" s="32">
        <f t="shared" si="4"/>
        <v>231.2</v>
      </c>
      <c r="P143" s="32">
        <f t="shared" si="5"/>
        <v>231.2</v>
      </c>
      <c r="Q143" s="22">
        <v>0.0</v>
      </c>
      <c r="R143" s="32">
        <f t="shared" si="6"/>
        <v>115.6</v>
      </c>
      <c r="S143" s="33" t="s">
        <v>29</v>
      </c>
      <c r="T143" s="33" t="s">
        <v>30</v>
      </c>
      <c r="U143" s="34" t="s">
        <v>207</v>
      </c>
      <c r="V143" s="35"/>
      <c r="W143" s="7"/>
      <c r="X143" s="7"/>
      <c r="Y143" s="7"/>
      <c r="Z143" s="7"/>
      <c r="AA143" s="7"/>
    </row>
    <row r="144" ht="18.75" customHeight="1">
      <c r="A144" s="8" t="s">
        <v>130</v>
      </c>
      <c r="B144" s="53" t="s">
        <v>131</v>
      </c>
      <c r="C144" s="9" t="s">
        <v>236</v>
      </c>
      <c r="D144" s="10">
        <v>1506.0</v>
      </c>
      <c r="E144" s="8" t="s">
        <v>296</v>
      </c>
      <c r="F144" s="11" t="s">
        <v>26</v>
      </c>
      <c r="G144" s="12" t="s">
        <v>27</v>
      </c>
      <c r="H144" s="13">
        <v>531.9</v>
      </c>
      <c r="I144" s="14">
        <v>10.0</v>
      </c>
      <c r="J144" s="15" t="s">
        <v>54</v>
      </c>
      <c r="K144" s="16">
        <v>0.3</v>
      </c>
      <c r="L144" s="17">
        <f t="shared" si="1"/>
        <v>3</v>
      </c>
      <c r="M144" s="17">
        <f t="shared" si="2"/>
        <v>7</v>
      </c>
      <c r="N144" s="18">
        <f t="shared" si="3"/>
        <v>159.57</v>
      </c>
      <c r="O144" s="18">
        <f t="shared" si="4"/>
        <v>372.33</v>
      </c>
      <c r="P144" s="18">
        <f t="shared" si="5"/>
        <v>372.33</v>
      </c>
      <c r="Q144" s="8">
        <v>0.0</v>
      </c>
      <c r="R144" s="18">
        <f t="shared" si="6"/>
        <v>53.19</v>
      </c>
      <c r="S144" s="19" t="s">
        <v>29</v>
      </c>
      <c r="T144" s="19" t="s">
        <v>30</v>
      </c>
      <c r="U144" s="20" t="s">
        <v>191</v>
      </c>
      <c r="V144" s="37"/>
      <c r="W144" s="7"/>
      <c r="X144" s="7"/>
      <c r="Y144" s="7"/>
      <c r="Z144" s="7"/>
      <c r="AA144" s="7"/>
    </row>
    <row r="145" ht="18.75" customHeight="1">
      <c r="A145" s="22" t="s">
        <v>130</v>
      </c>
      <c r="B145" s="54" t="s">
        <v>131</v>
      </c>
      <c r="C145" s="23" t="s">
        <v>236</v>
      </c>
      <c r="D145" s="24">
        <v>1507.0</v>
      </c>
      <c r="E145" s="22" t="s">
        <v>297</v>
      </c>
      <c r="F145" s="25" t="s">
        <v>37</v>
      </c>
      <c r="G145" s="26" t="s">
        <v>27</v>
      </c>
      <c r="H145" s="27">
        <v>332.91</v>
      </c>
      <c r="I145" s="28">
        <v>10.0</v>
      </c>
      <c r="J145" s="29" t="s">
        <v>81</v>
      </c>
      <c r="K145" s="30">
        <v>0.15</v>
      </c>
      <c r="L145" s="31">
        <f t="shared" si="1"/>
        <v>1.5</v>
      </c>
      <c r="M145" s="31">
        <f t="shared" si="2"/>
        <v>8.5</v>
      </c>
      <c r="N145" s="32">
        <f t="shared" si="3"/>
        <v>49.9365</v>
      </c>
      <c r="O145" s="32">
        <f t="shared" si="4"/>
        <v>282.9735</v>
      </c>
      <c r="P145" s="32">
        <f t="shared" si="5"/>
        <v>282.9735</v>
      </c>
      <c r="Q145" s="22">
        <v>0.0</v>
      </c>
      <c r="R145" s="32">
        <f t="shared" si="6"/>
        <v>33.291</v>
      </c>
      <c r="S145" s="33" t="s">
        <v>29</v>
      </c>
      <c r="T145" s="33" t="s">
        <v>30</v>
      </c>
      <c r="U145" s="34" t="s">
        <v>298</v>
      </c>
      <c r="V145" s="35"/>
      <c r="W145" s="7"/>
      <c r="X145" s="7"/>
      <c r="Y145" s="7"/>
      <c r="Z145" s="7"/>
      <c r="AA145" s="7"/>
    </row>
    <row r="146" ht="18.75" customHeight="1">
      <c r="A146" s="8" t="s">
        <v>130</v>
      </c>
      <c r="B146" s="53" t="s">
        <v>131</v>
      </c>
      <c r="C146" s="9" t="s">
        <v>189</v>
      </c>
      <c r="D146" s="10">
        <v>1509.0</v>
      </c>
      <c r="E146" s="8" t="s">
        <v>226</v>
      </c>
      <c r="F146" s="11" t="s">
        <v>37</v>
      </c>
      <c r="G146" s="12" t="s">
        <v>27</v>
      </c>
      <c r="H146" s="13">
        <v>945.0</v>
      </c>
      <c r="I146" s="14">
        <v>15.0</v>
      </c>
      <c r="J146" s="15" t="s">
        <v>38</v>
      </c>
      <c r="K146" s="16">
        <v>0.5</v>
      </c>
      <c r="L146" s="17">
        <f t="shared" si="1"/>
        <v>7.5</v>
      </c>
      <c r="M146" s="17">
        <f t="shared" si="2"/>
        <v>7.5</v>
      </c>
      <c r="N146" s="18">
        <f t="shared" si="3"/>
        <v>472.5</v>
      </c>
      <c r="O146" s="18">
        <f t="shared" si="4"/>
        <v>472.5</v>
      </c>
      <c r="P146" s="18">
        <f t="shared" si="5"/>
        <v>472.5</v>
      </c>
      <c r="Q146" s="8">
        <v>0.0</v>
      </c>
      <c r="R146" s="18">
        <f t="shared" si="6"/>
        <v>63</v>
      </c>
      <c r="S146" s="19" t="s">
        <v>29</v>
      </c>
      <c r="T146" s="19" t="s">
        <v>30</v>
      </c>
      <c r="U146" s="20" t="s">
        <v>205</v>
      </c>
      <c r="V146" s="37"/>
      <c r="W146" s="7"/>
      <c r="X146" s="7"/>
      <c r="Y146" s="7"/>
      <c r="Z146" s="7"/>
      <c r="AA146" s="7"/>
    </row>
    <row r="147" ht="18.75" customHeight="1">
      <c r="A147" s="22" t="s">
        <v>130</v>
      </c>
      <c r="B147" s="54" t="s">
        <v>131</v>
      </c>
      <c r="C147" s="23" t="s">
        <v>224</v>
      </c>
      <c r="D147" s="24">
        <v>1511.0</v>
      </c>
      <c r="E147" s="22" t="s">
        <v>293</v>
      </c>
      <c r="F147" s="25" t="s">
        <v>37</v>
      </c>
      <c r="G147" s="26" t="s">
        <v>27</v>
      </c>
      <c r="H147" s="27">
        <v>1300.12</v>
      </c>
      <c r="I147" s="28">
        <v>15.0</v>
      </c>
      <c r="J147" s="29" t="s">
        <v>38</v>
      </c>
      <c r="K147" s="30">
        <v>0.5</v>
      </c>
      <c r="L147" s="31">
        <f t="shared" si="1"/>
        <v>7.5</v>
      </c>
      <c r="M147" s="31">
        <f t="shared" si="2"/>
        <v>7.5</v>
      </c>
      <c r="N147" s="32">
        <f t="shared" si="3"/>
        <v>650.06</v>
      </c>
      <c r="O147" s="32">
        <f t="shared" si="4"/>
        <v>650.06</v>
      </c>
      <c r="P147" s="32">
        <f t="shared" si="5"/>
        <v>650.06</v>
      </c>
      <c r="Q147" s="22">
        <v>0.0</v>
      </c>
      <c r="R147" s="32">
        <f t="shared" si="6"/>
        <v>86.67466667</v>
      </c>
      <c r="S147" s="33" t="s">
        <v>29</v>
      </c>
      <c r="T147" s="33" t="s">
        <v>30</v>
      </c>
      <c r="U147" s="34" t="s">
        <v>229</v>
      </c>
      <c r="V147" s="35"/>
      <c r="W147" s="7"/>
      <c r="X147" s="7"/>
      <c r="Y147" s="7"/>
      <c r="Z147" s="7"/>
      <c r="AA147" s="7"/>
    </row>
    <row r="148" ht="18.75" customHeight="1">
      <c r="A148" s="8" t="s">
        <v>130</v>
      </c>
      <c r="B148" s="53" t="s">
        <v>131</v>
      </c>
      <c r="C148" s="9" t="s">
        <v>189</v>
      </c>
      <c r="D148" s="10">
        <v>1512.0</v>
      </c>
      <c r="E148" s="8" t="s">
        <v>299</v>
      </c>
      <c r="F148" s="11" t="s">
        <v>37</v>
      </c>
      <c r="G148" s="12" t="s">
        <v>27</v>
      </c>
      <c r="H148" s="13">
        <v>255.7</v>
      </c>
      <c r="I148" s="14">
        <v>15.0</v>
      </c>
      <c r="J148" s="15" t="s">
        <v>54</v>
      </c>
      <c r="K148" s="16">
        <v>0.3</v>
      </c>
      <c r="L148" s="17">
        <f t="shared" si="1"/>
        <v>4.5</v>
      </c>
      <c r="M148" s="17">
        <f t="shared" si="2"/>
        <v>10.5</v>
      </c>
      <c r="N148" s="18">
        <f t="shared" si="3"/>
        <v>76.71</v>
      </c>
      <c r="O148" s="18">
        <f t="shared" si="4"/>
        <v>178.99</v>
      </c>
      <c r="P148" s="18">
        <f t="shared" si="5"/>
        <v>178.99</v>
      </c>
      <c r="Q148" s="8">
        <v>0.0</v>
      </c>
      <c r="R148" s="18">
        <f t="shared" si="6"/>
        <v>17.04666667</v>
      </c>
      <c r="S148" s="19" t="s">
        <v>29</v>
      </c>
      <c r="T148" s="19" t="s">
        <v>30</v>
      </c>
      <c r="U148" s="20" t="s">
        <v>300</v>
      </c>
      <c r="V148" s="37"/>
      <c r="W148" s="7"/>
      <c r="X148" s="7"/>
      <c r="Y148" s="7"/>
      <c r="Z148" s="7"/>
      <c r="AA148" s="7"/>
    </row>
    <row r="149" ht="18.75" customHeight="1">
      <c r="A149" s="22" t="s">
        <v>130</v>
      </c>
      <c r="B149" s="54" t="s">
        <v>131</v>
      </c>
      <c r="C149" s="23" t="s">
        <v>197</v>
      </c>
      <c r="D149" s="24">
        <v>1513.0</v>
      </c>
      <c r="E149" s="22" t="s">
        <v>301</v>
      </c>
      <c r="F149" s="25" t="s">
        <v>26</v>
      </c>
      <c r="G149" s="26" t="s">
        <v>27</v>
      </c>
      <c r="H149" s="27">
        <v>37.9</v>
      </c>
      <c r="I149" s="28">
        <v>5.0</v>
      </c>
      <c r="J149" s="29" t="s">
        <v>38</v>
      </c>
      <c r="K149" s="30">
        <v>0.5</v>
      </c>
      <c r="L149" s="31">
        <f t="shared" si="1"/>
        <v>2.5</v>
      </c>
      <c r="M149" s="31">
        <f t="shared" si="2"/>
        <v>2.5</v>
      </c>
      <c r="N149" s="32">
        <f t="shared" si="3"/>
        <v>18.95</v>
      </c>
      <c r="O149" s="32">
        <f t="shared" si="4"/>
        <v>18.95</v>
      </c>
      <c r="P149" s="32">
        <f t="shared" si="5"/>
        <v>18.95</v>
      </c>
      <c r="Q149" s="22">
        <v>0.0</v>
      </c>
      <c r="R149" s="32">
        <f t="shared" si="6"/>
        <v>7.58</v>
      </c>
      <c r="S149" s="33" t="s">
        <v>29</v>
      </c>
      <c r="T149" s="33" t="s">
        <v>30</v>
      </c>
      <c r="U149" s="34" t="s">
        <v>302</v>
      </c>
      <c r="V149" s="35"/>
      <c r="W149" s="7"/>
      <c r="X149" s="7"/>
      <c r="Y149" s="7"/>
      <c r="Z149" s="7"/>
      <c r="AA149" s="7"/>
    </row>
    <row r="150" ht="18.75" customHeight="1">
      <c r="A150" s="8" t="s">
        <v>130</v>
      </c>
      <c r="B150" s="53" t="s">
        <v>131</v>
      </c>
      <c r="C150" s="9" t="s">
        <v>189</v>
      </c>
      <c r="D150" s="10">
        <v>1514.0</v>
      </c>
      <c r="E150" s="8" t="s">
        <v>303</v>
      </c>
      <c r="F150" s="11" t="s">
        <v>37</v>
      </c>
      <c r="G150" s="12" t="s">
        <v>27</v>
      </c>
      <c r="H150" s="13">
        <v>338.58</v>
      </c>
      <c r="I150" s="14">
        <v>0.0</v>
      </c>
      <c r="J150" s="15" t="s">
        <v>54</v>
      </c>
      <c r="K150" s="16">
        <v>0.3</v>
      </c>
      <c r="L150" s="17">
        <f t="shared" si="1"/>
        <v>0</v>
      </c>
      <c r="M150" s="17">
        <f t="shared" si="2"/>
        <v>0</v>
      </c>
      <c r="N150" s="18">
        <f t="shared" si="3"/>
        <v>101.574</v>
      </c>
      <c r="O150" s="18">
        <f t="shared" si="4"/>
        <v>237.006</v>
      </c>
      <c r="P150" s="18">
        <f t="shared" si="5"/>
        <v>237.006</v>
      </c>
      <c r="Q150" s="8">
        <v>0.0</v>
      </c>
      <c r="R150" s="18" t="str">
        <f t="shared" si="6"/>
        <v>#DIV/0!</v>
      </c>
      <c r="S150" s="19" t="s">
        <v>29</v>
      </c>
      <c r="T150" s="19" t="s">
        <v>30</v>
      </c>
      <c r="U150" s="20" t="s">
        <v>304</v>
      </c>
      <c r="V150" s="37"/>
      <c r="W150" s="7"/>
      <c r="X150" s="7"/>
      <c r="Y150" s="7"/>
      <c r="Z150" s="7"/>
      <c r="AA150" s="7"/>
    </row>
    <row r="151" ht="18.75" customHeight="1">
      <c r="A151" s="22" t="s">
        <v>130</v>
      </c>
      <c r="B151" s="54" t="s">
        <v>131</v>
      </c>
      <c r="C151" s="23" t="s">
        <v>189</v>
      </c>
      <c r="D151" s="24">
        <v>1517.0</v>
      </c>
      <c r="E151" s="22" t="s">
        <v>305</v>
      </c>
      <c r="F151" s="25" t="s">
        <v>202</v>
      </c>
      <c r="G151" s="26" t="s">
        <v>27</v>
      </c>
      <c r="H151" s="27">
        <v>205.0</v>
      </c>
      <c r="I151" s="28">
        <v>5.0</v>
      </c>
      <c r="J151" s="29" t="s">
        <v>54</v>
      </c>
      <c r="K151" s="30">
        <v>0.3</v>
      </c>
      <c r="L151" s="31">
        <f t="shared" si="1"/>
        <v>1.5</v>
      </c>
      <c r="M151" s="31">
        <f t="shared" si="2"/>
        <v>3.5</v>
      </c>
      <c r="N151" s="32">
        <f t="shared" si="3"/>
        <v>61.5</v>
      </c>
      <c r="O151" s="32">
        <f t="shared" si="4"/>
        <v>143.5</v>
      </c>
      <c r="P151" s="32">
        <f t="shared" si="5"/>
        <v>143.5</v>
      </c>
      <c r="Q151" s="22">
        <v>0.0</v>
      </c>
      <c r="R151" s="32">
        <f t="shared" si="6"/>
        <v>41</v>
      </c>
      <c r="S151" s="33" t="s">
        <v>29</v>
      </c>
      <c r="T151" s="33" t="s">
        <v>30</v>
      </c>
      <c r="U151" s="34" t="s">
        <v>216</v>
      </c>
      <c r="V151" s="35"/>
      <c r="W151" s="7"/>
      <c r="X151" s="7"/>
      <c r="Y151" s="7"/>
      <c r="Z151" s="7"/>
      <c r="AA151" s="7"/>
    </row>
    <row r="152" ht="18.75" customHeight="1">
      <c r="A152" s="8" t="s">
        <v>130</v>
      </c>
      <c r="B152" s="53" t="s">
        <v>131</v>
      </c>
      <c r="C152" s="9" t="s">
        <v>189</v>
      </c>
      <c r="D152" s="10">
        <v>1518.0</v>
      </c>
      <c r="E152" s="8" t="s">
        <v>306</v>
      </c>
      <c r="F152" s="11" t="s">
        <v>128</v>
      </c>
      <c r="G152" s="12" t="s">
        <v>27</v>
      </c>
      <c r="H152" s="13">
        <v>1669.0</v>
      </c>
      <c r="I152" s="14">
        <v>5.0</v>
      </c>
      <c r="J152" s="15" t="s">
        <v>38</v>
      </c>
      <c r="K152" s="16">
        <v>0.5</v>
      </c>
      <c r="L152" s="17">
        <f t="shared" si="1"/>
        <v>2.5</v>
      </c>
      <c r="M152" s="17">
        <f t="shared" si="2"/>
        <v>2.5</v>
      </c>
      <c r="N152" s="18">
        <f t="shared" si="3"/>
        <v>834.5</v>
      </c>
      <c r="O152" s="18">
        <f t="shared" si="4"/>
        <v>834.5</v>
      </c>
      <c r="P152" s="18">
        <f t="shared" si="5"/>
        <v>834.5</v>
      </c>
      <c r="Q152" s="8">
        <v>0.0</v>
      </c>
      <c r="R152" s="18">
        <f t="shared" si="6"/>
        <v>333.8</v>
      </c>
      <c r="S152" s="19" t="s">
        <v>29</v>
      </c>
      <c r="T152" s="19" t="s">
        <v>30</v>
      </c>
      <c r="U152" s="20" t="s">
        <v>129</v>
      </c>
      <c r="V152" s="37"/>
      <c r="W152" s="7"/>
      <c r="X152" s="7"/>
      <c r="Y152" s="7"/>
      <c r="Z152" s="7"/>
      <c r="AA152" s="7"/>
    </row>
    <row r="153" ht="18.75" customHeight="1">
      <c r="A153" s="22" t="s">
        <v>130</v>
      </c>
      <c r="B153" s="54" t="s">
        <v>131</v>
      </c>
      <c r="C153" s="23" t="s">
        <v>189</v>
      </c>
      <c r="D153" s="24">
        <v>1519.0</v>
      </c>
      <c r="E153" s="22" t="s">
        <v>307</v>
      </c>
      <c r="F153" s="25" t="s">
        <v>202</v>
      </c>
      <c r="G153" s="26" t="s">
        <v>27</v>
      </c>
      <c r="H153" s="27">
        <v>449.24</v>
      </c>
      <c r="I153" s="28">
        <v>5.0</v>
      </c>
      <c r="J153" s="29" t="s">
        <v>54</v>
      </c>
      <c r="K153" s="30">
        <v>0.3</v>
      </c>
      <c r="L153" s="31">
        <f t="shared" si="1"/>
        <v>1.5</v>
      </c>
      <c r="M153" s="31">
        <f t="shared" si="2"/>
        <v>3.5</v>
      </c>
      <c r="N153" s="32">
        <f t="shared" si="3"/>
        <v>134.772</v>
      </c>
      <c r="O153" s="32">
        <f t="shared" si="4"/>
        <v>314.468</v>
      </c>
      <c r="P153" s="32">
        <f t="shared" si="5"/>
        <v>314.468</v>
      </c>
      <c r="Q153" s="22">
        <v>0.0</v>
      </c>
      <c r="R153" s="32">
        <f t="shared" si="6"/>
        <v>89.848</v>
      </c>
      <c r="S153" s="33" t="s">
        <v>29</v>
      </c>
      <c r="T153" s="33" t="s">
        <v>30</v>
      </c>
      <c r="U153" s="34" t="s">
        <v>308</v>
      </c>
      <c r="V153" s="35"/>
      <c r="W153" s="7"/>
      <c r="X153" s="7"/>
      <c r="Y153" s="7"/>
      <c r="Z153" s="7"/>
      <c r="AA153" s="7"/>
    </row>
    <row r="154" ht="18.75" customHeight="1">
      <c r="A154" s="8" t="s">
        <v>130</v>
      </c>
      <c r="B154" s="53" t="s">
        <v>131</v>
      </c>
      <c r="C154" s="9" t="s">
        <v>224</v>
      </c>
      <c r="D154" s="10">
        <v>1522.0</v>
      </c>
      <c r="E154" s="8" t="s">
        <v>309</v>
      </c>
      <c r="F154" s="11" t="s">
        <v>26</v>
      </c>
      <c r="G154" s="12" t="s">
        <v>27</v>
      </c>
      <c r="H154" s="13">
        <v>785.82</v>
      </c>
      <c r="I154" s="14">
        <v>10.0</v>
      </c>
      <c r="J154" s="15" t="s">
        <v>154</v>
      </c>
      <c r="K154" s="16">
        <v>0.8</v>
      </c>
      <c r="L154" s="17">
        <f t="shared" si="1"/>
        <v>8</v>
      </c>
      <c r="M154" s="17">
        <f t="shared" si="2"/>
        <v>2</v>
      </c>
      <c r="N154" s="18">
        <f t="shared" si="3"/>
        <v>628.656</v>
      </c>
      <c r="O154" s="18">
        <f t="shared" si="4"/>
        <v>157.164</v>
      </c>
      <c r="P154" s="18">
        <f t="shared" si="5"/>
        <v>157.164</v>
      </c>
      <c r="Q154" s="8">
        <v>0.0</v>
      </c>
      <c r="R154" s="18">
        <f t="shared" si="6"/>
        <v>78.582</v>
      </c>
      <c r="S154" s="19" t="s">
        <v>29</v>
      </c>
      <c r="T154" s="19" t="s">
        <v>30</v>
      </c>
      <c r="U154" s="20" t="s">
        <v>220</v>
      </c>
      <c r="V154" s="37"/>
      <c r="W154" s="7"/>
      <c r="X154" s="7"/>
      <c r="Y154" s="7"/>
      <c r="Z154" s="7"/>
      <c r="AA154" s="7"/>
    </row>
    <row r="155" ht="18.75" customHeight="1">
      <c r="A155" s="22" t="s">
        <v>130</v>
      </c>
      <c r="B155" s="54" t="s">
        <v>131</v>
      </c>
      <c r="C155" s="23" t="s">
        <v>224</v>
      </c>
      <c r="D155" s="24">
        <v>1523.0</v>
      </c>
      <c r="E155" s="22" t="s">
        <v>310</v>
      </c>
      <c r="F155" s="25" t="s">
        <v>26</v>
      </c>
      <c r="G155" s="26" t="s">
        <v>27</v>
      </c>
      <c r="H155" s="27">
        <v>1178.73</v>
      </c>
      <c r="I155" s="28">
        <v>10.0</v>
      </c>
      <c r="J155" s="29" t="s">
        <v>54</v>
      </c>
      <c r="K155" s="30">
        <v>0.3</v>
      </c>
      <c r="L155" s="31">
        <f t="shared" si="1"/>
        <v>3</v>
      </c>
      <c r="M155" s="31">
        <f t="shared" si="2"/>
        <v>7</v>
      </c>
      <c r="N155" s="32">
        <f t="shared" si="3"/>
        <v>353.619</v>
      </c>
      <c r="O155" s="32">
        <f t="shared" si="4"/>
        <v>825.111</v>
      </c>
      <c r="P155" s="32">
        <f t="shared" si="5"/>
        <v>825.111</v>
      </c>
      <c r="Q155" s="22">
        <v>0.0</v>
      </c>
      <c r="R155" s="32">
        <f t="shared" si="6"/>
        <v>117.873</v>
      </c>
      <c r="S155" s="33" t="s">
        <v>29</v>
      </c>
      <c r="T155" s="33" t="s">
        <v>30</v>
      </c>
      <c r="U155" s="34" t="s">
        <v>220</v>
      </c>
      <c r="V155" s="35"/>
      <c r="W155" s="7"/>
      <c r="X155" s="7"/>
      <c r="Y155" s="7"/>
      <c r="Z155" s="7"/>
      <c r="AA155" s="7"/>
    </row>
    <row r="156" ht="18.75" customHeight="1">
      <c r="A156" s="8" t="s">
        <v>130</v>
      </c>
      <c r="B156" s="53" t="s">
        <v>131</v>
      </c>
      <c r="C156" s="9" t="s">
        <v>195</v>
      </c>
      <c r="D156" s="10">
        <v>1525.0</v>
      </c>
      <c r="E156" s="8" t="s">
        <v>219</v>
      </c>
      <c r="F156" s="11" t="s">
        <v>26</v>
      </c>
      <c r="G156" s="12" t="s">
        <v>27</v>
      </c>
      <c r="H156" s="13">
        <v>785.82</v>
      </c>
      <c r="I156" s="14">
        <v>10.0</v>
      </c>
      <c r="J156" s="15" t="s">
        <v>38</v>
      </c>
      <c r="K156" s="16">
        <v>0.5</v>
      </c>
      <c r="L156" s="17">
        <f t="shared" si="1"/>
        <v>5</v>
      </c>
      <c r="M156" s="17">
        <f t="shared" si="2"/>
        <v>5</v>
      </c>
      <c r="N156" s="18">
        <f t="shared" si="3"/>
        <v>392.91</v>
      </c>
      <c r="O156" s="18">
        <f t="shared" si="4"/>
        <v>392.91</v>
      </c>
      <c r="P156" s="18">
        <f t="shared" si="5"/>
        <v>392.91</v>
      </c>
      <c r="Q156" s="8">
        <v>0.0</v>
      </c>
      <c r="R156" s="18">
        <f t="shared" si="6"/>
        <v>78.582</v>
      </c>
      <c r="S156" s="19" t="s">
        <v>29</v>
      </c>
      <c r="T156" s="19" t="s">
        <v>30</v>
      </c>
      <c r="U156" s="20" t="s">
        <v>220</v>
      </c>
      <c r="V156" s="37"/>
      <c r="W156" s="7"/>
      <c r="X156" s="7"/>
      <c r="Y156" s="7"/>
      <c r="Z156" s="7"/>
      <c r="AA156" s="7"/>
    </row>
    <row r="157" ht="18.75" customHeight="1">
      <c r="A157" s="22" t="s">
        <v>130</v>
      </c>
      <c r="B157" s="54" t="s">
        <v>131</v>
      </c>
      <c r="C157" s="23" t="s">
        <v>150</v>
      </c>
      <c r="D157" s="24">
        <v>1526.0</v>
      </c>
      <c r="E157" s="22" t="s">
        <v>221</v>
      </c>
      <c r="F157" s="25" t="s">
        <v>26</v>
      </c>
      <c r="G157" s="26" t="s">
        <v>27</v>
      </c>
      <c r="H157" s="27">
        <v>1178.73</v>
      </c>
      <c r="I157" s="28">
        <v>10.0</v>
      </c>
      <c r="J157" s="29" t="s">
        <v>38</v>
      </c>
      <c r="K157" s="30">
        <v>0.5</v>
      </c>
      <c r="L157" s="31">
        <f t="shared" si="1"/>
        <v>5</v>
      </c>
      <c r="M157" s="31">
        <f t="shared" si="2"/>
        <v>5</v>
      </c>
      <c r="N157" s="32">
        <f t="shared" si="3"/>
        <v>589.365</v>
      </c>
      <c r="O157" s="32">
        <f t="shared" si="4"/>
        <v>589.365</v>
      </c>
      <c r="P157" s="32">
        <f t="shared" si="5"/>
        <v>589.365</v>
      </c>
      <c r="Q157" s="22">
        <v>0.0</v>
      </c>
      <c r="R157" s="32">
        <f t="shared" si="6"/>
        <v>117.873</v>
      </c>
      <c r="S157" s="33" t="s">
        <v>29</v>
      </c>
      <c r="T157" s="33" t="s">
        <v>30</v>
      </c>
      <c r="U157" s="34" t="s">
        <v>220</v>
      </c>
      <c r="V157" s="35"/>
      <c r="W157" s="7"/>
      <c r="X157" s="7"/>
      <c r="Y157" s="7"/>
      <c r="Z157" s="7"/>
      <c r="AA157" s="7"/>
    </row>
    <row r="158" ht="18.75" customHeight="1">
      <c r="A158" s="8" t="s">
        <v>130</v>
      </c>
      <c r="B158" s="53" t="s">
        <v>131</v>
      </c>
      <c r="C158" s="9" t="s">
        <v>282</v>
      </c>
      <c r="D158" s="10">
        <v>1527.0</v>
      </c>
      <c r="E158" s="8" t="s">
        <v>311</v>
      </c>
      <c r="F158" s="11" t="s">
        <v>26</v>
      </c>
      <c r="G158" s="12" t="s">
        <v>27</v>
      </c>
      <c r="H158" s="13">
        <v>6583.2</v>
      </c>
      <c r="I158" s="14">
        <v>10.0</v>
      </c>
      <c r="J158" s="15" t="s">
        <v>28</v>
      </c>
      <c r="K158" s="16">
        <v>0.4</v>
      </c>
      <c r="L158" s="17">
        <f t="shared" si="1"/>
        <v>4</v>
      </c>
      <c r="M158" s="17">
        <f t="shared" si="2"/>
        <v>6</v>
      </c>
      <c r="N158" s="18">
        <f t="shared" si="3"/>
        <v>2633.28</v>
      </c>
      <c r="O158" s="18">
        <f t="shared" si="4"/>
        <v>3949.92</v>
      </c>
      <c r="P158" s="18">
        <f t="shared" si="5"/>
        <v>3949.92</v>
      </c>
      <c r="Q158" s="8">
        <v>0.0</v>
      </c>
      <c r="R158" s="18">
        <f t="shared" si="6"/>
        <v>658.32</v>
      </c>
      <c r="S158" s="19" t="s">
        <v>29</v>
      </c>
      <c r="T158" s="19" t="s">
        <v>30</v>
      </c>
      <c r="U158" s="20" t="s">
        <v>312</v>
      </c>
      <c r="V158" s="37"/>
      <c r="W158" s="7"/>
      <c r="X158" s="7"/>
      <c r="Y158" s="7"/>
      <c r="Z158" s="7"/>
      <c r="AA158" s="7"/>
    </row>
    <row r="159" ht="18.75" customHeight="1">
      <c r="A159" s="22" t="s">
        <v>130</v>
      </c>
      <c r="B159" s="54" t="s">
        <v>131</v>
      </c>
      <c r="C159" s="23" t="s">
        <v>192</v>
      </c>
      <c r="D159" s="24">
        <v>1530.0</v>
      </c>
      <c r="E159" s="22" t="s">
        <v>313</v>
      </c>
      <c r="F159" s="25" t="s">
        <v>26</v>
      </c>
      <c r="G159" s="26" t="s">
        <v>27</v>
      </c>
      <c r="H159" s="27">
        <v>1749.0</v>
      </c>
      <c r="I159" s="28">
        <v>10.0</v>
      </c>
      <c r="J159" s="29" t="s">
        <v>38</v>
      </c>
      <c r="K159" s="30">
        <v>0.5</v>
      </c>
      <c r="L159" s="31">
        <f t="shared" si="1"/>
        <v>5</v>
      </c>
      <c r="M159" s="31">
        <f t="shared" si="2"/>
        <v>5</v>
      </c>
      <c r="N159" s="32">
        <f t="shared" si="3"/>
        <v>874.5</v>
      </c>
      <c r="O159" s="32">
        <f t="shared" si="4"/>
        <v>874.5</v>
      </c>
      <c r="P159" s="32">
        <f t="shared" si="5"/>
        <v>874.5</v>
      </c>
      <c r="Q159" s="22">
        <v>0.0</v>
      </c>
      <c r="R159" s="32">
        <f t="shared" si="6"/>
        <v>174.9</v>
      </c>
      <c r="S159" s="33" t="s">
        <v>29</v>
      </c>
      <c r="T159" s="33" t="s">
        <v>30</v>
      </c>
      <c r="U159" s="34" t="s">
        <v>255</v>
      </c>
      <c r="V159" s="35"/>
      <c r="W159" s="7"/>
      <c r="X159" s="7"/>
      <c r="Y159" s="7"/>
      <c r="Z159" s="7"/>
      <c r="AA159" s="7"/>
    </row>
    <row r="160" ht="18.75" customHeight="1">
      <c r="A160" s="8" t="s">
        <v>130</v>
      </c>
      <c r="B160" s="53" t="s">
        <v>131</v>
      </c>
      <c r="C160" s="9" t="s">
        <v>192</v>
      </c>
      <c r="D160" s="10">
        <v>1531.0</v>
      </c>
      <c r="E160" s="8" t="s">
        <v>314</v>
      </c>
      <c r="F160" s="11" t="s">
        <v>37</v>
      </c>
      <c r="G160" s="12" t="s">
        <v>27</v>
      </c>
      <c r="H160" s="13">
        <v>945.0</v>
      </c>
      <c r="I160" s="14">
        <v>15.0</v>
      </c>
      <c r="J160" s="15" t="s">
        <v>54</v>
      </c>
      <c r="K160" s="16">
        <v>0.3</v>
      </c>
      <c r="L160" s="17">
        <f t="shared" si="1"/>
        <v>4.5</v>
      </c>
      <c r="M160" s="17">
        <f t="shared" si="2"/>
        <v>10.5</v>
      </c>
      <c r="N160" s="18">
        <f t="shared" si="3"/>
        <v>283.5</v>
      </c>
      <c r="O160" s="18">
        <f t="shared" si="4"/>
        <v>661.5</v>
      </c>
      <c r="P160" s="18">
        <f t="shared" si="5"/>
        <v>661.5</v>
      </c>
      <c r="Q160" s="8">
        <v>0.0</v>
      </c>
      <c r="R160" s="18">
        <f t="shared" si="6"/>
        <v>63</v>
      </c>
      <c r="S160" s="19" t="s">
        <v>29</v>
      </c>
      <c r="T160" s="19" t="s">
        <v>30</v>
      </c>
      <c r="U160" s="20" t="s">
        <v>205</v>
      </c>
      <c r="V160" s="37"/>
      <c r="W160" s="7"/>
      <c r="X160" s="7"/>
      <c r="Y160" s="7"/>
      <c r="Z160" s="7"/>
      <c r="AA160" s="7"/>
    </row>
    <row r="161" ht="18.75" customHeight="1">
      <c r="A161" s="22" t="s">
        <v>130</v>
      </c>
      <c r="B161" s="54" t="s">
        <v>131</v>
      </c>
      <c r="C161" s="23" t="s">
        <v>192</v>
      </c>
      <c r="D161" s="24">
        <v>1532.0</v>
      </c>
      <c r="E161" s="22" t="s">
        <v>314</v>
      </c>
      <c r="F161" s="25" t="s">
        <v>37</v>
      </c>
      <c r="G161" s="26" t="s">
        <v>27</v>
      </c>
      <c r="H161" s="27">
        <v>945.0</v>
      </c>
      <c r="I161" s="28">
        <v>15.0</v>
      </c>
      <c r="J161" s="29" t="s">
        <v>38</v>
      </c>
      <c r="K161" s="30">
        <v>0.5</v>
      </c>
      <c r="L161" s="31">
        <f t="shared" si="1"/>
        <v>7.5</v>
      </c>
      <c r="M161" s="31">
        <f t="shared" si="2"/>
        <v>7.5</v>
      </c>
      <c r="N161" s="32">
        <f t="shared" si="3"/>
        <v>472.5</v>
      </c>
      <c r="O161" s="32">
        <f t="shared" si="4"/>
        <v>472.5</v>
      </c>
      <c r="P161" s="32">
        <f t="shared" si="5"/>
        <v>472.5</v>
      </c>
      <c r="Q161" s="22">
        <v>0.0</v>
      </c>
      <c r="R161" s="32">
        <f t="shared" si="6"/>
        <v>63</v>
      </c>
      <c r="S161" s="33" t="s">
        <v>29</v>
      </c>
      <c r="T161" s="33" t="s">
        <v>30</v>
      </c>
      <c r="U161" s="34" t="s">
        <v>205</v>
      </c>
      <c r="V161" s="35"/>
      <c r="W161" s="7"/>
      <c r="X161" s="7"/>
      <c r="Y161" s="7"/>
      <c r="Z161" s="7"/>
      <c r="AA161" s="7"/>
    </row>
    <row r="162" ht="18.75" customHeight="1">
      <c r="A162" s="8" t="s">
        <v>130</v>
      </c>
      <c r="B162" s="53" t="s">
        <v>131</v>
      </c>
      <c r="C162" s="9" t="s">
        <v>192</v>
      </c>
      <c r="D162" s="10">
        <v>1538.0</v>
      </c>
      <c r="E162" s="8" t="s">
        <v>315</v>
      </c>
      <c r="F162" s="11" t="s">
        <v>37</v>
      </c>
      <c r="G162" s="12" t="s">
        <v>27</v>
      </c>
      <c r="H162" s="13">
        <v>279.9</v>
      </c>
      <c r="I162" s="14">
        <v>15.0</v>
      </c>
      <c r="J162" s="15" t="s">
        <v>38</v>
      </c>
      <c r="K162" s="16">
        <v>0.5</v>
      </c>
      <c r="L162" s="17">
        <f t="shared" si="1"/>
        <v>7.5</v>
      </c>
      <c r="M162" s="17">
        <f t="shared" si="2"/>
        <v>7.5</v>
      </c>
      <c r="N162" s="18">
        <f t="shared" si="3"/>
        <v>139.95</v>
      </c>
      <c r="O162" s="18">
        <f t="shared" si="4"/>
        <v>139.95</v>
      </c>
      <c r="P162" s="18">
        <f t="shared" si="5"/>
        <v>139.95</v>
      </c>
      <c r="Q162" s="8">
        <v>0.0</v>
      </c>
      <c r="R162" s="18">
        <f t="shared" si="6"/>
        <v>18.66</v>
      </c>
      <c r="S162" s="19" t="s">
        <v>29</v>
      </c>
      <c r="T162" s="19" t="s">
        <v>30</v>
      </c>
      <c r="U162" s="20" t="s">
        <v>316</v>
      </c>
      <c r="V162" s="37"/>
      <c r="W162" s="7"/>
      <c r="X162" s="7"/>
      <c r="Y162" s="7"/>
      <c r="Z162" s="7"/>
      <c r="AA162" s="7"/>
    </row>
    <row r="163" ht="18.75" customHeight="1">
      <c r="A163" s="22" t="s">
        <v>130</v>
      </c>
      <c r="B163" s="54" t="s">
        <v>131</v>
      </c>
      <c r="C163" s="23" t="s">
        <v>197</v>
      </c>
      <c r="D163" s="24">
        <v>1539.0</v>
      </c>
      <c r="E163" s="22" t="s">
        <v>317</v>
      </c>
      <c r="F163" s="25" t="s">
        <v>37</v>
      </c>
      <c r="G163" s="26" t="s">
        <v>27</v>
      </c>
      <c r="H163" s="27">
        <v>332.91</v>
      </c>
      <c r="I163" s="28">
        <v>10.0</v>
      </c>
      <c r="J163" s="29" t="s">
        <v>38</v>
      </c>
      <c r="K163" s="30">
        <v>0.5</v>
      </c>
      <c r="L163" s="31">
        <f t="shared" si="1"/>
        <v>5</v>
      </c>
      <c r="M163" s="31">
        <f t="shared" si="2"/>
        <v>5</v>
      </c>
      <c r="N163" s="32">
        <f t="shared" si="3"/>
        <v>166.455</v>
      </c>
      <c r="O163" s="32">
        <f t="shared" si="4"/>
        <v>166.455</v>
      </c>
      <c r="P163" s="32">
        <f t="shared" si="5"/>
        <v>166.455</v>
      </c>
      <c r="Q163" s="22">
        <v>0.0</v>
      </c>
      <c r="R163" s="32">
        <f t="shared" si="6"/>
        <v>33.291</v>
      </c>
      <c r="S163" s="33" t="s">
        <v>29</v>
      </c>
      <c r="T163" s="33" t="s">
        <v>30</v>
      </c>
      <c r="U163" s="34" t="s">
        <v>223</v>
      </c>
      <c r="V163" s="35"/>
      <c r="W163" s="7"/>
      <c r="X163" s="7"/>
      <c r="Y163" s="7"/>
      <c r="Z163" s="7"/>
      <c r="AA163" s="7"/>
    </row>
    <row r="164" ht="18.75" customHeight="1">
      <c r="A164" s="8" t="s">
        <v>130</v>
      </c>
      <c r="B164" s="53" t="s">
        <v>131</v>
      </c>
      <c r="C164" s="9" t="s">
        <v>192</v>
      </c>
      <c r="D164" s="10">
        <v>1540.0</v>
      </c>
      <c r="E164" s="8" t="s">
        <v>318</v>
      </c>
      <c r="F164" s="11" t="s">
        <v>37</v>
      </c>
      <c r="G164" s="12" t="s">
        <v>27</v>
      </c>
      <c r="H164" s="13">
        <v>469.2</v>
      </c>
      <c r="I164" s="14">
        <v>10.0</v>
      </c>
      <c r="J164" s="15" t="s">
        <v>154</v>
      </c>
      <c r="K164" s="16">
        <v>0.8</v>
      </c>
      <c r="L164" s="17">
        <f t="shared" si="1"/>
        <v>8</v>
      </c>
      <c r="M164" s="17">
        <f t="shared" si="2"/>
        <v>2</v>
      </c>
      <c r="N164" s="18">
        <f t="shared" si="3"/>
        <v>375.36</v>
      </c>
      <c r="O164" s="18">
        <f t="shared" si="4"/>
        <v>93.84</v>
      </c>
      <c r="P164" s="18">
        <f t="shared" si="5"/>
        <v>93.84</v>
      </c>
      <c r="Q164" s="8">
        <v>0.0</v>
      </c>
      <c r="R164" s="18">
        <f t="shared" si="6"/>
        <v>46.92</v>
      </c>
      <c r="S164" s="19" t="s">
        <v>29</v>
      </c>
      <c r="T164" s="19" t="s">
        <v>30</v>
      </c>
      <c r="U164" s="36" t="s">
        <v>52</v>
      </c>
      <c r="V164" s="37"/>
      <c r="W164" s="7"/>
      <c r="X164" s="7"/>
      <c r="Y164" s="7"/>
      <c r="Z164" s="7"/>
      <c r="AA164" s="7"/>
    </row>
    <row r="165" ht="18.75" customHeight="1">
      <c r="A165" s="22" t="s">
        <v>130</v>
      </c>
      <c r="B165" s="54" t="s">
        <v>131</v>
      </c>
      <c r="C165" s="23" t="s">
        <v>150</v>
      </c>
      <c r="D165" s="24">
        <v>1543.0</v>
      </c>
      <c r="E165" s="22" t="s">
        <v>319</v>
      </c>
      <c r="F165" s="25" t="s">
        <v>37</v>
      </c>
      <c r="G165" s="26" t="s">
        <v>27</v>
      </c>
      <c r="H165" s="27">
        <v>109.95</v>
      </c>
      <c r="I165" s="28">
        <v>15.0</v>
      </c>
      <c r="J165" s="29" t="s">
        <v>54</v>
      </c>
      <c r="K165" s="30">
        <v>0.3</v>
      </c>
      <c r="L165" s="31">
        <f t="shared" si="1"/>
        <v>4.5</v>
      </c>
      <c r="M165" s="31">
        <f t="shared" si="2"/>
        <v>10.5</v>
      </c>
      <c r="N165" s="32">
        <f t="shared" si="3"/>
        <v>32.985</v>
      </c>
      <c r="O165" s="32">
        <f t="shared" si="4"/>
        <v>76.965</v>
      </c>
      <c r="P165" s="32">
        <f t="shared" si="5"/>
        <v>76.965</v>
      </c>
      <c r="Q165" s="22">
        <v>0.0</v>
      </c>
      <c r="R165" s="32">
        <f t="shared" si="6"/>
        <v>7.33</v>
      </c>
      <c r="S165" s="33" t="s">
        <v>29</v>
      </c>
      <c r="T165" s="33" t="s">
        <v>30</v>
      </c>
      <c r="U165" s="34" t="s">
        <v>320</v>
      </c>
      <c r="V165" s="35"/>
      <c r="W165" s="7"/>
      <c r="X165" s="7"/>
      <c r="Y165" s="7"/>
      <c r="Z165" s="7"/>
      <c r="AA165" s="7"/>
    </row>
    <row r="166" ht="18.75" customHeight="1">
      <c r="A166" s="8" t="s">
        <v>130</v>
      </c>
      <c r="B166" s="53" t="s">
        <v>131</v>
      </c>
      <c r="C166" s="9" t="s">
        <v>192</v>
      </c>
      <c r="D166" s="10">
        <v>1544.0</v>
      </c>
      <c r="E166" s="8" t="s">
        <v>321</v>
      </c>
      <c r="F166" s="11" t="s">
        <v>37</v>
      </c>
      <c r="G166" s="12" t="s">
        <v>27</v>
      </c>
      <c r="H166" s="13">
        <v>945.0</v>
      </c>
      <c r="I166" s="14">
        <v>15.0</v>
      </c>
      <c r="J166" s="15" t="s">
        <v>38</v>
      </c>
      <c r="K166" s="16">
        <v>0.5</v>
      </c>
      <c r="L166" s="17">
        <f t="shared" si="1"/>
        <v>7.5</v>
      </c>
      <c r="M166" s="17">
        <f t="shared" si="2"/>
        <v>7.5</v>
      </c>
      <c r="N166" s="18">
        <f t="shared" si="3"/>
        <v>472.5</v>
      </c>
      <c r="O166" s="18">
        <f t="shared" si="4"/>
        <v>472.5</v>
      </c>
      <c r="P166" s="18">
        <f t="shared" si="5"/>
        <v>472.5</v>
      </c>
      <c r="Q166" s="8">
        <v>0.0</v>
      </c>
      <c r="R166" s="18">
        <f t="shared" si="6"/>
        <v>63</v>
      </c>
      <c r="S166" s="19" t="s">
        <v>29</v>
      </c>
      <c r="T166" s="19" t="s">
        <v>30</v>
      </c>
      <c r="U166" s="20" t="s">
        <v>205</v>
      </c>
      <c r="V166" s="37"/>
      <c r="W166" s="7"/>
      <c r="X166" s="7"/>
      <c r="Y166" s="7"/>
      <c r="Z166" s="7"/>
      <c r="AA166" s="7"/>
    </row>
    <row r="167" ht="18.75" customHeight="1">
      <c r="A167" s="22" t="s">
        <v>130</v>
      </c>
      <c r="B167" s="54" t="s">
        <v>131</v>
      </c>
      <c r="C167" s="23" t="s">
        <v>145</v>
      </c>
      <c r="D167" s="24">
        <v>1548.0</v>
      </c>
      <c r="E167" s="22" t="s">
        <v>322</v>
      </c>
      <c r="F167" s="25" t="s">
        <v>37</v>
      </c>
      <c r="G167" s="26" t="s">
        <v>27</v>
      </c>
      <c r="H167" s="27">
        <v>469.2</v>
      </c>
      <c r="I167" s="28">
        <v>10.0</v>
      </c>
      <c r="J167" s="29" t="s">
        <v>38</v>
      </c>
      <c r="K167" s="30">
        <v>0.5</v>
      </c>
      <c r="L167" s="31">
        <f t="shared" si="1"/>
        <v>5</v>
      </c>
      <c r="M167" s="31">
        <f t="shared" si="2"/>
        <v>5</v>
      </c>
      <c r="N167" s="32">
        <f t="shared" si="3"/>
        <v>234.6</v>
      </c>
      <c r="O167" s="32">
        <f t="shared" si="4"/>
        <v>234.6</v>
      </c>
      <c r="P167" s="32">
        <f t="shared" si="5"/>
        <v>234.6</v>
      </c>
      <c r="Q167" s="22">
        <v>0.0</v>
      </c>
      <c r="R167" s="32">
        <f t="shared" si="6"/>
        <v>46.92</v>
      </c>
      <c r="S167" s="33" t="s">
        <v>29</v>
      </c>
      <c r="T167" s="33" t="s">
        <v>30</v>
      </c>
      <c r="U167" s="38" t="s">
        <v>52</v>
      </c>
      <c r="V167" s="35"/>
      <c r="W167" s="7"/>
      <c r="X167" s="7"/>
      <c r="Y167" s="7"/>
      <c r="Z167" s="7"/>
      <c r="AA167" s="7"/>
    </row>
    <row r="168" ht="18.75" customHeight="1">
      <c r="A168" s="8" t="s">
        <v>130</v>
      </c>
      <c r="B168" s="53" t="s">
        <v>131</v>
      </c>
      <c r="C168" s="9" t="s">
        <v>150</v>
      </c>
      <c r="D168" s="10">
        <v>1549.0</v>
      </c>
      <c r="E168" s="8" t="s">
        <v>323</v>
      </c>
      <c r="F168" s="11" t="s">
        <v>37</v>
      </c>
      <c r="G168" s="12" t="s">
        <v>27</v>
      </c>
      <c r="H168" s="13">
        <v>469.2</v>
      </c>
      <c r="I168" s="14">
        <v>10.0</v>
      </c>
      <c r="J168" s="15" t="s">
        <v>28</v>
      </c>
      <c r="K168" s="16">
        <v>0.4</v>
      </c>
      <c r="L168" s="17">
        <f t="shared" si="1"/>
        <v>4</v>
      </c>
      <c r="M168" s="17">
        <f t="shared" si="2"/>
        <v>6</v>
      </c>
      <c r="N168" s="18">
        <f t="shared" si="3"/>
        <v>187.68</v>
      </c>
      <c r="O168" s="18">
        <f t="shared" si="4"/>
        <v>281.52</v>
      </c>
      <c r="P168" s="18">
        <f t="shared" si="5"/>
        <v>281.52</v>
      </c>
      <c r="Q168" s="8">
        <v>0.0</v>
      </c>
      <c r="R168" s="18">
        <f t="shared" si="6"/>
        <v>46.92</v>
      </c>
      <c r="S168" s="19" t="s">
        <v>29</v>
      </c>
      <c r="T168" s="19" t="s">
        <v>30</v>
      </c>
      <c r="U168" s="36" t="s">
        <v>52</v>
      </c>
      <c r="V168" s="37"/>
      <c r="W168" s="7"/>
      <c r="X168" s="7"/>
      <c r="Y168" s="7"/>
      <c r="Z168" s="7"/>
      <c r="AA168" s="7"/>
    </row>
    <row r="169" ht="18.75" customHeight="1">
      <c r="A169" s="22" t="s">
        <v>130</v>
      </c>
      <c r="B169" s="54" t="s">
        <v>131</v>
      </c>
      <c r="C169" s="23" t="s">
        <v>145</v>
      </c>
      <c r="D169" s="24">
        <v>1550.0</v>
      </c>
      <c r="E169" s="22" t="s">
        <v>324</v>
      </c>
      <c r="F169" s="25" t="s">
        <v>37</v>
      </c>
      <c r="G169" s="26" t="s">
        <v>27</v>
      </c>
      <c r="H169" s="27">
        <v>1647.58</v>
      </c>
      <c r="I169" s="28">
        <v>15.0</v>
      </c>
      <c r="J169" s="29" t="s">
        <v>54</v>
      </c>
      <c r="K169" s="30">
        <v>0.3</v>
      </c>
      <c r="L169" s="31">
        <f t="shared" si="1"/>
        <v>4.5</v>
      </c>
      <c r="M169" s="31">
        <f t="shared" si="2"/>
        <v>10.5</v>
      </c>
      <c r="N169" s="32">
        <f t="shared" si="3"/>
        <v>494.274</v>
      </c>
      <c r="O169" s="32">
        <f t="shared" si="4"/>
        <v>1153.306</v>
      </c>
      <c r="P169" s="32">
        <f t="shared" si="5"/>
        <v>1153.306</v>
      </c>
      <c r="Q169" s="22">
        <v>0.0</v>
      </c>
      <c r="R169" s="32">
        <f t="shared" si="6"/>
        <v>109.8386667</v>
      </c>
      <c r="S169" s="33" t="s">
        <v>29</v>
      </c>
      <c r="T169" s="33" t="s">
        <v>30</v>
      </c>
      <c r="U169" s="34" t="s">
        <v>325</v>
      </c>
      <c r="V169" s="35"/>
      <c r="W169" s="7"/>
      <c r="X169" s="7"/>
      <c r="Y169" s="7"/>
      <c r="Z169" s="7"/>
      <c r="AA169" s="7"/>
    </row>
    <row r="170" ht="18.75" customHeight="1">
      <c r="A170" s="8" t="s">
        <v>130</v>
      </c>
      <c r="B170" s="53" t="s">
        <v>131</v>
      </c>
      <c r="C170" s="9" t="s">
        <v>145</v>
      </c>
      <c r="D170" s="10">
        <v>1553.0</v>
      </c>
      <c r="E170" s="8" t="s">
        <v>326</v>
      </c>
      <c r="F170" s="11" t="s">
        <v>26</v>
      </c>
      <c r="G170" s="12" t="s">
        <v>27</v>
      </c>
      <c r="H170" s="13">
        <v>4899.9</v>
      </c>
      <c r="I170" s="14">
        <v>5.0</v>
      </c>
      <c r="J170" s="15" t="s">
        <v>81</v>
      </c>
      <c r="K170" s="16">
        <v>0.15</v>
      </c>
      <c r="L170" s="17">
        <f t="shared" si="1"/>
        <v>0.75</v>
      </c>
      <c r="M170" s="17">
        <f t="shared" si="2"/>
        <v>4.25</v>
      </c>
      <c r="N170" s="18">
        <f t="shared" si="3"/>
        <v>734.985</v>
      </c>
      <c r="O170" s="18">
        <f t="shared" si="4"/>
        <v>4164.915</v>
      </c>
      <c r="P170" s="18">
        <f t="shared" si="5"/>
        <v>4164.915</v>
      </c>
      <c r="Q170" s="8">
        <v>0.0</v>
      </c>
      <c r="R170" s="18">
        <f t="shared" si="6"/>
        <v>979.98</v>
      </c>
      <c r="S170" s="19" t="s">
        <v>29</v>
      </c>
      <c r="T170" s="19" t="s">
        <v>30</v>
      </c>
      <c r="U170" s="20" t="s">
        <v>67</v>
      </c>
      <c r="V170" s="37"/>
      <c r="W170" s="7"/>
      <c r="X170" s="7"/>
      <c r="Y170" s="7"/>
      <c r="Z170" s="7"/>
      <c r="AA170" s="7"/>
    </row>
    <row r="171" ht="18.75" customHeight="1">
      <c r="A171" s="22" t="s">
        <v>130</v>
      </c>
      <c r="B171" s="54" t="s">
        <v>131</v>
      </c>
      <c r="C171" s="23" t="s">
        <v>150</v>
      </c>
      <c r="D171" s="24">
        <v>1554.0</v>
      </c>
      <c r="E171" s="22" t="s">
        <v>327</v>
      </c>
      <c r="F171" s="25" t="s">
        <v>26</v>
      </c>
      <c r="G171" s="26" t="s">
        <v>27</v>
      </c>
      <c r="H171" s="27">
        <v>2338.0</v>
      </c>
      <c r="I171" s="28">
        <v>10.0</v>
      </c>
      <c r="J171" s="29" t="s">
        <v>38</v>
      </c>
      <c r="K171" s="30">
        <v>0.5</v>
      </c>
      <c r="L171" s="31">
        <f t="shared" si="1"/>
        <v>5</v>
      </c>
      <c r="M171" s="31">
        <f t="shared" si="2"/>
        <v>5</v>
      </c>
      <c r="N171" s="32">
        <f t="shared" si="3"/>
        <v>1169</v>
      </c>
      <c r="O171" s="32">
        <f t="shared" si="4"/>
        <v>1169</v>
      </c>
      <c r="P171" s="32">
        <f t="shared" si="5"/>
        <v>1169</v>
      </c>
      <c r="Q171" s="22">
        <v>0.0</v>
      </c>
      <c r="R171" s="32">
        <f t="shared" si="6"/>
        <v>233.8</v>
      </c>
      <c r="S171" s="33" t="s">
        <v>29</v>
      </c>
      <c r="T171" s="33" t="s">
        <v>30</v>
      </c>
      <c r="U171" s="38" t="s">
        <v>45</v>
      </c>
      <c r="V171" s="35"/>
      <c r="W171" s="7"/>
      <c r="X171" s="7"/>
      <c r="Y171" s="7"/>
      <c r="Z171" s="7"/>
      <c r="AA171" s="7"/>
    </row>
    <row r="172" ht="18.75" customHeight="1">
      <c r="A172" s="8" t="s">
        <v>130</v>
      </c>
      <c r="B172" s="53" t="s">
        <v>131</v>
      </c>
      <c r="C172" s="9" t="s">
        <v>150</v>
      </c>
      <c r="D172" s="10">
        <v>1555.0</v>
      </c>
      <c r="E172" s="8" t="s">
        <v>328</v>
      </c>
      <c r="F172" s="11" t="s">
        <v>26</v>
      </c>
      <c r="G172" s="12" t="s">
        <v>27</v>
      </c>
      <c r="H172" s="13">
        <v>22652.48</v>
      </c>
      <c r="I172" s="14">
        <v>10.0</v>
      </c>
      <c r="J172" s="15" t="s">
        <v>28</v>
      </c>
      <c r="K172" s="16">
        <v>0.4</v>
      </c>
      <c r="L172" s="17">
        <f t="shared" si="1"/>
        <v>4</v>
      </c>
      <c r="M172" s="17">
        <f t="shared" si="2"/>
        <v>6</v>
      </c>
      <c r="N172" s="18">
        <f t="shared" si="3"/>
        <v>9060.992</v>
      </c>
      <c r="O172" s="18">
        <f t="shared" si="4"/>
        <v>13591.488</v>
      </c>
      <c r="P172" s="18">
        <f t="shared" si="5"/>
        <v>13591.488</v>
      </c>
      <c r="Q172" s="8">
        <v>0.0</v>
      </c>
      <c r="R172" s="18">
        <f t="shared" si="6"/>
        <v>2265.248</v>
      </c>
      <c r="S172" s="19" t="s">
        <v>29</v>
      </c>
      <c r="T172" s="19" t="s">
        <v>30</v>
      </c>
      <c r="U172" s="20" t="s">
        <v>50</v>
      </c>
      <c r="V172" s="37"/>
      <c r="W172" s="7"/>
      <c r="X172" s="7"/>
      <c r="Y172" s="7"/>
      <c r="Z172" s="7"/>
      <c r="AA172" s="7"/>
    </row>
    <row r="173" ht="18.75" customHeight="1">
      <c r="A173" s="22" t="s">
        <v>130</v>
      </c>
      <c r="B173" s="54" t="s">
        <v>131</v>
      </c>
      <c r="C173" s="23" t="s">
        <v>145</v>
      </c>
      <c r="D173" s="24">
        <v>1556.0</v>
      </c>
      <c r="E173" s="22" t="s">
        <v>279</v>
      </c>
      <c r="F173" s="25" t="s">
        <v>26</v>
      </c>
      <c r="G173" s="26" t="s">
        <v>27</v>
      </c>
      <c r="H173" s="27">
        <v>1897.0</v>
      </c>
      <c r="I173" s="28">
        <v>10.0</v>
      </c>
      <c r="J173" s="29" t="s">
        <v>54</v>
      </c>
      <c r="K173" s="30">
        <v>0.3</v>
      </c>
      <c r="L173" s="31">
        <f t="shared" si="1"/>
        <v>3</v>
      </c>
      <c r="M173" s="31">
        <f t="shared" si="2"/>
        <v>7</v>
      </c>
      <c r="N173" s="32">
        <f t="shared" si="3"/>
        <v>569.1</v>
      </c>
      <c r="O173" s="32">
        <f t="shared" si="4"/>
        <v>1327.9</v>
      </c>
      <c r="P173" s="32">
        <f t="shared" si="5"/>
        <v>1327.9</v>
      </c>
      <c r="Q173" s="22">
        <v>0.0</v>
      </c>
      <c r="R173" s="32">
        <f t="shared" si="6"/>
        <v>189.7</v>
      </c>
      <c r="S173" s="33" t="s">
        <v>29</v>
      </c>
      <c r="T173" s="33" t="s">
        <v>30</v>
      </c>
      <c r="U173" s="34" t="s">
        <v>43</v>
      </c>
      <c r="V173" s="35"/>
      <c r="W173" s="7"/>
      <c r="X173" s="7"/>
      <c r="Y173" s="7"/>
      <c r="Z173" s="7"/>
      <c r="AA173" s="7"/>
    </row>
    <row r="174" ht="18.75" customHeight="1">
      <c r="A174" s="8" t="s">
        <v>130</v>
      </c>
      <c r="B174" s="53" t="s">
        <v>131</v>
      </c>
      <c r="C174" s="9" t="s">
        <v>145</v>
      </c>
      <c r="D174" s="10">
        <v>1557.0</v>
      </c>
      <c r="E174" s="8" t="s">
        <v>329</v>
      </c>
      <c r="F174" s="11" t="s">
        <v>26</v>
      </c>
      <c r="G174" s="12" t="s">
        <v>27</v>
      </c>
      <c r="H174" s="13">
        <v>1351.57</v>
      </c>
      <c r="I174" s="14">
        <v>10.0</v>
      </c>
      <c r="J174" s="15" t="s">
        <v>28</v>
      </c>
      <c r="K174" s="16">
        <v>0.4</v>
      </c>
      <c r="L174" s="17">
        <f t="shared" si="1"/>
        <v>4</v>
      </c>
      <c r="M174" s="17">
        <f t="shared" si="2"/>
        <v>6</v>
      </c>
      <c r="N174" s="18">
        <f t="shared" si="3"/>
        <v>540.628</v>
      </c>
      <c r="O174" s="18">
        <f t="shared" si="4"/>
        <v>810.942</v>
      </c>
      <c r="P174" s="18">
        <f t="shared" si="5"/>
        <v>810.942</v>
      </c>
      <c r="Q174" s="8">
        <v>0.0</v>
      </c>
      <c r="R174" s="18">
        <f t="shared" si="6"/>
        <v>135.157</v>
      </c>
      <c r="S174" s="19" t="s">
        <v>29</v>
      </c>
      <c r="T174" s="19" t="s">
        <v>30</v>
      </c>
      <c r="U174" s="20" t="s">
        <v>41</v>
      </c>
      <c r="V174" s="37"/>
      <c r="W174" s="7"/>
      <c r="X174" s="7"/>
      <c r="Y174" s="7"/>
      <c r="Z174" s="7"/>
      <c r="AA174" s="7"/>
    </row>
    <row r="175" ht="18.75" customHeight="1">
      <c r="A175" s="22" t="s">
        <v>130</v>
      </c>
      <c r="B175" s="54" t="s">
        <v>131</v>
      </c>
      <c r="C175" s="23" t="s">
        <v>145</v>
      </c>
      <c r="D175" s="24">
        <v>1558.0</v>
      </c>
      <c r="E175" s="22" t="s">
        <v>330</v>
      </c>
      <c r="F175" s="25" t="s">
        <v>26</v>
      </c>
      <c r="G175" s="26" t="s">
        <v>27</v>
      </c>
      <c r="H175" s="56">
        <v>840.42</v>
      </c>
      <c r="I175" s="28">
        <v>10.0</v>
      </c>
      <c r="J175" s="29" t="s">
        <v>38</v>
      </c>
      <c r="K175" s="30">
        <v>0.5</v>
      </c>
      <c r="L175" s="31">
        <f t="shared" si="1"/>
        <v>5</v>
      </c>
      <c r="M175" s="31">
        <f t="shared" si="2"/>
        <v>5</v>
      </c>
      <c r="N175" s="32">
        <f t="shared" si="3"/>
        <v>420.21</v>
      </c>
      <c r="O175" s="32">
        <f t="shared" si="4"/>
        <v>420.21</v>
      </c>
      <c r="P175" s="32">
        <f t="shared" si="5"/>
        <v>420.21</v>
      </c>
      <c r="Q175" s="22">
        <v>0.0</v>
      </c>
      <c r="R175" s="32">
        <f t="shared" si="6"/>
        <v>84.042</v>
      </c>
      <c r="S175" s="33" t="s">
        <v>29</v>
      </c>
      <c r="T175" s="33" t="s">
        <v>30</v>
      </c>
      <c r="U175" s="34" t="s">
        <v>102</v>
      </c>
      <c r="V175" s="35"/>
      <c r="W175" s="7"/>
      <c r="X175" s="7"/>
      <c r="Y175" s="7"/>
      <c r="Z175" s="7"/>
      <c r="AA175" s="7"/>
    </row>
    <row r="176" ht="18.75" customHeight="1">
      <c r="A176" s="8" t="s">
        <v>130</v>
      </c>
      <c r="B176" s="53" t="s">
        <v>131</v>
      </c>
      <c r="C176" s="9" t="s">
        <v>236</v>
      </c>
      <c r="D176" s="10">
        <v>1559.0</v>
      </c>
      <c r="E176" s="8" t="s">
        <v>331</v>
      </c>
      <c r="F176" s="11" t="s">
        <v>26</v>
      </c>
      <c r="G176" s="12" t="s">
        <v>27</v>
      </c>
      <c r="H176" s="55">
        <v>1260.63</v>
      </c>
      <c r="I176" s="14">
        <v>10.0</v>
      </c>
      <c r="J176" s="15" t="s">
        <v>38</v>
      </c>
      <c r="K176" s="16">
        <v>0.5</v>
      </c>
      <c r="L176" s="17">
        <f t="shared" si="1"/>
        <v>5</v>
      </c>
      <c r="M176" s="17">
        <f t="shared" si="2"/>
        <v>5</v>
      </c>
      <c r="N176" s="18">
        <f t="shared" si="3"/>
        <v>630.315</v>
      </c>
      <c r="O176" s="18">
        <f t="shared" si="4"/>
        <v>630.315</v>
      </c>
      <c r="P176" s="18">
        <f t="shared" si="5"/>
        <v>630.315</v>
      </c>
      <c r="Q176" s="8">
        <v>0.0</v>
      </c>
      <c r="R176" s="18">
        <f t="shared" si="6"/>
        <v>126.063</v>
      </c>
      <c r="S176" s="19" t="s">
        <v>29</v>
      </c>
      <c r="T176" s="19" t="s">
        <v>30</v>
      </c>
      <c r="U176" s="20" t="s">
        <v>102</v>
      </c>
      <c r="V176" s="37"/>
      <c r="W176" s="7"/>
      <c r="X176" s="7"/>
      <c r="Y176" s="7"/>
      <c r="Z176" s="7"/>
      <c r="AA176" s="7"/>
    </row>
    <row r="177" ht="18.75" customHeight="1">
      <c r="A177" s="22" t="s">
        <v>130</v>
      </c>
      <c r="B177" s="54" t="s">
        <v>131</v>
      </c>
      <c r="C177" s="23" t="s">
        <v>282</v>
      </c>
      <c r="D177" s="24">
        <v>1561.0</v>
      </c>
      <c r="E177" s="22" t="s">
        <v>332</v>
      </c>
      <c r="F177" s="25" t="s">
        <v>26</v>
      </c>
      <c r="G177" s="26" t="s">
        <v>27</v>
      </c>
      <c r="H177" s="27">
        <v>6246.9</v>
      </c>
      <c r="I177" s="28">
        <v>5.0</v>
      </c>
      <c r="J177" s="29" t="s">
        <v>38</v>
      </c>
      <c r="K177" s="30">
        <v>0.5</v>
      </c>
      <c r="L177" s="31">
        <f t="shared" si="1"/>
        <v>2.5</v>
      </c>
      <c r="M177" s="31">
        <f t="shared" si="2"/>
        <v>2.5</v>
      </c>
      <c r="N177" s="32">
        <f t="shared" si="3"/>
        <v>3123.45</v>
      </c>
      <c r="O177" s="32">
        <f t="shared" si="4"/>
        <v>3123.45</v>
      </c>
      <c r="P177" s="32">
        <f t="shared" si="5"/>
        <v>3123.45</v>
      </c>
      <c r="Q177" s="22">
        <v>0.0</v>
      </c>
      <c r="R177" s="32">
        <f t="shared" si="6"/>
        <v>1249.38</v>
      </c>
      <c r="S177" s="33" t="s">
        <v>29</v>
      </c>
      <c r="T177" s="33" t="s">
        <v>30</v>
      </c>
      <c r="U177" s="34" t="s">
        <v>333</v>
      </c>
      <c r="V177" s="35"/>
      <c r="W177" s="7"/>
      <c r="X177" s="7"/>
      <c r="Y177" s="7"/>
      <c r="Z177" s="7"/>
      <c r="AA177" s="7"/>
    </row>
    <row r="178" ht="18.75" customHeight="1">
      <c r="A178" s="8" t="s">
        <v>130</v>
      </c>
      <c r="B178" s="53" t="s">
        <v>131</v>
      </c>
      <c r="C178" s="9" t="s">
        <v>192</v>
      </c>
      <c r="D178" s="58">
        <v>1723.0</v>
      </c>
      <c r="E178" s="8" t="s">
        <v>334</v>
      </c>
      <c r="F178" s="11" t="s">
        <v>202</v>
      </c>
      <c r="G178" s="12" t="s">
        <v>27</v>
      </c>
      <c r="H178" s="13">
        <v>143.57</v>
      </c>
      <c r="I178" s="14">
        <v>5.0</v>
      </c>
      <c r="J178" s="15" t="s">
        <v>54</v>
      </c>
      <c r="K178" s="16">
        <v>0.3</v>
      </c>
      <c r="L178" s="17">
        <f t="shared" si="1"/>
        <v>1.5</v>
      </c>
      <c r="M178" s="17">
        <f t="shared" si="2"/>
        <v>3.5</v>
      </c>
      <c r="N178" s="18">
        <f t="shared" si="3"/>
        <v>43.071</v>
      </c>
      <c r="O178" s="18">
        <f t="shared" si="4"/>
        <v>100.499</v>
      </c>
      <c r="P178" s="18">
        <f t="shared" si="5"/>
        <v>100.499</v>
      </c>
      <c r="Q178" s="8">
        <v>0.0</v>
      </c>
      <c r="R178" s="18">
        <f t="shared" si="6"/>
        <v>28.714</v>
      </c>
      <c r="S178" s="19" t="s">
        <v>29</v>
      </c>
      <c r="T178" s="19" t="s">
        <v>30</v>
      </c>
      <c r="U178" s="20" t="s">
        <v>335</v>
      </c>
      <c r="V178" s="37"/>
      <c r="W178" s="49"/>
      <c r="X178" s="49"/>
      <c r="Y178" s="49"/>
      <c r="Z178" s="49"/>
      <c r="AA178" s="49"/>
    </row>
    <row r="179" ht="18.75" customHeight="1">
      <c r="A179" s="22" t="s">
        <v>130</v>
      </c>
      <c r="B179" s="54" t="s">
        <v>131</v>
      </c>
      <c r="C179" s="23" t="s">
        <v>24</v>
      </c>
      <c r="D179" s="24">
        <v>1773.0</v>
      </c>
      <c r="E179" s="22" t="s">
        <v>336</v>
      </c>
      <c r="F179" s="25" t="s">
        <v>26</v>
      </c>
      <c r="G179" s="26" t="s">
        <v>27</v>
      </c>
      <c r="H179" s="27">
        <v>1583.6</v>
      </c>
      <c r="I179" s="28">
        <v>10.0</v>
      </c>
      <c r="J179" s="29" t="s">
        <v>38</v>
      </c>
      <c r="K179" s="30">
        <v>0.5</v>
      </c>
      <c r="L179" s="31">
        <f t="shared" si="1"/>
        <v>5</v>
      </c>
      <c r="M179" s="31">
        <f t="shared" si="2"/>
        <v>5</v>
      </c>
      <c r="N179" s="32">
        <f t="shared" si="3"/>
        <v>791.8</v>
      </c>
      <c r="O179" s="32">
        <f t="shared" si="4"/>
        <v>791.8</v>
      </c>
      <c r="P179" s="32">
        <f t="shared" si="5"/>
        <v>791.8</v>
      </c>
      <c r="Q179" s="22">
        <v>0.0</v>
      </c>
      <c r="R179" s="32">
        <f t="shared" si="6"/>
        <v>158.36</v>
      </c>
      <c r="S179" s="33" t="s">
        <v>29</v>
      </c>
      <c r="T179" s="33" t="s">
        <v>30</v>
      </c>
      <c r="U179" s="34" t="s">
        <v>232</v>
      </c>
      <c r="V179" s="35"/>
      <c r="W179" s="7"/>
      <c r="X179" s="7"/>
      <c r="Y179" s="7"/>
      <c r="Z179" s="7"/>
      <c r="AA179" s="7"/>
    </row>
    <row r="180" ht="18.75" customHeight="1">
      <c r="A180" s="8" t="s">
        <v>130</v>
      </c>
      <c r="B180" s="53" t="s">
        <v>131</v>
      </c>
      <c r="C180" s="9" t="s">
        <v>230</v>
      </c>
      <c r="D180" s="10">
        <v>1774.0</v>
      </c>
      <c r="E180" s="8" t="s">
        <v>337</v>
      </c>
      <c r="F180" s="11" t="s">
        <v>37</v>
      </c>
      <c r="G180" s="12" t="s">
        <v>27</v>
      </c>
      <c r="H180" s="13">
        <v>885.9</v>
      </c>
      <c r="I180" s="14">
        <v>5.0</v>
      </c>
      <c r="J180" s="15" t="s">
        <v>54</v>
      </c>
      <c r="K180" s="16">
        <v>0.3</v>
      </c>
      <c r="L180" s="17">
        <f t="shared" si="1"/>
        <v>1.5</v>
      </c>
      <c r="M180" s="17">
        <f t="shared" si="2"/>
        <v>3.5</v>
      </c>
      <c r="N180" s="18">
        <f t="shared" si="3"/>
        <v>265.77</v>
      </c>
      <c r="O180" s="18">
        <f t="shared" si="4"/>
        <v>620.13</v>
      </c>
      <c r="P180" s="18">
        <f t="shared" si="5"/>
        <v>620.13</v>
      </c>
      <c r="Q180" s="8">
        <v>0.0</v>
      </c>
      <c r="R180" s="18">
        <f t="shared" si="6"/>
        <v>177.18</v>
      </c>
      <c r="S180" s="19" t="s">
        <v>29</v>
      </c>
      <c r="T180" s="19" t="s">
        <v>30</v>
      </c>
      <c r="U180" s="20" t="s">
        <v>338</v>
      </c>
      <c r="V180" s="37"/>
      <c r="W180" s="7"/>
      <c r="X180" s="7"/>
      <c r="Y180" s="7"/>
      <c r="Z180" s="7"/>
      <c r="AA180" s="7"/>
    </row>
    <row r="181" ht="18.75" customHeight="1">
      <c r="A181" s="22" t="s">
        <v>130</v>
      </c>
      <c r="B181" s="54" t="s">
        <v>131</v>
      </c>
      <c r="C181" s="23" t="s">
        <v>24</v>
      </c>
      <c r="D181" s="24">
        <v>1775.0</v>
      </c>
      <c r="E181" s="22" t="s">
        <v>339</v>
      </c>
      <c r="F181" s="25" t="s">
        <v>26</v>
      </c>
      <c r="G181" s="26" t="s">
        <v>27</v>
      </c>
      <c r="H181" s="27">
        <v>798.0</v>
      </c>
      <c r="I181" s="28">
        <v>5.0</v>
      </c>
      <c r="J181" s="29" t="s">
        <v>38</v>
      </c>
      <c r="K181" s="30">
        <v>0.5</v>
      </c>
      <c r="L181" s="31">
        <f t="shared" si="1"/>
        <v>2.5</v>
      </c>
      <c r="M181" s="31">
        <f t="shared" si="2"/>
        <v>2.5</v>
      </c>
      <c r="N181" s="32">
        <f t="shared" si="3"/>
        <v>399</v>
      </c>
      <c r="O181" s="32">
        <f t="shared" si="4"/>
        <v>399</v>
      </c>
      <c r="P181" s="32">
        <f t="shared" si="5"/>
        <v>399</v>
      </c>
      <c r="Q181" s="22">
        <v>0.0</v>
      </c>
      <c r="R181" s="32">
        <f t="shared" si="6"/>
        <v>159.6</v>
      </c>
      <c r="S181" s="33" t="s">
        <v>29</v>
      </c>
      <c r="T181" s="33" t="s">
        <v>30</v>
      </c>
      <c r="U181" s="34" t="s">
        <v>111</v>
      </c>
      <c r="V181" s="35"/>
      <c r="W181" s="7"/>
      <c r="X181" s="7"/>
      <c r="Y181" s="7"/>
      <c r="Z181" s="7"/>
      <c r="AA181" s="7"/>
    </row>
    <row r="182" ht="18.75" customHeight="1">
      <c r="A182" s="8" t="s">
        <v>130</v>
      </c>
      <c r="B182" s="53" t="s">
        <v>131</v>
      </c>
      <c r="C182" s="9" t="s">
        <v>209</v>
      </c>
      <c r="D182" s="10">
        <v>1776.0</v>
      </c>
      <c r="E182" s="8" t="s">
        <v>340</v>
      </c>
      <c r="F182" s="11" t="s">
        <v>37</v>
      </c>
      <c r="G182" s="12" t="s">
        <v>27</v>
      </c>
      <c r="H182" s="13">
        <v>233.99</v>
      </c>
      <c r="I182" s="14">
        <v>10.0</v>
      </c>
      <c r="J182" s="15" t="s">
        <v>54</v>
      </c>
      <c r="K182" s="16">
        <v>0.3</v>
      </c>
      <c r="L182" s="17">
        <f t="shared" si="1"/>
        <v>3</v>
      </c>
      <c r="M182" s="17">
        <f t="shared" si="2"/>
        <v>7</v>
      </c>
      <c r="N182" s="18">
        <f t="shared" si="3"/>
        <v>70.197</v>
      </c>
      <c r="O182" s="18">
        <f t="shared" si="4"/>
        <v>163.793</v>
      </c>
      <c r="P182" s="18">
        <f t="shared" si="5"/>
        <v>163.793</v>
      </c>
      <c r="Q182" s="8">
        <v>0.0</v>
      </c>
      <c r="R182" s="18">
        <f t="shared" si="6"/>
        <v>23.399</v>
      </c>
      <c r="S182" s="19" t="s">
        <v>29</v>
      </c>
      <c r="T182" s="19" t="s">
        <v>30</v>
      </c>
      <c r="U182" s="20" t="s">
        <v>75</v>
      </c>
      <c r="V182" s="37"/>
      <c r="W182" s="7"/>
      <c r="X182" s="7"/>
      <c r="Y182" s="7"/>
      <c r="Z182" s="7"/>
      <c r="AA182" s="7"/>
    </row>
    <row r="183" ht="18.75" customHeight="1">
      <c r="A183" s="22" t="s">
        <v>130</v>
      </c>
      <c r="B183" s="54" t="s">
        <v>131</v>
      </c>
      <c r="C183" s="23" t="s">
        <v>150</v>
      </c>
      <c r="D183" s="24">
        <v>1777.0</v>
      </c>
      <c r="E183" s="22" t="s">
        <v>341</v>
      </c>
      <c r="F183" s="25" t="s">
        <v>37</v>
      </c>
      <c r="G183" s="26" t="s">
        <v>27</v>
      </c>
      <c r="H183" s="27">
        <v>1053.62</v>
      </c>
      <c r="I183" s="28">
        <v>10.0</v>
      </c>
      <c r="J183" s="29" t="s">
        <v>54</v>
      </c>
      <c r="K183" s="30">
        <v>0.3</v>
      </c>
      <c r="L183" s="31">
        <f t="shared" si="1"/>
        <v>3</v>
      </c>
      <c r="M183" s="31">
        <f t="shared" si="2"/>
        <v>7</v>
      </c>
      <c r="N183" s="32">
        <f t="shared" si="3"/>
        <v>316.086</v>
      </c>
      <c r="O183" s="32">
        <f t="shared" si="4"/>
        <v>737.534</v>
      </c>
      <c r="P183" s="32">
        <f t="shared" si="5"/>
        <v>737.534</v>
      </c>
      <c r="Q183" s="22">
        <v>0.0</v>
      </c>
      <c r="R183" s="32">
        <f t="shared" si="6"/>
        <v>105.362</v>
      </c>
      <c r="S183" s="33" t="s">
        <v>29</v>
      </c>
      <c r="T183" s="33" t="s">
        <v>30</v>
      </c>
      <c r="U183" s="34" t="s">
        <v>342</v>
      </c>
      <c r="V183" s="35"/>
      <c r="W183" s="7"/>
      <c r="X183" s="7"/>
      <c r="Y183" s="7"/>
      <c r="Z183" s="7"/>
      <c r="AA183" s="7"/>
    </row>
    <row r="184" ht="18.75" customHeight="1">
      <c r="A184" s="8" t="s">
        <v>130</v>
      </c>
      <c r="B184" s="53" t="s">
        <v>131</v>
      </c>
      <c r="C184" s="9" t="s">
        <v>150</v>
      </c>
      <c r="D184" s="10">
        <v>1778.0</v>
      </c>
      <c r="E184" s="8" t="s">
        <v>343</v>
      </c>
      <c r="F184" s="11" t="s">
        <v>26</v>
      </c>
      <c r="G184" s="12" t="s">
        <v>27</v>
      </c>
      <c r="H184" s="13">
        <v>328.8</v>
      </c>
      <c r="I184" s="14">
        <v>5.0</v>
      </c>
      <c r="J184" s="15" t="s">
        <v>54</v>
      </c>
      <c r="K184" s="16">
        <v>0.3</v>
      </c>
      <c r="L184" s="17">
        <f t="shared" si="1"/>
        <v>1.5</v>
      </c>
      <c r="M184" s="17">
        <f t="shared" si="2"/>
        <v>3.5</v>
      </c>
      <c r="N184" s="18">
        <f t="shared" si="3"/>
        <v>98.64</v>
      </c>
      <c r="O184" s="18">
        <f t="shared" si="4"/>
        <v>230.16</v>
      </c>
      <c r="P184" s="18">
        <f t="shared" si="5"/>
        <v>230.16</v>
      </c>
      <c r="Q184" s="8">
        <v>0.0</v>
      </c>
      <c r="R184" s="18">
        <f t="shared" si="6"/>
        <v>65.76</v>
      </c>
      <c r="S184" s="19" t="s">
        <v>29</v>
      </c>
      <c r="T184" s="19" t="s">
        <v>30</v>
      </c>
      <c r="U184" s="20" t="s">
        <v>344</v>
      </c>
      <c r="V184" s="37"/>
      <c r="W184" s="7"/>
      <c r="X184" s="7"/>
      <c r="Y184" s="7"/>
      <c r="Z184" s="7"/>
      <c r="AA184" s="7"/>
    </row>
    <row r="185" ht="18.75" customHeight="1">
      <c r="A185" s="22" t="s">
        <v>130</v>
      </c>
      <c r="B185" s="54" t="s">
        <v>131</v>
      </c>
      <c r="C185" s="23" t="s">
        <v>145</v>
      </c>
      <c r="D185" s="24">
        <v>1779.0</v>
      </c>
      <c r="E185" s="22" t="s">
        <v>345</v>
      </c>
      <c r="F185" s="25" t="s">
        <v>37</v>
      </c>
      <c r="G185" s="26" t="s">
        <v>27</v>
      </c>
      <c r="H185" s="27">
        <v>1044.42</v>
      </c>
      <c r="I185" s="28">
        <v>10.0</v>
      </c>
      <c r="J185" s="29" t="s">
        <v>54</v>
      </c>
      <c r="K185" s="30">
        <v>0.3</v>
      </c>
      <c r="L185" s="31">
        <f t="shared" si="1"/>
        <v>3</v>
      </c>
      <c r="M185" s="31">
        <f t="shared" si="2"/>
        <v>7</v>
      </c>
      <c r="N185" s="32">
        <f t="shared" si="3"/>
        <v>313.326</v>
      </c>
      <c r="O185" s="32">
        <f t="shared" si="4"/>
        <v>731.094</v>
      </c>
      <c r="P185" s="32">
        <f t="shared" si="5"/>
        <v>731.094</v>
      </c>
      <c r="Q185" s="22">
        <v>0.0</v>
      </c>
      <c r="R185" s="32">
        <f t="shared" si="6"/>
        <v>104.442</v>
      </c>
      <c r="S185" s="33" t="s">
        <v>29</v>
      </c>
      <c r="T185" s="33" t="s">
        <v>30</v>
      </c>
      <c r="U185" s="34" t="s">
        <v>346</v>
      </c>
      <c r="V185" s="35"/>
      <c r="W185" s="49"/>
      <c r="X185" s="49"/>
      <c r="Y185" s="49"/>
      <c r="Z185" s="49"/>
      <c r="AA185" s="49"/>
    </row>
    <row r="186" ht="18.75" customHeight="1">
      <c r="A186" s="8" t="s">
        <v>130</v>
      </c>
      <c r="B186" s="53" t="s">
        <v>131</v>
      </c>
      <c r="C186" s="9" t="s">
        <v>199</v>
      </c>
      <c r="D186" s="10">
        <v>1813.0</v>
      </c>
      <c r="E186" s="8" t="s">
        <v>347</v>
      </c>
      <c r="F186" s="11" t="s">
        <v>37</v>
      </c>
      <c r="G186" s="12" t="s">
        <v>27</v>
      </c>
      <c r="H186" s="13">
        <v>1156.0</v>
      </c>
      <c r="I186" s="14">
        <v>10.0</v>
      </c>
      <c r="J186" s="15" t="s">
        <v>54</v>
      </c>
      <c r="K186" s="16">
        <v>0.3</v>
      </c>
      <c r="L186" s="17">
        <f t="shared" si="1"/>
        <v>3</v>
      </c>
      <c r="M186" s="17">
        <f t="shared" si="2"/>
        <v>7</v>
      </c>
      <c r="N186" s="18">
        <f t="shared" si="3"/>
        <v>346.8</v>
      </c>
      <c r="O186" s="18">
        <f t="shared" si="4"/>
        <v>809.2</v>
      </c>
      <c r="P186" s="18">
        <f t="shared" si="5"/>
        <v>809.2</v>
      </c>
      <c r="Q186" s="8">
        <v>0.0</v>
      </c>
      <c r="R186" s="18">
        <f t="shared" si="6"/>
        <v>115.6</v>
      </c>
      <c r="S186" s="19" t="s">
        <v>29</v>
      </c>
      <c r="T186" s="19" t="s">
        <v>30</v>
      </c>
      <c r="U186" s="20" t="s">
        <v>207</v>
      </c>
      <c r="V186" s="37"/>
      <c r="W186" s="7"/>
      <c r="X186" s="7"/>
      <c r="Y186" s="7"/>
      <c r="Z186" s="7"/>
      <c r="AA186" s="7"/>
    </row>
    <row r="187" ht="18.75" customHeight="1">
      <c r="A187" s="22" t="s">
        <v>130</v>
      </c>
      <c r="B187" s="54" t="s">
        <v>131</v>
      </c>
      <c r="C187" s="23" t="s">
        <v>24</v>
      </c>
      <c r="D187" s="24">
        <v>1816.0</v>
      </c>
      <c r="E187" s="22" t="s">
        <v>348</v>
      </c>
      <c r="F187" s="25" t="s">
        <v>37</v>
      </c>
      <c r="G187" s="26" t="s">
        <v>27</v>
      </c>
      <c r="H187" s="27">
        <v>129.97</v>
      </c>
      <c r="I187" s="28">
        <v>10.0</v>
      </c>
      <c r="J187" s="29" t="s">
        <v>54</v>
      </c>
      <c r="K187" s="30">
        <v>0.3</v>
      </c>
      <c r="L187" s="31">
        <f t="shared" si="1"/>
        <v>3</v>
      </c>
      <c r="M187" s="31">
        <f t="shared" si="2"/>
        <v>7</v>
      </c>
      <c r="N187" s="32">
        <f t="shared" si="3"/>
        <v>38.991</v>
      </c>
      <c r="O187" s="32">
        <f t="shared" si="4"/>
        <v>90.979</v>
      </c>
      <c r="P187" s="32">
        <f t="shared" si="5"/>
        <v>90.979</v>
      </c>
      <c r="Q187" s="22">
        <v>0.0</v>
      </c>
      <c r="R187" s="32">
        <f t="shared" si="6"/>
        <v>12.997</v>
      </c>
      <c r="S187" s="33" t="s">
        <v>29</v>
      </c>
      <c r="T187" s="33" t="s">
        <v>30</v>
      </c>
      <c r="U187" s="34" t="s">
        <v>349</v>
      </c>
      <c r="V187" s="35"/>
      <c r="W187" s="7"/>
      <c r="X187" s="7"/>
      <c r="Y187" s="7"/>
      <c r="Z187" s="7"/>
      <c r="AA187" s="7"/>
    </row>
    <row r="188" ht="18.75" customHeight="1">
      <c r="A188" s="8" t="s">
        <v>130</v>
      </c>
      <c r="B188" s="53" t="s">
        <v>131</v>
      </c>
      <c r="C188" s="9" t="s">
        <v>236</v>
      </c>
      <c r="D188" s="10">
        <v>1817.0</v>
      </c>
      <c r="E188" s="8" t="s">
        <v>350</v>
      </c>
      <c r="F188" s="11" t="s">
        <v>26</v>
      </c>
      <c r="G188" s="12" t="s">
        <v>27</v>
      </c>
      <c r="H188" s="13">
        <v>235.03</v>
      </c>
      <c r="I188" s="14">
        <v>10.0</v>
      </c>
      <c r="J188" s="15" t="s">
        <v>28</v>
      </c>
      <c r="K188" s="16">
        <v>0.4</v>
      </c>
      <c r="L188" s="17">
        <f t="shared" si="1"/>
        <v>4</v>
      </c>
      <c r="M188" s="17">
        <f t="shared" si="2"/>
        <v>6</v>
      </c>
      <c r="N188" s="18">
        <f t="shared" si="3"/>
        <v>94.012</v>
      </c>
      <c r="O188" s="18">
        <f t="shared" si="4"/>
        <v>141.018</v>
      </c>
      <c r="P188" s="18">
        <f t="shared" si="5"/>
        <v>141.018</v>
      </c>
      <c r="Q188" s="8">
        <v>0.0</v>
      </c>
      <c r="R188" s="18">
        <f t="shared" si="6"/>
        <v>23.503</v>
      </c>
      <c r="S188" s="19" t="s">
        <v>29</v>
      </c>
      <c r="T188" s="19" t="s">
        <v>30</v>
      </c>
      <c r="U188" s="20" t="s">
        <v>96</v>
      </c>
      <c r="V188" s="37"/>
      <c r="W188" s="49"/>
      <c r="X188" s="49"/>
      <c r="Y188" s="49"/>
      <c r="Z188" s="49"/>
      <c r="AA188" s="49"/>
    </row>
    <row r="189" ht="18.75" customHeight="1">
      <c r="A189" s="22" t="s">
        <v>130</v>
      </c>
      <c r="B189" s="54" t="s">
        <v>131</v>
      </c>
      <c r="C189" s="23" t="s">
        <v>209</v>
      </c>
      <c r="D189" s="24">
        <v>1819.0</v>
      </c>
      <c r="E189" s="22" t="s">
        <v>351</v>
      </c>
      <c r="F189" s="25" t="s">
        <v>26</v>
      </c>
      <c r="G189" s="26" t="s">
        <v>27</v>
      </c>
      <c r="H189" s="56">
        <v>840.42</v>
      </c>
      <c r="I189" s="28">
        <v>10.0</v>
      </c>
      <c r="J189" s="29" t="s">
        <v>54</v>
      </c>
      <c r="K189" s="30">
        <v>0.3</v>
      </c>
      <c r="L189" s="31">
        <f t="shared" si="1"/>
        <v>3</v>
      </c>
      <c r="M189" s="31">
        <f t="shared" si="2"/>
        <v>7</v>
      </c>
      <c r="N189" s="32">
        <f t="shared" si="3"/>
        <v>252.126</v>
      </c>
      <c r="O189" s="32">
        <f t="shared" si="4"/>
        <v>588.294</v>
      </c>
      <c r="P189" s="32">
        <f t="shared" si="5"/>
        <v>588.294</v>
      </c>
      <c r="Q189" s="22">
        <v>0.0</v>
      </c>
      <c r="R189" s="32">
        <f t="shared" si="6"/>
        <v>84.042</v>
      </c>
      <c r="S189" s="33" t="s">
        <v>29</v>
      </c>
      <c r="T189" s="33" t="s">
        <v>30</v>
      </c>
      <c r="U189" s="34" t="s">
        <v>102</v>
      </c>
      <c r="V189" s="35"/>
      <c r="W189" s="49"/>
      <c r="X189" s="49"/>
      <c r="Y189" s="49"/>
      <c r="Z189" s="49"/>
      <c r="AA189" s="49"/>
    </row>
    <row r="190" ht="18.75" customHeight="1">
      <c r="A190" s="8" t="s">
        <v>130</v>
      </c>
      <c r="B190" s="53" t="s">
        <v>131</v>
      </c>
      <c r="C190" s="9" t="s">
        <v>209</v>
      </c>
      <c r="D190" s="10">
        <v>1820.0</v>
      </c>
      <c r="E190" s="8" t="s">
        <v>352</v>
      </c>
      <c r="F190" s="11" t="s">
        <v>26</v>
      </c>
      <c r="G190" s="12" t="s">
        <v>27</v>
      </c>
      <c r="H190" s="55">
        <v>1260.63</v>
      </c>
      <c r="I190" s="14">
        <v>10.0</v>
      </c>
      <c r="J190" s="15" t="s">
        <v>54</v>
      </c>
      <c r="K190" s="16">
        <v>0.3</v>
      </c>
      <c r="L190" s="17">
        <f t="shared" si="1"/>
        <v>3</v>
      </c>
      <c r="M190" s="17">
        <f t="shared" si="2"/>
        <v>7</v>
      </c>
      <c r="N190" s="18">
        <f t="shared" si="3"/>
        <v>378.189</v>
      </c>
      <c r="O190" s="18">
        <f t="shared" si="4"/>
        <v>882.441</v>
      </c>
      <c r="P190" s="18">
        <f t="shared" si="5"/>
        <v>882.441</v>
      </c>
      <c r="Q190" s="8">
        <v>0.0</v>
      </c>
      <c r="R190" s="18">
        <f t="shared" si="6"/>
        <v>126.063</v>
      </c>
      <c r="S190" s="19" t="s">
        <v>29</v>
      </c>
      <c r="T190" s="19" t="s">
        <v>30</v>
      </c>
      <c r="U190" s="20" t="s">
        <v>102</v>
      </c>
      <c r="V190" s="37"/>
      <c r="W190" s="7"/>
      <c r="X190" s="7"/>
      <c r="Y190" s="7"/>
      <c r="Z190" s="7"/>
      <c r="AA190" s="7"/>
    </row>
    <row r="191" ht="18.75" customHeight="1">
      <c r="A191" s="22" t="s">
        <v>130</v>
      </c>
      <c r="B191" s="54" t="s">
        <v>131</v>
      </c>
      <c r="C191" s="23" t="s">
        <v>24</v>
      </c>
      <c r="D191" s="24">
        <v>1895.0</v>
      </c>
      <c r="E191" s="22" t="s">
        <v>353</v>
      </c>
      <c r="F191" s="25" t="s">
        <v>37</v>
      </c>
      <c r="G191" s="26" t="s">
        <v>27</v>
      </c>
      <c r="H191" s="27">
        <v>276.83</v>
      </c>
      <c r="I191" s="28">
        <v>10.0</v>
      </c>
      <c r="J191" s="29" t="s">
        <v>81</v>
      </c>
      <c r="K191" s="30">
        <v>0.15</v>
      </c>
      <c r="L191" s="31">
        <f t="shared" si="1"/>
        <v>1.5</v>
      </c>
      <c r="M191" s="31">
        <f t="shared" si="2"/>
        <v>8.5</v>
      </c>
      <c r="N191" s="32">
        <f t="shared" si="3"/>
        <v>41.5245</v>
      </c>
      <c r="O191" s="32">
        <f t="shared" si="4"/>
        <v>235.3055</v>
      </c>
      <c r="P191" s="32">
        <f t="shared" si="5"/>
        <v>235.3055</v>
      </c>
      <c r="Q191" s="22">
        <v>0.0</v>
      </c>
      <c r="R191" s="32">
        <f t="shared" si="6"/>
        <v>27.683</v>
      </c>
      <c r="S191" s="33" t="s">
        <v>29</v>
      </c>
      <c r="T191" s="33" t="s">
        <v>30</v>
      </c>
      <c r="U191" s="34" t="s">
        <v>354</v>
      </c>
      <c r="V191" s="35"/>
      <c r="W191" s="7"/>
      <c r="X191" s="7"/>
      <c r="Y191" s="7"/>
      <c r="Z191" s="7"/>
      <c r="AA191" s="7"/>
    </row>
    <row r="192" ht="18.75" customHeight="1">
      <c r="A192" s="8" t="s">
        <v>130</v>
      </c>
      <c r="B192" s="53" t="s">
        <v>131</v>
      </c>
      <c r="C192" s="9" t="s">
        <v>209</v>
      </c>
      <c r="D192" s="10">
        <v>1990.0</v>
      </c>
      <c r="E192" s="8" t="s">
        <v>355</v>
      </c>
      <c r="F192" s="11" t="s">
        <v>202</v>
      </c>
      <c r="G192" s="39"/>
      <c r="H192" s="13">
        <v>2469.9</v>
      </c>
      <c r="I192" s="14">
        <v>5.0</v>
      </c>
      <c r="J192" s="48" t="s">
        <v>63</v>
      </c>
      <c r="K192" s="59">
        <v>0.7</v>
      </c>
      <c r="L192" s="17">
        <f t="shared" si="1"/>
        <v>3.5</v>
      </c>
      <c r="M192" s="17">
        <f t="shared" si="2"/>
        <v>1.5</v>
      </c>
      <c r="N192" s="18">
        <f t="shared" si="3"/>
        <v>1728.93</v>
      </c>
      <c r="O192" s="18">
        <f t="shared" si="4"/>
        <v>740.97</v>
      </c>
      <c r="P192" s="18">
        <f t="shared" si="5"/>
        <v>740.97</v>
      </c>
      <c r="Q192" s="8">
        <v>0.0</v>
      </c>
      <c r="R192" s="18">
        <f t="shared" si="6"/>
        <v>493.98</v>
      </c>
      <c r="S192" s="19" t="s">
        <v>29</v>
      </c>
      <c r="T192" s="19" t="s">
        <v>30</v>
      </c>
      <c r="U192" s="36" t="s">
        <v>356</v>
      </c>
      <c r="V192" s="37"/>
      <c r="W192" s="49"/>
      <c r="X192" s="49"/>
      <c r="Y192" s="49"/>
      <c r="Z192" s="49"/>
      <c r="AA192" s="49"/>
    </row>
    <row r="193" ht="18.75" customHeight="1">
      <c r="A193" s="22" t="s">
        <v>130</v>
      </c>
      <c r="B193" s="54" t="s">
        <v>131</v>
      </c>
      <c r="C193" s="23" t="s">
        <v>282</v>
      </c>
      <c r="D193" s="24">
        <v>2062.0</v>
      </c>
      <c r="E193" s="22" t="s">
        <v>357</v>
      </c>
      <c r="F193" s="25" t="s">
        <v>26</v>
      </c>
      <c r="G193" s="26" t="s">
        <v>27</v>
      </c>
      <c r="H193" s="27">
        <v>4899.9</v>
      </c>
      <c r="I193" s="28">
        <v>5.0</v>
      </c>
      <c r="J193" s="29" t="s">
        <v>54</v>
      </c>
      <c r="K193" s="30">
        <v>0.3</v>
      </c>
      <c r="L193" s="31">
        <f t="shared" si="1"/>
        <v>1.5</v>
      </c>
      <c r="M193" s="31">
        <f t="shared" si="2"/>
        <v>3.5</v>
      </c>
      <c r="N193" s="32">
        <f t="shared" si="3"/>
        <v>1469.97</v>
      </c>
      <c r="O193" s="32">
        <f t="shared" si="4"/>
        <v>3429.93</v>
      </c>
      <c r="P193" s="32">
        <f t="shared" si="5"/>
        <v>3429.93</v>
      </c>
      <c r="Q193" s="22">
        <v>0.0</v>
      </c>
      <c r="R193" s="32">
        <f t="shared" si="6"/>
        <v>979.98</v>
      </c>
      <c r="S193" s="33" t="s">
        <v>29</v>
      </c>
      <c r="T193" s="33" t="s">
        <v>30</v>
      </c>
      <c r="U193" s="34" t="s">
        <v>67</v>
      </c>
      <c r="V193" s="35"/>
      <c r="W193" s="49"/>
      <c r="X193" s="49"/>
      <c r="Y193" s="49"/>
      <c r="Z193" s="49"/>
      <c r="AA193" s="49"/>
    </row>
    <row r="194" ht="18.75" customHeight="1">
      <c r="A194" s="8" t="s">
        <v>130</v>
      </c>
      <c r="B194" s="53" t="s">
        <v>131</v>
      </c>
      <c r="C194" s="9" t="s">
        <v>150</v>
      </c>
      <c r="D194" s="10">
        <v>2141.0</v>
      </c>
      <c r="E194" s="8" t="s">
        <v>358</v>
      </c>
      <c r="F194" s="11" t="s">
        <v>26</v>
      </c>
      <c r="G194" s="12" t="s">
        <v>27</v>
      </c>
      <c r="H194" s="13">
        <v>603.0</v>
      </c>
      <c r="I194" s="14">
        <v>5.0</v>
      </c>
      <c r="J194" s="15" t="s">
        <v>28</v>
      </c>
      <c r="K194" s="16">
        <v>0.4</v>
      </c>
      <c r="L194" s="17">
        <f t="shared" si="1"/>
        <v>2</v>
      </c>
      <c r="M194" s="17">
        <f t="shared" si="2"/>
        <v>3</v>
      </c>
      <c r="N194" s="18">
        <f t="shared" si="3"/>
        <v>241.2</v>
      </c>
      <c r="O194" s="18">
        <f t="shared" si="4"/>
        <v>361.8</v>
      </c>
      <c r="P194" s="18">
        <f t="shared" si="5"/>
        <v>361.8</v>
      </c>
      <c r="Q194" s="8">
        <v>0.0</v>
      </c>
      <c r="R194" s="18">
        <f t="shared" si="6"/>
        <v>120.6</v>
      </c>
      <c r="S194" s="19" t="s">
        <v>29</v>
      </c>
      <c r="T194" s="19" t="s">
        <v>30</v>
      </c>
      <c r="U194" s="20" t="s">
        <v>79</v>
      </c>
      <c r="V194" s="37"/>
      <c r="W194" s="49"/>
      <c r="X194" s="49"/>
      <c r="Y194" s="49"/>
      <c r="Z194" s="49"/>
      <c r="AA194" s="49"/>
    </row>
    <row r="195" ht="18.75" customHeight="1">
      <c r="A195" s="22" t="s">
        <v>130</v>
      </c>
      <c r="B195" s="54" t="s">
        <v>131</v>
      </c>
      <c r="C195" s="23" t="s">
        <v>237</v>
      </c>
      <c r="D195" s="24">
        <v>2148.0</v>
      </c>
      <c r="E195" s="22" t="s">
        <v>359</v>
      </c>
      <c r="F195" s="25" t="s">
        <v>202</v>
      </c>
      <c r="G195" s="26" t="s">
        <v>27</v>
      </c>
      <c r="H195" s="27">
        <v>764.99</v>
      </c>
      <c r="I195" s="28">
        <v>5.0</v>
      </c>
      <c r="J195" s="29" t="s">
        <v>54</v>
      </c>
      <c r="K195" s="30">
        <v>0.3</v>
      </c>
      <c r="L195" s="31">
        <f t="shared" si="1"/>
        <v>1.5</v>
      </c>
      <c r="M195" s="31">
        <f t="shared" si="2"/>
        <v>3.5</v>
      </c>
      <c r="N195" s="32">
        <f t="shared" si="3"/>
        <v>229.497</v>
      </c>
      <c r="O195" s="32">
        <f t="shared" si="4"/>
        <v>535.493</v>
      </c>
      <c r="P195" s="32">
        <f t="shared" si="5"/>
        <v>535.493</v>
      </c>
      <c r="Q195" s="22">
        <v>0.0</v>
      </c>
      <c r="R195" s="32">
        <f t="shared" si="6"/>
        <v>152.998</v>
      </c>
      <c r="S195" s="33" t="s">
        <v>29</v>
      </c>
      <c r="T195" s="33" t="s">
        <v>30</v>
      </c>
      <c r="U195" s="34" t="s">
        <v>203</v>
      </c>
      <c r="V195" s="35"/>
      <c r="W195" s="49"/>
      <c r="X195" s="49"/>
      <c r="Y195" s="49"/>
      <c r="Z195" s="49"/>
      <c r="AA195" s="49"/>
    </row>
    <row r="196" ht="18.75" customHeight="1">
      <c r="A196" s="8" t="s">
        <v>130</v>
      </c>
      <c r="B196" s="53" t="s">
        <v>131</v>
      </c>
      <c r="C196" s="9" t="s">
        <v>282</v>
      </c>
      <c r="D196" s="10">
        <v>2363.0</v>
      </c>
      <c r="E196" s="8" t="s">
        <v>360</v>
      </c>
      <c r="F196" s="11" t="s">
        <v>26</v>
      </c>
      <c r="G196" s="12" t="s">
        <v>27</v>
      </c>
      <c r="H196" s="13">
        <v>5264.86</v>
      </c>
      <c r="I196" s="14">
        <v>10.0</v>
      </c>
      <c r="J196" s="15" t="s">
        <v>54</v>
      </c>
      <c r="K196" s="16">
        <v>0.3</v>
      </c>
      <c r="L196" s="17">
        <f t="shared" si="1"/>
        <v>3</v>
      </c>
      <c r="M196" s="17">
        <f t="shared" si="2"/>
        <v>7</v>
      </c>
      <c r="N196" s="18">
        <f t="shared" si="3"/>
        <v>1579.458</v>
      </c>
      <c r="O196" s="18">
        <f t="shared" si="4"/>
        <v>3685.402</v>
      </c>
      <c r="P196" s="18">
        <f t="shared" si="5"/>
        <v>3685.402</v>
      </c>
      <c r="Q196" s="8">
        <v>0.0</v>
      </c>
      <c r="R196" s="18">
        <f t="shared" si="6"/>
        <v>526.486</v>
      </c>
      <c r="S196" s="19" t="s">
        <v>29</v>
      </c>
      <c r="T196" s="19" t="s">
        <v>30</v>
      </c>
      <c r="U196" s="20" t="s">
        <v>361</v>
      </c>
      <c r="V196" s="37"/>
      <c r="W196" s="7"/>
      <c r="X196" s="7"/>
      <c r="Y196" s="7"/>
      <c r="Z196" s="7"/>
      <c r="AA196" s="7"/>
    </row>
    <row r="197" ht="18.75" customHeight="1">
      <c r="A197" s="22" t="s">
        <v>130</v>
      </c>
      <c r="B197" s="54" t="s">
        <v>131</v>
      </c>
      <c r="C197" s="23" t="s">
        <v>199</v>
      </c>
      <c r="D197" s="24">
        <v>2365.0</v>
      </c>
      <c r="E197" s="22" t="s">
        <v>362</v>
      </c>
      <c r="F197" s="25" t="s">
        <v>37</v>
      </c>
      <c r="G197" s="26" t="s">
        <v>27</v>
      </c>
      <c r="H197" s="27">
        <v>546.9</v>
      </c>
      <c r="I197" s="28">
        <v>10.0</v>
      </c>
      <c r="J197" s="29" t="s">
        <v>38</v>
      </c>
      <c r="K197" s="30">
        <v>0.5</v>
      </c>
      <c r="L197" s="31">
        <f t="shared" si="1"/>
        <v>5</v>
      </c>
      <c r="M197" s="31">
        <f t="shared" si="2"/>
        <v>5</v>
      </c>
      <c r="N197" s="32">
        <f t="shared" si="3"/>
        <v>273.45</v>
      </c>
      <c r="O197" s="32">
        <f t="shared" si="4"/>
        <v>273.45</v>
      </c>
      <c r="P197" s="32">
        <f t="shared" si="5"/>
        <v>273.45</v>
      </c>
      <c r="Q197" s="22">
        <v>0.0</v>
      </c>
      <c r="R197" s="32">
        <f t="shared" si="6"/>
        <v>54.69</v>
      </c>
      <c r="S197" s="33" t="s">
        <v>29</v>
      </c>
      <c r="T197" s="33" t="s">
        <v>30</v>
      </c>
      <c r="U197" s="34" t="s">
        <v>270</v>
      </c>
      <c r="V197" s="35"/>
      <c r="W197" s="7"/>
      <c r="X197" s="7"/>
      <c r="Y197" s="7"/>
      <c r="Z197" s="7"/>
      <c r="AA197" s="7"/>
    </row>
    <row r="198" ht="18.75" customHeight="1">
      <c r="A198" s="8" t="s">
        <v>130</v>
      </c>
      <c r="B198" s="53" t="s">
        <v>131</v>
      </c>
      <c r="C198" s="9" t="s">
        <v>224</v>
      </c>
      <c r="D198" s="10">
        <v>2366.0</v>
      </c>
      <c r="E198" s="8" t="s">
        <v>363</v>
      </c>
      <c r="F198" s="11" t="s">
        <v>37</v>
      </c>
      <c r="G198" s="12" t="s">
        <v>27</v>
      </c>
      <c r="H198" s="13">
        <v>546.9</v>
      </c>
      <c r="I198" s="14">
        <v>10.0</v>
      </c>
      <c r="J198" s="15" t="s">
        <v>38</v>
      </c>
      <c r="K198" s="16">
        <v>0.5</v>
      </c>
      <c r="L198" s="17">
        <f t="shared" si="1"/>
        <v>5</v>
      </c>
      <c r="M198" s="17">
        <f t="shared" si="2"/>
        <v>5</v>
      </c>
      <c r="N198" s="18">
        <f t="shared" si="3"/>
        <v>273.45</v>
      </c>
      <c r="O198" s="18">
        <f t="shared" si="4"/>
        <v>273.45</v>
      </c>
      <c r="P198" s="18">
        <f t="shared" si="5"/>
        <v>273.45</v>
      </c>
      <c r="Q198" s="8">
        <v>0.0</v>
      </c>
      <c r="R198" s="18">
        <f t="shared" si="6"/>
        <v>54.69</v>
      </c>
      <c r="S198" s="19" t="s">
        <v>29</v>
      </c>
      <c r="T198" s="19" t="s">
        <v>30</v>
      </c>
      <c r="U198" s="20" t="s">
        <v>270</v>
      </c>
      <c r="V198" s="37"/>
      <c r="W198" s="7"/>
      <c r="X198" s="7"/>
      <c r="Y198" s="7"/>
      <c r="Z198" s="7"/>
      <c r="AA198" s="7"/>
    </row>
    <row r="199" ht="18.75" customHeight="1">
      <c r="A199" s="22" t="s">
        <v>130</v>
      </c>
      <c r="B199" s="54" t="s">
        <v>131</v>
      </c>
      <c r="C199" s="23" t="s">
        <v>189</v>
      </c>
      <c r="D199" s="24">
        <v>2400.0</v>
      </c>
      <c r="E199" s="22" t="s">
        <v>364</v>
      </c>
      <c r="F199" s="25" t="s">
        <v>37</v>
      </c>
      <c r="G199" s="26" t="s">
        <v>27</v>
      </c>
      <c r="H199" s="27">
        <v>945.0</v>
      </c>
      <c r="I199" s="28">
        <v>15.0</v>
      </c>
      <c r="J199" s="29" t="s">
        <v>54</v>
      </c>
      <c r="K199" s="30">
        <v>0.3</v>
      </c>
      <c r="L199" s="31">
        <f t="shared" si="1"/>
        <v>4.5</v>
      </c>
      <c r="M199" s="31">
        <f t="shared" si="2"/>
        <v>10.5</v>
      </c>
      <c r="N199" s="32">
        <f t="shared" si="3"/>
        <v>283.5</v>
      </c>
      <c r="O199" s="32">
        <f t="shared" si="4"/>
        <v>661.5</v>
      </c>
      <c r="P199" s="32">
        <f t="shared" si="5"/>
        <v>661.5</v>
      </c>
      <c r="Q199" s="22">
        <v>0.0</v>
      </c>
      <c r="R199" s="32">
        <f t="shared" si="6"/>
        <v>63</v>
      </c>
      <c r="S199" s="33" t="s">
        <v>29</v>
      </c>
      <c r="T199" s="33" t="s">
        <v>30</v>
      </c>
      <c r="U199" s="34" t="s">
        <v>205</v>
      </c>
      <c r="V199" s="35"/>
      <c r="W199" s="7"/>
      <c r="X199" s="7"/>
      <c r="Y199" s="7"/>
      <c r="Z199" s="7"/>
      <c r="AA199" s="7"/>
    </row>
    <row r="200" ht="18.75" customHeight="1">
      <c r="A200" s="8" t="s">
        <v>130</v>
      </c>
      <c r="B200" s="53" t="s">
        <v>131</v>
      </c>
      <c r="C200" s="9" t="s">
        <v>189</v>
      </c>
      <c r="D200" s="10">
        <v>2406.0</v>
      </c>
      <c r="E200" s="8" t="s">
        <v>364</v>
      </c>
      <c r="F200" s="11" t="s">
        <v>37</v>
      </c>
      <c r="G200" s="12" t="s">
        <v>27</v>
      </c>
      <c r="H200" s="13">
        <v>945.0</v>
      </c>
      <c r="I200" s="14">
        <v>15.0</v>
      </c>
      <c r="J200" s="15" t="s">
        <v>54</v>
      </c>
      <c r="K200" s="16">
        <v>0.3</v>
      </c>
      <c r="L200" s="17">
        <f t="shared" si="1"/>
        <v>4.5</v>
      </c>
      <c r="M200" s="17">
        <f t="shared" si="2"/>
        <v>10.5</v>
      </c>
      <c r="N200" s="18">
        <f t="shared" si="3"/>
        <v>283.5</v>
      </c>
      <c r="O200" s="18">
        <f t="shared" si="4"/>
        <v>661.5</v>
      </c>
      <c r="P200" s="18">
        <f t="shared" si="5"/>
        <v>661.5</v>
      </c>
      <c r="Q200" s="8">
        <v>0.0</v>
      </c>
      <c r="R200" s="18">
        <f t="shared" si="6"/>
        <v>63</v>
      </c>
      <c r="S200" s="19" t="s">
        <v>29</v>
      </c>
      <c r="T200" s="19" t="s">
        <v>30</v>
      </c>
      <c r="U200" s="20" t="s">
        <v>205</v>
      </c>
      <c r="V200" s="37"/>
      <c r="W200" s="7"/>
      <c r="X200" s="7"/>
      <c r="Y200" s="7"/>
      <c r="Z200" s="7"/>
      <c r="AA200" s="7"/>
    </row>
    <row r="201" ht="18.75" customHeight="1">
      <c r="A201" s="22" t="s">
        <v>130</v>
      </c>
      <c r="B201" s="54" t="s">
        <v>131</v>
      </c>
      <c r="C201" s="23" t="s">
        <v>189</v>
      </c>
      <c r="D201" s="24">
        <v>2407.0</v>
      </c>
      <c r="E201" s="22" t="s">
        <v>364</v>
      </c>
      <c r="F201" s="25" t="s">
        <v>37</v>
      </c>
      <c r="G201" s="26" t="s">
        <v>27</v>
      </c>
      <c r="H201" s="27">
        <v>945.0</v>
      </c>
      <c r="I201" s="28">
        <v>15.0</v>
      </c>
      <c r="J201" s="29" t="s">
        <v>54</v>
      </c>
      <c r="K201" s="30">
        <v>0.3</v>
      </c>
      <c r="L201" s="31">
        <f t="shared" si="1"/>
        <v>4.5</v>
      </c>
      <c r="M201" s="31">
        <f t="shared" si="2"/>
        <v>10.5</v>
      </c>
      <c r="N201" s="32">
        <f t="shared" si="3"/>
        <v>283.5</v>
      </c>
      <c r="O201" s="32">
        <f t="shared" si="4"/>
        <v>661.5</v>
      </c>
      <c r="P201" s="32">
        <f t="shared" si="5"/>
        <v>661.5</v>
      </c>
      <c r="Q201" s="22">
        <v>0.0</v>
      </c>
      <c r="R201" s="32">
        <f t="shared" si="6"/>
        <v>63</v>
      </c>
      <c r="S201" s="33" t="s">
        <v>29</v>
      </c>
      <c r="T201" s="33" t="s">
        <v>30</v>
      </c>
      <c r="U201" s="34" t="s">
        <v>205</v>
      </c>
      <c r="V201" s="35"/>
      <c r="W201" s="7"/>
      <c r="X201" s="7"/>
      <c r="Y201" s="7"/>
      <c r="Z201" s="7"/>
      <c r="AA201" s="7"/>
    </row>
    <row r="202" ht="18.75" customHeight="1">
      <c r="A202" s="8" t="s">
        <v>130</v>
      </c>
      <c r="B202" s="53" t="s">
        <v>131</v>
      </c>
      <c r="C202" s="9" t="s">
        <v>189</v>
      </c>
      <c r="D202" s="10">
        <v>2409.0</v>
      </c>
      <c r="E202" s="8" t="s">
        <v>365</v>
      </c>
      <c r="F202" s="11" t="s">
        <v>37</v>
      </c>
      <c r="G202" s="12" t="s">
        <v>27</v>
      </c>
      <c r="H202" s="13">
        <v>179.9</v>
      </c>
      <c r="I202" s="14">
        <v>15.0</v>
      </c>
      <c r="J202" s="15" t="s">
        <v>81</v>
      </c>
      <c r="K202" s="16">
        <v>0.15</v>
      </c>
      <c r="L202" s="17">
        <f t="shared" si="1"/>
        <v>2.25</v>
      </c>
      <c r="M202" s="17">
        <f t="shared" si="2"/>
        <v>12.75</v>
      </c>
      <c r="N202" s="18">
        <f t="shared" si="3"/>
        <v>26.985</v>
      </c>
      <c r="O202" s="18">
        <f t="shared" si="4"/>
        <v>152.915</v>
      </c>
      <c r="P202" s="18">
        <f t="shared" si="5"/>
        <v>152.915</v>
      </c>
      <c r="Q202" s="8">
        <v>0.0</v>
      </c>
      <c r="R202" s="18">
        <f t="shared" si="6"/>
        <v>11.99333333</v>
      </c>
      <c r="S202" s="19" t="s">
        <v>29</v>
      </c>
      <c r="T202" s="19" t="s">
        <v>30</v>
      </c>
      <c r="U202" s="20" t="s">
        <v>366</v>
      </c>
      <c r="V202" s="37"/>
      <c r="W202" s="49"/>
      <c r="X202" s="49"/>
      <c r="Y202" s="49"/>
      <c r="Z202" s="49"/>
      <c r="AA202" s="49"/>
    </row>
    <row r="203" ht="18.75" customHeight="1">
      <c r="A203" s="22" t="s">
        <v>130</v>
      </c>
      <c r="B203" s="54" t="s">
        <v>131</v>
      </c>
      <c r="C203" s="23" t="s">
        <v>24</v>
      </c>
      <c r="D203" s="24">
        <v>2410.0</v>
      </c>
      <c r="E203" s="22" t="s">
        <v>367</v>
      </c>
      <c r="F203" s="25" t="s">
        <v>26</v>
      </c>
      <c r="G203" s="26" t="s">
        <v>27</v>
      </c>
      <c r="H203" s="27">
        <v>2375.4</v>
      </c>
      <c r="I203" s="28">
        <v>10.0</v>
      </c>
      <c r="J203" s="29" t="s">
        <v>54</v>
      </c>
      <c r="K203" s="30">
        <v>0.3</v>
      </c>
      <c r="L203" s="31">
        <f t="shared" si="1"/>
        <v>3</v>
      </c>
      <c r="M203" s="31">
        <f t="shared" si="2"/>
        <v>7</v>
      </c>
      <c r="N203" s="32">
        <f t="shared" si="3"/>
        <v>712.62</v>
      </c>
      <c r="O203" s="32">
        <f t="shared" si="4"/>
        <v>1662.78</v>
      </c>
      <c r="P203" s="32">
        <f t="shared" si="5"/>
        <v>1662.78</v>
      </c>
      <c r="Q203" s="22">
        <v>0.0</v>
      </c>
      <c r="R203" s="32">
        <f t="shared" si="6"/>
        <v>237.54</v>
      </c>
      <c r="S203" s="33" t="s">
        <v>29</v>
      </c>
      <c r="T203" s="33" t="s">
        <v>30</v>
      </c>
      <c r="U203" s="34" t="s">
        <v>232</v>
      </c>
      <c r="V203" s="35"/>
      <c r="W203" s="7"/>
      <c r="X203" s="7"/>
      <c r="Y203" s="7"/>
      <c r="Z203" s="7"/>
      <c r="AA203" s="7"/>
    </row>
    <row r="204" ht="18.75" customHeight="1">
      <c r="A204" s="8" t="s">
        <v>130</v>
      </c>
      <c r="B204" s="53" t="s">
        <v>131</v>
      </c>
      <c r="C204" s="9" t="s">
        <v>192</v>
      </c>
      <c r="D204" s="10">
        <v>2416.0</v>
      </c>
      <c r="E204" s="8" t="s">
        <v>368</v>
      </c>
      <c r="F204" s="11" t="s">
        <v>26</v>
      </c>
      <c r="G204" s="12" t="s">
        <v>27</v>
      </c>
      <c r="H204" s="13">
        <v>1178.73</v>
      </c>
      <c r="I204" s="14">
        <v>10.0</v>
      </c>
      <c r="J204" s="15" t="s">
        <v>54</v>
      </c>
      <c r="K204" s="16">
        <v>0.3</v>
      </c>
      <c r="L204" s="17">
        <f t="shared" si="1"/>
        <v>3</v>
      </c>
      <c r="M204" s="17">
        <f t="shared" si="2"/>
        <v>7</v>
      </c>
      <c r="N204" s="18">
        <f t="shared" si="3"/>
        <v>353.619</v>
      </c>
      <c r="O204" s="18">
        <f t="shared" si="4"/>
        <v>825.111</v>
      </c>
      <c r="P204" s="18">
        <f t="shared" si="5"/>
        <v>825.111</v>
      </c>
      <c r="Q204" s="8">
        <v>0.0</v>
      </c>
      <c r="R204" s="18">
        <f t="shared" si="6"/>
        <v>117.873</v>
      </c>
      <c r="S204" s="19" t="s">
        <v>29</v>
      </c>
      <c r="T204" s="19" t="s">
        <v>30</v>
      </c>
      <c r="U204" s="20" t="s">
        <v>220</v>
      </c>
      <c r="V204" s="37"/>
      <c r="W204" s="7"/>
      <c r="X204" s="7"/>
      <c r="Y204" s="7"/>
      <c r="Z204" s="7"/>
      <c r="AA204" s="7"/>
    </row>
    <row r="205" ht="18.75" customHeight="1">
      <c r="A205" s="22" t="s">
        <v>130</v>
      </c>
      <c r="B205" s="54" t="s">
        <v>131</v>
      </c>
      <c r="C205" s="23" t="s">
        <v>24</v>
      </c>
      <c r="D205" s="24">
        <v>2611.0</v>
      </c>
      <c r="E205" s="22" t="s">
        <v>369</v>
      </c>
      <c r="F205" s="25" t="s">
        <v>26</v>
      </c>
      <c r="G205" s="26" t="s">
        <v>27</v>
      </c>
      <c r="H205" s="27">
        <v>471.75</v>
      </c>
      <c r="I205" s="28">
        <v>5.0</v>
      </c>
      <c r="J205" s="29" t="s">
        <v>143</v>
      </c>
      <c r="K205" s="30"/>
      <c r="L205" s="31">
        <f t="shared" si="1"/>
        <v>0</v>
      </c>
      <c r="M205" s="31">
        <f t="shared" si="2"/>
        <v>5</v>
      </c>
      <c r="N205" s="32">
        <f t="shared" si="3"/>
        <v>0</v>
      </c>
      <c r="O205" s="32">
        <f t="shared" si="4"/>
        <v>471.75</v>
      </c>
      <c r="P205" s="32">
        <f t="shared" si="5"/>
        <v>471.75</v>
      </c>
      <c r="Q205" s="22">
        <v>0.0</v>
      </c>
      <c r="R205" s="32">
        <f t="shared" si="6"/>
        <v>94.35</v>
      </c>
      <c r="S205" s="33" t="s">
        <v>29</v>
      </c>
      <c r="T205" s="33" t="s">
        <v>30</v>
      </c>
      <c r="U205" s="38" t="s">
        <v>370</v>
      </c>
      <c r="V205" s="35"/>
      <c r="W205" s="7"/>
      <c r="X205" s="7"/>
      <c r="Y205" s="7"/>
      <c r="Z205" s="7"/>
      <c r="AA205" s="7"/>
    </row>
    <row r="206" ht="18.75" customHeight="1">
      <c r="A206" s="8" t="s">
        <v>130</v>
      </c>
      <c r="B206" s="53" t="s">
        <v>131</v>
      </c>
      <c r="C206" s="9" t="s">
        <v>24</v>
      </c>
      <c r="D206" s="10">
        <v>2615.0</v>
      </c>
      <c r="E206" s="8" t="s">
        <v>369</v>
      </c>
      <c r="F206" s="11" t="s">
        <v>26</v>
      </c>
      <c r="G206" s="12" t="s">
        <v>27</v>
      </c>
      <c r="H206" s="13">
        <v>471.75</v>
      </c>
      <c r="I206" s="14">
        <v>10.0</v>
      </c>
      <c r="J206" s="15" t="s">
        <v>143</v>
      </c>
      <c r="K206" s="16"/>
      <c r="L206" s="17">
        <f t="shared" si="1"/>
        <v>0</v>
      </c>
      <c r="M206" s="17">
        <f t="shared" si="2"/>
        <v>10</v>
      </c>
      <c r="N206" s="18">
        <f t="shared" si="3"/>
        <v>0</v>
      </c>
      <c r="O206" s="18">
        <f t="shared" si="4"/>
        <v>471.75</v>
      </c>
      <c r="P206" s="18">
        <f t="shared" si="5"/>
        <v>471.75</v>
      </c>
      <c r="Q206" s="8">
        <v>0.0</v>
      </c>
      <c r="R206" s="18">
        <f t="shared" si="6"/>
        <v>47.175</v>
      </c>
      <c r="S206" s="19" t="s">
        <v>29</v>
      </c>
      <c r="T206" s="19" t="s">
        <v>30</v>
      </c>
      <c r="U206" s="36" t="s">
        <v>370</v>
      </c>
      <c r="V206" s="37"/>
      <c r="W206" s="7"/>
      <c r="X206" s="7"/>
      <c r="Y206" s="7"/>
      <c r="Z206" s="7"/>
      <c r="AA206" s="7"/>
    </row>
    <row r="207" ht="18.75" customHeight="1">
      <c r="A207" s="22" t="s">
        <v>130</v>
      </c>
      <c r="B207" s="54" t="s">
        <v>131</v>
      </c>
      <c r="C207" s="23" t="s">
        <v>24</v>
      </c>
      <c r="D207" s="24">
        <v>2623.0</v>
      </c>
      <c r="E207" s="22" t="s">
        <v>371</v>
      </c>
      <c r="F207" s="25" t="s">
        <v>26</v>
      </c>
      <c r="G207" s="26" t="s">
        <v>27</v>
      </c>
      <c r="H207" s="27">
        <v>129.9</v>
      </c>
      <c r="I207" s="28">
        <v>5.0</v>
      </c>
      <c r="J207" s="29" t="s">
        <v>54</v>
      </c>
      <c r="K207" s="30">
        <v>0.3</v>
      </c>
      <c r="L207" s="31">
        <f t="shared" si="1"/>
        <v>1.5</v>
      </c>
      <c r="M207" s="31">
        <f t="shared" si="2"/>
        <v>3.5</v>
      </c>
      <c r="N207" s="32">
        <f t="shared" si="3"/>
        <v>38.97</v>
      </c>
      <c r="O207" s="32">
        <f t="shared" si="4"/>
        <v>90.93</v>
      </c>
      <c r="P207" s="32">
        <f t="shared" si="5"/>
        <v>90.93</v>
      </c>
      <c r="Q207" s="22">
        <v>0.0</v>
      </c>
      <c r="R207" s="32">
        <f t="shared" si="6"/>
        <v>25.98</v>
      </c>
      <c r="S207" s="33" t="s">
        <v>29</v>
      </c>
      <c r="T207" s="33" t="s">
        <v>30</v>
      </c>
      <c r="U207" s="34" t="s">
        <v>372</v>
      </c>
      <c r="V207" s="35"/>
      <c r="W207" s="7"/>
      <c r="X207" s="7"/>
      <c r="Y207" s="7"/>
      <c r="Z207" s="7"/>
      <c r="AA207" s="7"/>
    </row>
    <row r="208" ht="18.75" customHeight="1">
      <c r="A208" s="8" t="s">
        <v>130</v>
      </c>
      <c r="B208" s="53" t="s">
        <v>131</v>
      </c>
      <c r="C208" s="9" t="s">
        <v>24</v>
      </c>
      <c r="D208" s="10">
        <v>2626.0</v>
      </c>
      <c r="E208" s="8" t="s">
        <v>371</v>
      </c>
      <c r="F208" s="11" t="s">
        <v>26</v>
      </c>
      <c r="G208" s="12" t="s">
        <v>27</v>
      </c>
      <c r="H208" s="13">
        <v>129.9</v>
      </c>
      <c r="I208" s="14">
        <v>5.0</v>
      </c>
      <c r="J208" s="15" t="s">
        <v>54</v>
      </c>
      <c r="K208" s="16">
        <v>0.3</v>
      </c>
      <c r="L208" s="17">
        <f t="shared" si="1"/>
        <v>1.5</v>
      </c>
      <c r="M208" s="17">
        <f t="shared" si="2"/>
        <v>3.5</v>
      </c>
      <c r="N208" s="18">
        <f t="shared" si="3"/>
        <v>38.97</v>
      </c>
      <c r="O208" s="18">
        <f t="shared" si="4"/>
        <v>90.93</v>
      </c>
      <c r="P208" s="18">
        <f t="shared" si="5"/>
        <v>90.93</v>
      </c>
      <c r="Q208" s="8">
        <v>0.0</v>
      </c>
      <c r="R208" s="18">
        <f t="shared" si="6"/>
        <v>25.98</v>
      </c>
      <c r="S208" s="19" t="s">
        <v>29</v>
      </c>
      <c r="T208" s="19" t="s">
        <v>30</v>
      </c>
      <c r="U208" s="20" t="s">
        <v>372</v>
      </c>
      <c r="V208" s="37"/>
      <c r="W208" s="7"/>
      <c r="X208" s="7"/>
      <c r="Y208" s="7"/>
      <c r="Z208" s="7"/>
      <c r="AA208" s="7"/>
    </row>
    <row r="209" ht="18.75" customHeight="1">
      <c r="A209" s="22" t="s">
        <v>130</v>
      </c>
      <c r="B209" s="54" t="s">
        <v>131</v>
      </c>
      <c r="C209" s="23" t="s">
        <v>24</v>
      </c>
      <c r="D209" s="24">
        <v>2641.0</v>
      </c>
      <c r="E209" s="22" t="s">
        <v>373</v>
      </c>
      <c r="F209" s="25" t="s">
        <v>26</v>
      </c>
      <c r="G209" s="26" t="s">
        <v>27</v>
      </c>
      <c r="H209" s="27">
        <v>65.35</v>
      </c>
      <c r="I209" s="28">
        <v>5.0</v>
      </c>
      <c r="J209" s="29" t="s">
        <v>143</v>
      </c>
      <c r="K209" s="30"/>
      <c r="L209" s="31">
        <f t="shared" si="1"/>
        <v>0</v>
      </c>
      <c r="M209" s="31">
        <f t="shared" si="2"/>
        <v>5</v>
      </c>
      <c r="N209" s="32">
        <f t="shared" si="3"/>
        <v>0</v>
      </c>
      <c r="O209" s="32">
        <f t="shared" si="4"/>
        <v>65.35</v>
      </c>
      <c r="P209" s="32">
        <f t="shared" si="5"/>
        <v>65.35</v>
      </c>
      <c r="Q209" s="22">
        <v>0.0</v>
      </c>
      <c r="R209" s="32">
        <f t="shared" si="6"/>
        <v>13.07</v>
      </c>
      <c r="S209" s="33" t="s">
        <v>29</v>
      </c>
      <c r="T209" s="33" t="s">
        <v>30</v>
      </c>
      <c r="U209" s="34" t="s">
        <v>374</v>
      </c>
      <c r="V209" s="35"/>
      <c r="W209" s="7"/>
      <c r="X209" s="7"/>
      <c r="Y209" s="7"/>
      <c r="Z209" s="7"/>
      <c r="AA209" s="7"/>
    </row>
    <row r="210" ht="18.75" customHeight="1">
      <c r="A210" s="8" t="s">
        <v>130</v>
      </c>
      <c r="B210" s="53" t="s">
        <v>131</v>
      </c>
      <c r="C210" s="9" t="s">
        <v>24</v>
      </c>
      <c r="D210" s="10">
        <v>2642.0</v>
      </c>
      <c r="E210" s="8" t="s">
        <v>373</v>
      </c>
      <c r="F210" s="11" t="s">
        <v>26</v>
      </c>
      <c r="G210" s="12" t="s">
        <v>27</v>
      </c>
      <c r="H210" s="13">
        <v>65.35</v>
      </c>
      <c r="I210" s="14">
        <v>5.0</v>
      </c>
      <c r="J210" s="15" t="s">
        <v>143</v>
      </c>
      <c r="K210" s="16"/>
      <c r="L210" s="17">
        <f t="shared" si="1"/>
        <v>0</v>
      </c>
      <c r="M210" s="17">
        <f t="shared" si="2"/>
        <v>5</v>
      </c>
      <c r="N210" s="18">
        <f t="shared" si="3"/>
        <v>0</v>
      </c>
      <c r="O210" s="18">
        <f t="shared" si="4"/>
        <v>65.35</v>
      </c>
      <c r="P210" s="18">
        <f t="shared" si="5"/>
        <v>65.35</v>
      </c>
      <c r="Q210" s="8">
        <v>0.0</v>
      </c>
      <c r="R210" s="18">
        <f t="shared" si="6"/>
        <v>13.07</v>
      </c>
      <c r="S210" s="19" t="s">
        <v>29</v>
      </c>
      <c r="T210" s="19" t="s">
        <v>30</v>
      </c>
      <c r="U210" s="20" t="s">
        <v>374</v>
      </c>
      <c r="V210" s="37"/>
      <c r="W210" s="7"/>
      <c r="X210" s="7"/>
      <c r="Y210" s="7"/>
      <c r="Z210" s="7"/>
      <c r="AA210" s="7"/>
    </row>
    <row r="211" ht="18.75" customHeight="1">
      <c r="A211" s="22" t="s">
        <v>130</v>
      </c>
      <c r="B211" s="54" t="s">
        <v>131</v>
      </c>
      <c r="C211" s="23" t="s">
        <v>24</v>
      </c>
      <c r="D211" s="24">
        <v>2645.0</v>
      </c>
      <c r="E211" s="22" t="s">
        <v>375</v>
      </c>
      <c r="F211" s="25" t="s">
        <v>26</v>
      </c>
      <c r="G211" s="26" t="s">
        <v>27</v>
      </c>
      <c r="H211" s="27">
        <v>65.35</v>
      </c>
      <c r="I211" s="28">
        <v>5.0</v>
      </c>
      <c r="J211" s="29" t="s">
        <v>54</v>
      </c>
      <c r="K211" s="30">
        <v>0.3</v>
      </c>
      <c r="L211" s="31">
        <f t="shared" si="1"/>
        <v>1.5</v>
      </c>
      <c r="M211" s="31">
        <f t="shared" si="2"/>
        <v>3.5</v>
      </c>
      <c r="N211" s="32">
        <f t="shared" si="3"/>
        <v>19.605</v>
      </c>
      <c r="O211" s="32">
        <f t="shared" si="4"/>
        <v>45.745</v>
      </c>
      <c r="P211" s="32">
        <f t="shared" si="5"/>
        <v>45.745</v>
      </c>
      <c r="Q211" s="22">
        <v>0.0</v>
      </c>
      <c r="R211" s="32">
        <f t="shared" si="6"/>
        <v>13.07</v>
      </c>
      <c r="S211" s="33" t="s">
        <v>29</v>
      </c>
      <c r="T211" s="33" t="s">
        <v>30</v>
      </c>
      <c r="U211" s="34" t="s">
        <v>374</v>
      </c>
      <c r="V211" s="35"/>
      <c r="W211" s="7"/>
      <c r="X211" s="7"/>
      <c r="Y211" s="7"/>
      <c r="Z211" s="7"/>
      <c r="AA211" s="7"/>
    </row>
    <row r="212" ht="18.75" customHeight="1">
      <c r="A212" s="8" t="s">
        <v>130</v>
      </c>
      <c r="B212" s="53" t="s">
        <v>131</v>
      </c>
      <c r="C212" s="9" t="s">
        <v>24</v>
      </c>
      <c r="D212" s="10">
        <v>2646.0</v>
      </c>
      <c r="E212" s="8" t="s">
        <v>375</v>
      </c>
      <c r="F212" s="11" t="s">
        <v>26</v>
      </c>
      <c r="G212" s="12" t="s">
        <v>27</v>
      </c>
      <c r="H212" s="13">
        <v>65.35</v>
      </c>
      <c r="I212" s="14">
        <v>5.0</v>
      </c>
      <c r="J212" s="15" t="s">
        <v>54</v>
      </c>
      <c r="K212" s="16">
        <v>0.3</v>
      </c>
      <c r="L212" s="17">
        <f t="shared" si="1"/>
        <v>1.5</v>
      </c>
      <c r="M212" s="17">
        <f t="shared" si="2"/>
        <v>3.5</v>
      </c>
      <c r="N212" s="18">
        <f t="shared" si="3"/>
        <v>19.605</v>
      </c>
      <c r="O212" s="18">
        <f t="shared" si="4"/>
        <v>45.745</v>
      </c>
      <c r="P212" s="18">
        <f t="shared" si="5"/>
        <v>45.745</v>
      </c>
      <c r="Q212" s="8">
        <v>0.0</v>
      </c>
      <c r="R212" s="18">
        <f t="shared" si="6"/>
        <v>13.07</v>
      </c>
      <c r="S212" s="19" t="s">
        <v>29</v>
      </c>
      <c r="T212" s="19" t="s">
        <v>30</v>
      </c>
      <c r="U212" s="20" t="s">
        <v>374</v>
      </c>
      <c r="V212" s="37"/>
      <c r="W212" s="7"/>
      <c r="X212" s="7"/>
      <c r="Y212" s="7"/>
      <c r="Z212" s="7"/>
      <c r="AA212" s="7"/>
    </row>
    <row r="213" ht="18.75" customHeight="1">
      <c r="A213" s="22" t="s">
        <v>130</v>
      </c>
      <c r="B213" s="54" t="s">
        <v>131</v>
      </c>
      <c r="C213" s="23" t="s">
        <v>24</v>
      </c>
      <c r="D213" s="24">
        <v>2647.0</v>
      </c>
      <c r="E213" s="22" t="s">
        <v>376</v>
      </c>
      <c r="F213" s="25" t="s">
        <v>26</v>
      </c>
      <c r="G213" s="26" t="s">
        <v>27</v>
      </c>
      <c r="H213" s="27">
        <v>65.35</v>
      </c>
      <c r="I213" s="28">
        <v>5.0</v>
      </c>
      <c r="J213" s="29" t="s">
        <v>143</v>
      </c>
      <c r="K213" s="30"/>
      <c r="L213" s="31">
        <f t="shared" si="1"/>
        <v>0</v>
      </c>
      <c r="M213" s="31">
        <f t="shared" si="2"/>
        <v>5</v>
      </c>
      <c r="N213" s="32">
        <f t="shared" si="3"/>
        <v>0</v>
      </c>
      <c r="O213" s="32">
        <f t="shared" si="4"/>
        <v>65.35</v>
      </c>
      <c r="P213" s="32">
        <f t="shared" si="5"/>
        <v>65.35</v>
      </c>
      <c r="Q213" s="22">
        <v>0.0</v>
      </c>
      <c r="R213" s="32">
        <f t="shared" si="6"/>
        <v>13.07</v>
      </c>
      <c r="S213" s="33" t="s">
        <v>29</v>
      </c>
      <c r="T213" s="33" t="s">
        <v>30</v>
      </c>
      <c r="U213" s="34" t="s">
        <v>374</v>
      </c>
      <c r="V213" s="35"/>
      <c r="W213" s="7"/>
      <c r="X213" s="7"/>
      <c r="Y213" s="7"/>
      <c r="Z213" s="7"/>
      <c r="AA213" s="7"/>
    </row>
    <row r="214" ht="18.75" customHeight="1">
      <c r="A214" s="8" t="s">
        <v>130</v>
      </c>
      <c r="B214" s="53" t="s">
        <v>131</v>
      </c>
      <c r="C214" s="9" t="s">
        <v>24</v>
      </c>
      <c r="D214" s="10">
        <v>2648.0</v>
      </c>
      <c r="E214" s="8" t="s">
        <v>376</v>
      </c>
      <c r="F214" s="11" t="s">
        <v>26</v>
      </c>
      <c r="G214" s="12" t="s">
        <v>27</v>
      </c>
      <c r="H214" s="13">
        <v>65.35</v>
      </c>
      <c r="I214" s="14">
        <v>5.0</v>
      </c>
      <c r="J214" s="15" t="s">
        <v>143</v>
      </c>
      <c r="K214" s="16"/>
      <c r="L214" s="17">
        <f t="shared" si="1"/>
        <v>0</v>
      </c>
      <c r="M214" s="17">
        <f t="shared" si="2"/>
        <v>5</v>
      </c>
      <c r="N214" s="18">
        <f t="shared" si="3"/>
        <v>0</v>
      </c>
      <c r="O214" s="18">
        <f t="shared" si="4"/>
        <v>65.35</v>
      </c>
      <c r="P214" s="18">
        <f t="shared" si="5"/>
        <v>65.35</v>
      </c>
      <c r="Q214" s="8">
        <v>0.0</v>
      </c>
      <c r="R214" s="18">
        <f t="shared" si="6"/>
        <v>13.07</v>
      </c>
      <c r="S214" s="19" t="s">
        <v>29</v>
      </c>
      <c r="T214" s="19" t="s">
        <v>30</v>
      </c>
      <c r="U214" s="20" t="s">
        <v>374</v>
      </c>
      <c r="V214" s="37"/>
      <c r="W214" s="7"/>
      <c r="X214" s="7"/>
      <c r="Y214" s="7"/>
      <c r="Z214" s="7"/>
      <c r="AA214" s="7"/>
    </row>
    <row r="215" ht="18.75" customHeight="1">
      <c r="A215" s="22" t="s">
        <v>130</v>
      </c>
      <c r="B215" s="54" t="s">
        <v>131</v>
      </c>
      <c r="C215" s="23" t="s">
        <v>24</v>
      </c>
      <c r="D215" s="24">
        <v>2649.0</v>
      </c>
      <c r="E215" s="22" t="s">
        <v>377</v>
      </c>
      <c r="F215" s="25" t="s">
        <v>26</v>
      </c>
      <c r="G215" s="26" t="s">
        <v>27</v>
      </c>
      <c r="H215" s="27">
        <v>65.35</v>
      </c>
      <c r="I215" s="28">
        <v>5.0</v>
      </c>
      <c r="J215" s="29" t="s">
        <v>143</v>
      </c>
      <c r="K215" s="30"/>
      <c r="L215" s="31">
        <f t="shared" si="1"/>
        <v>0</v>
      </c>
      <c r="M215" s="31">
        <f t="shared" si="2"/>
        <v>5</v>
      </c>
      <c r="N215" s="32">
        <f t="shared" si="3"/>
        <v>0</v>
      </c>
      <c r="O215" s="32">
        <f t="shared" si="4"/>
        <v>65.35</v>
      </c>
      <c r="P215" s="32">
        <f t="shared" si="5"/>
        <v>65.35</v>
      </c>
      <c r="Q215" s="22">
        <v>0.0</v>
      </c>
      <c r="R215" s="32">
        <f t="shared" si="6"/>
        <v>13.07</v>
      </c>
      <c r="S215" s="33" t="s">
        <v>29</v>
      </c>
      <c r="T215" s="33" t="s">
        <v>30</v>
      </c>
      <c r="U215" s="34" t="s">
        <v>374</v>
      </c>
      <c r="V215" s="35"/>
      <c r="W215" s="7"/>
      <c r="X215" s="7"/>
      <c r="Y215" s="7"/>
      <c r="Z215" s="7"/>
      <c r="AA215" s="7"/>
    </row>
    <row r="216" ht="18.75" customHeight="1">
      <c r="A216" s="8" t="s">
        <v>130</v>
      </c>
      <c r="B216" s="53" t="s">
        <v>131</v>
      </c>
      <c r="C216" s="9" t="s">
        <v>24</v>
      </c>
      <c r="D216" s="10">
        <v>2650.0</v>
      </c>
      <c r="E216" s="8" t="s">
        <v>377</v>
      </c>
      <c r="F216" s="11" t="s">
        <v>26</v>
      </c>
      <c r="G216" s="12" t="s">
        <v>27</v>
      </c>
      <c r="H216" s="13">
        <v>65.35</v>
      </c>
      <c r="I216" s="14">
        <v>5.0</v>
      </c>
      <c r="J216" s="15" t="s">
        <v>143</v>
      </c>
      <c r="K216" s="16"/>
      <c r="L216" s="17">
        <f t="shared" si="1"/>
        <v>0</v>
      </c>
      <c r="M216" s="17">
        <f t="shared" si="2"/>
        <v>5</v>
      </c>
      <c r="N216" s="18">
        <f t="shared" si="3"/>
        <v>0</v>
      </c>
      <c r="O216" s="18">
        <f t="shared" si="4"/>
        <v>65.35</v>
      </c>
      <c r="P216" s="18">
        <f t="shared" si="5"/>
        <v>65.35</v>
      </c>
      <c r="Q216" s="8">
        <v>0.0</v>
      </c>
      <c r="R216" s="18">
        <f t="shared" si="6"/>
        <v>13.07</v>
      </c>
      <c r="S216" s="19" t="s">
        <v>29</v>
      </c>
      <c r="T216" s="19" t="s">
        <v>30</v>
      </c>
      <c r="U216" s="20" t="s">
        <v>374</v>
      </c>
      <c r="V216" s="37"/>
      <c r="W216" s="7"/>
      <c r="X216" s="7"/>
      <c r="Y216" s="7"/>
      <c r="Z216" s="7"/>
      <c r="AA216" s="7"/>
    </row>
    <row r="217" ht="18.75" customHeight="1">
      <c r="A217" s="22" t="s">
        <v>130</v>
      </c>
      <c r="B217" s="54" t="s">
        <v>131</v>
      </c>
      <c r="C217" s="23" t="s">
        <v>24</v>
      </c>
      <c r="D217" s="24">
        <v>2664.0</v>
      </c>
      <c r="E217" s="22" t="s">
        <v>378</v>
      </c>
      <c r="F217" s="25" t="s">
        <v>26</v>
      </c>
      <c r="G217" s="26" t="s">
        <v>27</v>
      </c>
      <c r="H217" s="27">
        <v>1268.25</v>
      </c>
      <c r="I217" s="28">
        <v>10.0</v>
      </c>
      <c r="J217" s="29" t="s">
        <v>28</v>
      </c>
      <c r="K217" s="30">
        <v>0.4</v>
      </c>
      <c r="L217" s="31">
        <f t="shared" si="1"/>
        <v>4</v>
      </c>
      <c r="M217" s="31">
        <f t="shared" si="2"/>
        <v>6</v>
      </c>
      <c r="N217" s="32">
        <f t="shared" si="3"/>
        <v>507.3</v>
      </c>
      <c r="O217" s="32">
        <f t="shared" si="4"/>
        <v>760.95</v>
      </c>
      <c r="P217" s="32">
        <f t="shared" si="5"/>
        <v>760.95</v>
      </c>
      <c r="Q217" s="22">
        <v>0.0</v>
      </c>
      <c r="R217" s="32">
        <f t="shared" si="6"/>
        <v>126.825</v>
      </c>
      <c r="S217" s="33" t="s">
        <v>29</v>
      </c>
      <c r="T217" s="33" t="s">
        <v>30</v>
      </c>
      <c r="U217" s="38" t="s">
        <v>379</v>
      </c>
      <c r="V217" s="35"/>
      <c r="W217" s="7"/>
      <c r="X217" s="7"/>
      <c r="Y217" s="7"/>
      <c r="Z217" s="7"/>
      <c r="AA217" s="7"/>
    </row>
    <row r="218" ht="18.75" customHeight="1">
      <c r="A218" s="8" t="s">
        <v>130</v>
      </c>
      <c r="B218" s="53" t="s">
        <v>131</v>
      </c>
      <c r="C218" s="9" t="s">
        <v>24</v>
      </c>
      <c r="D218" s="10">
        <v>2665.0</v>
      </c>
      <c r="E218" s="8" t="s">
        <v>378</v>
      </c>
      <c r="F218" s="11" t="s">
        <v>26</v>
      </c>
      <c r="G218" s="12" t="s">
        <v>27</v>
      </c>
      <c r="H218" s="13">
        <v>1268.25</v>
      </c>
      <c r="I218" s="14">
        <v>10.0</v>
      </c>
      <c r="J218" s="15" t="s">
        <v>28</v>
      </c>
      <c r="K218" s="16">
        <v>0.4</v>
      </c>
      <c r="L218" s="17">
        <f t="shared" si="1"/>
        <v>4</v>
      </c>
      <c r="M218" s="17">
        <f t="shared" si="2"/>
        <v>6</v>
      </c>
      <c r="N218" s="18">
        <f t="shared" si="3"/>
        <v>507.3</v>
      </c>
      <c r="O218" s="18">
        <f t="shared" si="4"/>
        <v>760.95</v>
      </c>
      <c r="P218" s="18">
        <f t="shared" si="5"/>
        <v>760.95</v>
      </c>
      <c r="Q218" s="8">
        <v>0.0</v>
      </c>
      <c r="R218" s="18">
        <f t="shared" si="6"/>
        <v>126.825</v>
      </c>
      <c r="S218" s="19" t="s">
        <v>29</v>
      </c>
      <c r="T218" s="19" t="s">
        <v>30</v>
      </c>
      <c r="U218" s="36" t="s">
        <v>379</v>
      </c>
      <c r="V218" s="37"/>
      <c r="W218" s="7"/>
      <c r="X218" s="7"/>
      <c r="Y218" s="7"/>
      <c r="Z218" s="7"/>
      <c r="AA218" s="7"/>
    </row>
    <row r="219" ht="18.75" customHeight="1">
      <c r="A219" s="22" t="s">
        <v>130</v>
      </c>
      <c r="B219" s="54" t="s">
        <v>131</v>
      </c>
      <c r="C219" s="23" t="s">
        <v>24</v>
      </c>
      <c r="D219" s="24">
        <v>2670.0</v>
      </c>
      <c r="E219" s="22" t="s">
        <v>378</v>
      </c>
      <c r="F219" s="25" t="s">
        <v>26</v>
      </c>
      <c r="G219" s="26" t="s">
        <v>27</v>
      </c>
      <c r="H219" s="27">
        <v>1268.25</v>
      </c>
      <c r="I219" s="28">
        <v>10.0</v>
      </c>
      <c r="J219" s="29" t="s">
        <v>28</v>
      </c>
      <c r="K219" s="30">
        <v>0.4</v>
      </c>
      <c r="L219" s="31">
        <f t="shared" si="1"/>
        <v>4</v>
      </c>
      <c r="M219" s="31">
        <f t="shared" si="2"/>
        <v>6</v>
      </c>
      <c r="N219" s="32">
        <f t="shared" si="3"/>
        <v>507.3</v>
      </c>
      <c r="O219" s="32">
        <f t="shared" si="4"/>
        <v>760.95</v>
      </c>
      <c r="P219" s="32">
        <f t="shared" si="5"/>
        <v>760.95</v>
      </c>
      <c r="Q219" s="22">
        <v>0.0</v>
      </c>
      <c r="R219" s="32">
        <f t="shared" si="6"/>
        <v>126.825</v>
      </c>
      <c r="S219" s="33" t="s">
        <v>29</v>
      </c>
      <c r="T219" s="33" t="s">
        <v>30</v>
      </c>
      <c r="U219" s="38" t="s">
        <v>379</v>
      </c>
      <c r="V219" s="35"/>
      <c r="W219" s="7"/>
      <c r="X219" s="7"/>
      <c r="Y219" s="7"/>
      <c r="Z219" s="7"/>
      <c r="AA219" s="7"/>
    </row>
    <row r="220" ht="18.75" customHeight="1">
      <c r="A220" s="8" t="s">
        <v>130</v>
      </c>
      <c r="B220" s="53" t="s">
        <v>131</v>
      </c>
      <c r="C220" s="9" t="s">
        <v>24</v>
      </c>
      <c r="D220" s="10">
        <v>2673.0</v>
      </c>
      <c r="E220" s="8" t="s">
        <v>380</v>
      </c>
      <c r="F220" s="11" t="s">
        <v>26</v>
      </c>
      <c r="G220" s="12" t="s">
        <v>27</v>
      </c>
      <c r="H220" s="13">
        <v>65.35</v>
      </c>
      <c r="I220" s="14">
        <v>5.0</v>
      </c>
      <c r="J220" s="15" t="s">
        <v>54</v>
      </c>
      <c r="K220" s="16">
        <v>0.3</v>
      </c>
      <c r="L220" s="17">
        <f t="shared" si="1"/>
        <v>1.5</v>
      </c>
      <c r="M220" s="17">
        <f t="shared" si="2"/>
        <v>3.5</v>
      </c>
      <c r="N220" s="18">
        <f t="shared" si="3"/>
        <v>19.605</v>
      </c>
      <c r="O220" s="18">
        <f t="shared" si="4"/>
        <v>45.745</v>
      </c>
      <c r="P220" s="18">
        <f t="shared" si="5"/>
        <v>45.745</v>
      </c>
      <c r="Q220" s="8">
        <v>0.0</v>
      </c>
      <c r="R220" s="18">
        <f t="shared" si="6"/>
        <v>13.07</v>
      </c>
      <c r="S220" s="19" t="s">
        <v>29</v>
      </c>
      <c r="T220" s="19" t="s">
        <v>30</v>
      </c>
      <c r="U220" s="20" t="s">
        <v>374</v>
      </c>
      <c r="V220" s="37"/>
      <c r="W220" s="7"/>
      <c r="X220" s="7"/>
      <c r="Y220" s="7"/>
      <c r="Z220" s="7"/>
      <c r="AA220" s="7"/>
    </row>
    <row r="221" ht="18.75" customHeight="1">
      <c r="A221" s="22" t="s">
        <v>130</v>
      </c>
      <c r="B221" s="54" t="s">
        <v>131</v>
      </c>
      <c r="C221" s="23" t="s">
        <v>24</v>
      </c>
      <c r="D221" s="24">
        <v>2674.0</v>
      </c>
      <c r="E221" s="22" t="s">
        <v>380</v>
      </c>
      <c r="F221" s="25" t="s">
        <v>26</v>
      </c>
      <c r="G221" s="26" t="s">
        <v>27</v>
      </c>
      <c r="H221" s="27">
        <v>65.35</v>
      </c>
      <c r="I221" s="28">
        <v>5.0</v>
      </c>
      <c r="J221" s="29" t="s">
        <v>54</v>
      </c>
      <c r="K221" s="30">
        <v>0.3</v>
      </c>
      <c r="L221" s="31">
        <f t="shared" si="1"/>
        <v>1.5</v>
      </c>
      <c r="M221" s="31">
        <f t="shared" si="2"/>
        <v>3.5</v>
      </c>
      <c r="N221" s="32">
        <f t="shared" si="3"/>
        <v>19.605</v>
      </c>
      <c r="O221" s="32">
        <f t="shared" si="4"/>
        <v>45.745</v>
      </c>
      <c r="P221" s="32">
        <f t="shared" si="5"/>
        <v>45.745</v>
      </c>
      <c r="Q221" s="22">
        <v>0.0</v>
      </c>
      <c r="R221" s="32">
        <f t="shared" si="6"/>
        <v>13.07</v>
      </c>
      <c r="S221" s="33" t="s">
        <v>29</v>
      </c>
      <c r="T221" s="33" t="s">
        <v>30</v>
      </c>
      <c r="U221" s="34" t="s">
        <v>374</v>
      </c>
      <c r="V221" s="35"/>
      <c r="W221" s="7"/>
      <c r="X221" s="7"/>
      <c r="Y221" s="7"/>
      <c r="Z221" s="7"/>
      <c r="AA221" s="7"/>
    </row>
    <row r="222" ht="18.75" customHeight="1">
      <c r="A222" s="8" t="s">
        <v>130</v>
      </c>
      <c r="B222" s="53" t="s">
        <v>131</v>
      </c>
      <c r="C222" s="9" t="s">
        <v>145</v>
      </c>
      <c r="D222" s="10">
        <v>2722.0</v>
      </c>
      <c r="E222" s="8" t="s">
        <v>381</v>
      </c>
      <c r="F222" s="11" t="s">
        <v>26</v>
      </c>
      <c r="G222" s="12" t="s">
        <v>27</v>
      </c>
      <c r="H222" s="13">
        <v>826.5</v>
      </c>
      <c r="I222" s="14">
        <v>5.0</v>
      </c>
      <c r="J222" s="15" t="s">
        <v>81</v>
      </c>
      <c r="K222" s="16">
        <v>0.15</v>
      </c>
      <c r="L222" s="17">
        <f t="shared" si="1"/>
        <v>0.75</v>
      </c>
      <c r="M222" s="17">
        <f t="shared" si="2"/>
        <v>4.25</v>
      </c>
      <c r="N222" s="18">
        <f t="shared" si="3"/>
        <v>123.975</v>
      </c>
      <c r="O222" s="18">
        <f t="shared" si="4"/>
        <v>702.525</v>
      </c>
      <c r="P222" s="18">
        <f t="shared" si="5"/>
        <v>702.525</v>
      </c>
      <c r="Q222" s="8">
        <v>0.0</v>
      </c>
      <c r="R222" s="18">
        <f t="shared" si="6"/>
        <v>165.3</v>
      </c>
      <c r="S222" s="19" t="s">
        <v>29</v>
      </c>
      <c r="T222" s="19" t="s">
        <v>30</v>
      </c>
      <c r="U222" s="36" t="s">
        <v>382</v>
      </c>
      <c r="V222" s="37"/>
      <c r="W222" s="7"/>
      <c r="X222" s="7"/>
      <c r="Y222" s="7"/>
      <c r="Z222" s="7"/>
      <c r="AA222" s="7"/>
    </row>
    <row r="223" ht="18.75" customHeight="1">
      <c r="A223" s="22" t="s">
        <v>130</v>
      </c>
      <c r="B223" s="54" t="s">
        <v>131</v>
      </c>
      <c r="C223" s="22" t="s">
        <v>209</v>
      </c>
      <c r="D223" s="51">
        <v>2873.0</v>
      </c>
      <c r="E223" s="22" t="s">
        <v>383</v>
      </c>
      <c r="F223" s="25" t="s">
        <v>202</v>
      </c>
      <c r="G223" s="60">
        <v>45483.0</v>
      </c>
      <c r="H223" s="27">
        <v>3381.74</v>
      </c>
      <c r="I223" s="28">
        <v>5.0</v>
      </c>
      <c r="J223" s="29" t="s">
        <v>81</v>
      </c>
      <c r="K223" s="30">
        <v>0.15</v>
      </c>
      <c r="L223" s="31">
        <f t="shared" si="1"/>
        <v>0.75</v>
      </c>
      <c r="M223" s="31">
        <f t="shared" si="2"/>
        <v>4.25</v>
      </c>
      <c r="N223" s="32">
        <f t="shared" si="3"/>
        <v>507.261</v>
      </c>
      <c r="O223" s="32">
        <f t="shared" si="4"/>
        <v>2874.479</v>
      </c>
      <c r="P223" s="32">
        <f t="shared" si="5"/>
        <v>2874.479</v>
      </c>
      <c r="Q223" s="22">
        <v>0.0</v>
      </c>
      <c r="R223" s="32">
        <f t="shared" si="6"/>
        <v>676.348</v>
      </c>
      <c r="S223" s="33" t="s">
        <v>29</v>
      </c>
      <c r="T223" s="33" t="s">
        <v>30</v>
      </c>
      <c r="U223" s="34"/>
      <c r="V223" s="35"/>
      <c r="W223" s="7"/>
      <c r="X223" s="7"/>
      <c r="Y223" s="7"/>
      <c r="Z223" s="7"/>
      <c r="AA223" s="7"/>
    </row>
    <row r="224" ht="18.75" customHeight="1">
      <c r="A224" s="8" t="s">
        <v>130</v>
      </c>
      <c r="B224" s="53" t="s">
        <v>131</v>
      </c>
      <c r="C224" s="8" t="s">
        <v>294</v>
      </c>
      <c r="D224" s="50">
        <v>3155.0</v>
      </c>
      <c r="E224" s="8" t="s">
        <v>384</v>
      </c>
      <c r="F224" s="11" t="s">
        <v>26</v>
      </c>
      <c r="G224" s="12" t="s">
        <v>27</v>
      </c>
      <c r="H224" s="13">
        <v>2449.0</v>
      </c>
      <c r="I224" s="14">
        <v>5.0</v>
      </c>
      <c r="J224" s="15" t="s">
        <v>81</v>
      </c>
      <c r="K224" s="16">
        <v>0.15</v>
      </c>
      <c r="L224" s="17">
        <f t="shared" si="1"/>
        <v>0.75</v>
      </c>
      <c r="M224" s="17">
        <f t="shared" si="2"/>
        <v>4.25</v>
      </c>
      <c r="N224" s="18">
        <f t="shared" si="3"/>
        <v>367.35</v>
      </c>
      <c r="O224" s="18">
        <f t="shared" si="4"/>
        <v>2081.65</v>
      </c>
      <c r="P224" s="18">
        <f t="shared" si="5"/>
        <v>2081.65</v>
      </c>
      <c r="Q224" s="8">
        <v>0.0</v>
      </c>
      <c r="R224" s="18">
        <f t="shared" si="6"/>
        <v>489.8</v>
      </c>
      <c r="S224" s="19" t="s">
        <v>29</v>
      </c>
      <c r="T224" s="19" t="s">
        <v>30</v>
      </c>
      <c r="U224" s="20" t="s">
        <v>385</v>
      </c>
      <c r="V224" s="37"/>
      <c r="W224" s="7"/>
      <c r="X224" s="7"/>
      <c r="Y224" s="7"/>
      <c r="Z224" s="7"/>
      <c r="AA224" s="7"/>
    </row>
    <row r="225" ht="18.75" customHeight="1">
      <c r="A225" s="22" t="s">
        <v>130</v>
      </c>
      <c r="B225" s="54" t="s">
        <v>131</v>
      </c>
      <c r="C225" s="23" t="s">
        <v>197</v>
      </c>
      <c r="D225" s="24">
        <v>3156.0</v>
      </c>
      <c r="E225" s="22" t="s">
        <v>386</v>
      </c>
      <c r="F225" s="25" t="s">
        <v>26</v>
      </c>
      <c r="G225" s="26" t="s">
        <v>27</v>
      </c>
      <c r="H225" s="27">
        <v>37.9</v>
      </c>
      <c r="I225" s="28">
        <v>5.0</v>
      </c>
      <c r="J225" s="29" t="s">
        <v>81</v>
      </c>
      <c r="K225" s="30">
        <v>0.15</v>
      </c>
      <c r="L225" s="31">
        <f t="shared" si="1"/>
        <v>0.75</v>
      </c>
      <c r="M225" s="31">
        <f t="shared" si="2"/>
        <v>4.25</v>
      </c>
      <c r="N225" s="32">
        <f t="shared" si="3"/>
        <v>5.685</v>
      </c>
      <c r="O225" s="32">
        <f t="shared" si="4"/>
        <v>32.215</v>
      </c>
      <c r="P225" s="32">
        <f t="shared" si="5"/>
        <v>32.215</v>
      </c>
      <c r="Q225" s="22">
        <v>0.0</v>
      </c>
      <c r="R225" s="32">
        <f t="shared" si="6"/>
        <v>7.58</v>
      </c>
      <c r="S225" s="33" t="s">
        <v>29</v>
      </c>
      <c r="T225" s="33" t="s">
        <v>30</v>
      </c>
      <c r="U225" s="34" t="s">
        <v>302</v>
      </c>
      <c r="V225" s="35"/>
      <c r="W225" s="7"/>
      <c r="X225" s="7"/>
      <c r="Y225" s="7"/>
      <c r="Z225" s="7"/>
      <c r="AA225" s="7"/>
    </row>
    <row r="226" ht="18.75" customHeight="1">
      <c r="A226" s="8" t="s">
        <v>130</v>
      </c>
      <c r="B226" s="53" t="s">
        <v>131</v>
      </c>
      <c r="C226" s="9" t="s">
        <v>224</v>
      </c>
      <c r="D226" s="10" t="s">
        <v>387</v>
      </c>
      <c r="E226" s="8" t="s">
        <v>388</v>
      </c>
      <c r="F226" s="11" t="s">
        <v>37</v>
      </c>
      <c r="G226" s="12" t="s">
        <v>27</v>
      </c>
      <c r="H226" s="13">
        <v>457.83</v>
      </c>
      <c r="I226" s="14">
        <v>10.0</v>
      </c>
      <c r="J226" s="48" t="s">
        <v>63</v>
      </c>
      <c r="K226" s="16">
        <v>0.7</v>
      </c>
      <c r="L226" s="17">
        <f t="shared" si="1"/>
        <v>7</v>
      </c>
      <c r="M226" s="17">
        <f t="shared" si="2"/>
        <v>3</v>
      </c>
      <c r="N226" s="18">
        <f t="shared" si="3"/>
        <v>320.481</v>
      </c>
      <c r="O226" s="18">
        <f t="shared" si="4"/>
        <v>137.349</v>
      </c>
      <c r="P226" s="18">
        <f t="shared" si="5"/>
        <v>137.349</v>
      </c>
      <c r="Q226" s="8">
        <v>0.0</v>
      </c>
      <c r="R226" s="18">
        <f t="shared" si="6"/>
        <v>45.783</v>
      </c>
      <c r="S226" s="19" t="s">
        <v>29</v>
      </c>
      <c r="T226" s="19" t="s">
        <v>30</v>
      </c>
      <c r="U226" s="20" t="s">
        <v>389</v>
      </c>
      <c r="V226" s="37"/>
      <c r="W226" s="7"/>
      <c r="X226" s="7"/>
      <c r="Y226" s="7"/>
      <c r="Z226" s="7"/>
      <c r="AA226" s="7"/>
    </row>
    <row r="227" ht="18.75" customHeight="1">
      <c r="A227" s="22" t="s">
        <v>130</v>
      </c>
      <c r="B227" s="54" t="s">
        <v>131</v>
      </c>
      <c r="C227" s="23" t="s">
        <v>24</v>
      </c>
      <c r="D227" s="24" t="s">
        <v>390</v>
      </c>
      <c r="E227" s="22" t="s">
        <v>391</v>
      </c>
      <c r="F227" s="25" t="s">
        <v>26</v>
      </c>
      <c r="G227" s="26" t="s">
        <v>27</v>
      </c>
      <c r="H227" s="27">
        <v>813.0</v>
      </c>
      <c r="I227" s="28">
        <v>5.0</v>
      </c>
      <c r="J227" s="29" t="s">
        <v>38</v>
      </c>
      <c r="K227" s="30">
        <v>0.5</v>
      </c>
      <c r="L227" s="31">
        <f t="shared" si="1"/>
        <v>2.5</v>
      </c>
      <c r="M227" s="31">
        <f t="shared" si="2"/>
        <v>2.5</v>
      </c>
      <c r="N227" s="32">
        <f t="shared" si="3"/>
        <v>406.5</v>
      </c>
      <c r="O227" s="32">
        <f t="shared" si="4"/>
        <v>406.5</v>
      </c>
      <c r="P227" s="32">
        <f t="shared" si="5"/>
        <v>406.5</v>
      </c>
      <c r="Q227" s="22">
        <v>0.0</v>
      </c>
      <c r="R227" s="32">
        <f t="shared" si="6"/>
        <v>162.6</v>
      </c>
      <c r="S227" s="33" t="s">
        <v>29</v>
      </c>
      <c r="T227" s="33" t="s">
        <v>30</v>
      </c>
      <c r="U227" s="34" t="s">
        <v>392</v>
      </c>
      <c r="V227" s="35"/>
      <c r="W227" s="7"/>
      <c r="X227" s="7"/>
      <c r="Y227" s="7"/>
      <c r="Z227" s="7"/>
      <c r="AA227" s="7"/>
    </row>
    <row r="228" ht="18.75" customHeight="1">
      <c r="A228" s="8" t="s">
        <v>130</v>
      </c>
      <c r="B228" s="53" t="s">
        <v>131</v>
      </c>
      <c r="C228" s="9" t="s">
        <v>150</v>
      </c>
      <c r="D228" s="10" t="s">
        <v>393</v>
      </c>
      <c r="E228" s="8" t="s">
        <v>394</v>
      </c>
      <c r="F228" s="11" t="s">
        <v>37</v>
      </c>
      <c r="G228" s="12" t="s">
        <v>27</v>
      </c>
      <c r="H228" s="13">
        <v>1647.58</v>
      </c>
      <c r="I228" s="14">
        <v>10.0</v>
      </c>
      <c r="J228" s="15" t="s">
        <v>54</v>
      </c>
      <c r="K228" s="16">
        <v>0.3</v>
      </c>
      <c r="L228" s="17">
        <f t="shared" si="1"/>
        <v>3</v>
      </c>
      <c r="M228" s="17">
        <f t="shared" si="2"/>
        <v>7</v>
      </c>
      <c r="N228" s="18">
        <f t="shared" si="3"/>
        <v>494.274</v>
      </c>
      <c r="O228" s="18">
        <f t="shared" si="4"/>
        <v>1153.306</v>
      </c>
      <c r="P228" s="18">
        <f t="shared" si="5"/>
        <v>1153.306</v>
      </c>
      <c r="Q228" s="8">
        <v>0.0</v>
      </c>
      <c r="R228" s="18">
        <f t="shared" si="6"/>
        <v>164.758</v>
      </c>
      <c r="S228" s="19" t="s">
        <v>29</v>
      </c>
      <c r="T228" s="19" t="s">
        <v>30</v>
      </c>
      <c r="U228" s="20" t="s">
        <v>325</v>
      </c>
      <c r="V228" s="37"/>
      <c r="W228" s="7"/>
      <c r="X228" s="7"/>
      <c r="Y228" s="7"/>
      <c r="Z228" s="7"/>
      <c r="AA228" s="7"/>
    </row>
    <row r="229" ht="18.75" customHeight="1">
      <c r="A229" s="22" t="s">
        <v>130</v>
      </c>
      <c r="B229" s="54" t="s">
        <v>131</v>
      </c>
      <c r="C229" s="23" t="s">
        <v>145</v>
      </c>
      <c r="D229" s="24" t="s">
        <v>395</v>
      </c>
      <c r="E229" s="22" t="s">
        <v>396</v>
      </c>
      <c r="F229" s="25" t="s">
        <v>37</v>
      </c>
      <c r="G229" s="26" t="s">
        <v>27</v>
      </c>
      <c r="H229" s="27">
        <v>529.0</v>
      </c>
      <c r="I229" s="28">
        <v>10.0</v>
      </c>
      <c r="J229" s="29" t="s">
        <v>54</v>
      </c>
      <c r="K229" s="30">
        <v>0.3</v>
      </c>
      <c r="L229" s="31">
        <f t="shared" si="1"/>
        <v>3</v>
      </c>
      <c r="M229" s="31">
        <f t="shared" si="2"/>
        <v>7</v>
      </c>
      <c r="N229" s="32">
        <f t="shared" si="3"/>
        <v>158.7</v>
      </c>
      <c r="O229" s="32">
        <f t="shared" si="4"/>
        <v>370.3</v>
      </c>
      <c r="P229" s="32">
        <f t="shared" si="5"/>
        <v>370.3</v>
      </c>
      <c r="Q229" s="22">
        <v>0.0</v>
      </c>
      <c r="R229" s="32">
        <f t="shared" si="6"/>
        <v>52.9</v>
      </c>
      <c r="S229" s="33" t="s">
        <v>29</v>
      </c>
      <c r="T229" s="33" t="s">
        <v>30</v>
      </c>
      <c r="U229" s="34" t="s">
        <v>275</v>
      </c>
      <c r="V229" s="35"/>
      <c r="W229" s="7"/>
      <c r="X229" s="7"/>
      <c r="Y229" s="7"/>
      <c r="Z229" s="7"/>
      <c r="AA229" s="7"/>
    </row>
    <row r="230" ht="18.75" customHeight="1">
      <c r="A230" s="8" t="s">
        <v>397</v>
      </c>
      <c r="B230" s="61" t="s">
        <v>398</v>
      </c>
      <c r="C230" s="61" t="s">
        <v>33</v>
      </c>
      <c r="D230" s="62">
        <v>0.0</v>
      </c>
      <c r="E230" s="8" t="s">
        <v>399</v>
      </c>
      <c r="F230" s="11" t="s">
        <v>26</v>
      </c>
      <c r="G230" s="12" t="s">
        <v>27</v>
      </c>
      <c r="H230" s="13">
        <v>463.56</v>
      </c>
      <c r="I230" s="14">
        <v>5.0</v>
      </c>
      <c r="J230" s="15" t="s">
        <v>54</v>
      </c>
      <c r="K230" s="16">
        <v>0.3</v>
      </c>
      <c r="L230" s="17">
        <f t="shared" si="1"/>
        <v>1.5</v>
      </c>
      <c r="M230" s="17">
        <f t="shared" si="2"/>
        <v>3.5</v>
      </c>
      <c r="N230" s="18">
        <f t="shared" si="3"/>
        <v>139.068</v>
      </c>
      <c r="O230" s="18">
        <f t="shared" si="4"/>
        <v>324.492</v>
      </c>
      <c r="P230" s="18">
        <f t="shared" si="5"/>
        <v>324.492</v>
      </c>
      <c r="Q230" s="8">
        <v>0.0</v>
      </c>
      <c r="R230" s="18">
        <f t="shared" si="6"/>
        <v>92.712</v>
      </c>
      <c r="S230" s="19" t="s">
        <v>29</v>
      </c>
      <c r="T230" s="19" t="s">
        <v>30</v>
      </c>
      <c r="U230" s="20" t="s">
        <v>125</v>
      </c>
      <c r="V230" s="37"/>
      <c r="W230" s="7"/>
      <c r="X230" s="7"/>
      <c r="Y230" s="7"/>
      <c r="Z230" s="7"/>
      <c r="AA230" s="7"/>
    </row>
    <row r="231" ht="18.75" customHeight="1">
      <c r="A231" s="22" t="s">
        <v>397</v>
      </c>
      <c r="B231" s="63" t="s">
        <v>398</v>
      </c>
      <c r="C231" s="63" t="s">
        <v>33</v>
      </c>
      <c r="D231" s="64">
        <v>0.0</v>
      </c>
      <c r="E231" s="22" t="s">
        <v>400</v>
      </c>
      <c r="F231" s="25" t="s">
        <v>26</v>
      </c>
      <c r="G231" s="26" t="s">
        <v>27</v>
      </c>
      <c r="H231" s="27">
        <v>463.56</v>
      </c>
      <c r="I231" s="28">
        <v>5.0</v>
      </c>
      <c r="J231" s="29" t="s">
        <v>54</v>
      </c>
      <c r="K231" s="30">
        <v>0.3</v>
      </c>
      <c r="L231" s="31">
        <f t="shared" si="1"/>
        <v>1.5</v>
      </c>
      <c r="M231" s="31">
        <f t="shared" si="2"/>
        <v>3.5</v>
      </c>
      <c r="N231" s="32">
        <f t="shared" si="3"/>
        <v>139.068</v>
      </c>
      <c r="O231" s="32">
        <f t="shared" si="4"/>
        <v>324.492</v>
      </c>
      <c r="P231" s="32">
        <f t="shared" si="5"/>
        <v>324.492</v>
      </c>
      <c r="Q231" s="22">
        <v>0.0</v>
      </c>
      <c r="R231" s="32">
        <f t="shared" si="6"/>
        <v>92.712</v>
      </c>
      <c r="S231" s="33" t="s">
        <v>29</v>
      </c>
      <c r="T231" s="33" t="s">
        <v>30</v>
      </c>
      <c r="U231" s="34" t="s">
        <v>125</v>
      </c>
      <c r="V231" s="35"/>
      <c r="W231" s="7"/>
      <c r="X231" s="7"/>
      <c r="Y231" s="7"/>
      <c r="Z231" s="7"/>
      <c r="AA231" s="7"/>
    </row>
    <row r="232" ht="18.75" customHeight="1">
      <c r="A232" s="8" t="s">
        <v>397</v>
      </c>
      <c r="B232" s="61" t="s">
        <v>398</v>
      </c>
      <c r="C232" s="61" t="s">
        <v>145</v>
      </c>
      <c r="D232" s="62">
        <v>0.0</v>
      </c>
      <c r="E232" s="8" t="s">
        <v>401</v>
      </c>
      <c r="F232" s="11" t="s">
        <v>26</v>
      </c>
      <c r="G232" s="12" t="s">
        <v>27</v>
      </c>
      <c r="H232" s="13">
        <v>463.56</v>
      </c>
      <c r="I232" s="14">
        <v>5.0</v>
      </c>
      <c r="J232" s="15" t="s">
        <v>54</v>
      </c>
      <c r="K232" s="16">
        <v>0.3</v>
      </c>
      <c r="L232" s="17">
        <f t="shared" si="1"/>
        <v>1.5</v>
      </c>
      <c r="M232" s="17">
        <f t="shared" si="2"/>
        <v>3.5</v>
      </c>
      <c r="N232" s="18">
        <f t="shared" si="3"/>
        <v>139.068</v>
      </c>
      <c r="O232" s="18">
        <f t="shared" si="4"/>
        <v>324.492</v>
      </c>
      <c r="P232" s="18">
        <f t="shared" si="5"/>
        <v>324.492</v>
      </c>
      <c r="Q232" s="8">
        <v>0.0</v>
      </c>
      <c r="R232" s="18">
        <f t="shared" si="6"/>
        <v>92.712</v>
      </c>
      <c r="S232" s="19" t="s">
        <v>29</v>
      </c>
      <c r="T232" s="19" t="s">
        <v>30</v>
      </c>
      <c r="U232" s="20" t="s">
        <v>125</v>
      </c>
      <c r="V232" s="37"/>
      <c r="W232" s="7"/>
      <c r="X232" s="7"/>
      <c r="Y232" s="7"/>
      <c r="Z232" s="7"/>
      <c r="AA232" s="7"/>
    </row>
    <row r="233" ht="18.75" customHeight="1">
      <c r="A233" s="22" t="s">
        <v>397</v>
      </c>
      <c r="B233" s="63" t="s">
        <v>398</v>
      </c>
      <c r="C233" s="63" t="s">
        <v>33</v>
      </c>
      <c r="D233" s="64">
        <v>0.0</v>
      </c>
      <c r="E233" s="22" t="s">
        <v>402</v>
      </c>
      <c r="F233" s="25" t="s">
        <v>26</v>
      </c>
      <c r="G233" s="26" t="s">
        <v>27</v>
      </c>
      <c r="H233" s="27">
        <v>651.75</v>
      </c>
      <c r="I233" s="28">
        <v>5.0</v>
      </c>
      <c r="J233" s="29" t="s">
        <v>54</v>
      </c>
      <c r="K233" s="30">
        <v>0.3</v>
      </c>
      <c r="L233" s="31">
        <f t="shared" si="1"/>
        <v>1.5</v>
      </c>
      <c r="M233" s="31">
        <f t="shared" si="2"/>
        <v>3.5</v>
      </c>
      <c r="N233" s="32">
        <f t="shared" si="3"/>
        <v>195.525</v>
      </c>
      <c r="O233" s="32">
        <f t="shared" si="4"/>
        <v>456.225</v>
      </c>
      <c r="P233" s="32">
        <f t="shared" si="5"/>
        <v>456.225</v>
      </c>
      <c r="Q233" s="22">
        <v>0.0</v>
      </c>
      <c r="R233" s="32">
        <f t="shared" si="6"/>
        <v>130.35</v>
      </c>
      <c r="S233" s="33" t="s">
        <v>29</v>
      </c>
      <c r="T233" s="33" t="s">
        <v>30</v>
      </c>
      <c r="U233" s="34" t="s">
        <v>121</v>
      </c>
      <c r="V233" s="35"/>
      <c r="W233" s="7"/>
      <c r="X233" s="7"/>
      <c r="Y233" s="7"/>
      <c r="Z233" s="7"/>
      <c r="AA233" s="7"/>
    </row>
    <row r="234" ht="18.75" customHeight="1">
      <c r="A234" s="8" t="s">
        <v>397</v>
      </c>
      <c r="B234" s="61" t="s">
        <v>398</v>
      </c>
      <c r="C234" s="61" t="s">
        <v>33</v>
      </c>
      <c r="D234" s="62">
        <v>0.0</v>
      </c>
      <c r="E234" s="8" t="s">
        <v>403</v>
      </c>
      <c r="F234" s="11" t="s">
        <v>26</v>
      </c>
      <c r="G234" s="12" t="s">
        <v>27</v>
      </c>
      <c r="H234" s="13">
        <v>143.57</v>
      </c>
      <c r="I234" s="14">
        <v>5.0</v>
      </c>
      <c r="J234" s="15" t="s">
        <v>38</v>
      </c>
      <c r="K234" s="16">
        <v>0.5</v>
      </c>
      <c r="L234" s="17">
        <f t="shared" si="1"/>
        <v>2.5</v>
      </c>
      <c r="M234" s="17">
        <f t="shared" si="2"/>
        <v>2.5</v>
      </c>
      <c r="N234" s="18">
        <f t="shared" si="3"/>
        <v>71.785</v>
      </c>
      <c r="O234" s="18">
        <f t="shared" si="4"/>
        <v>71.785</v>
      </c>
      <c r="P234" s="18">
        <f t="shared" si="5"/>
        <v>71.785</v>
      </c>
      <c r="Q234" s="8">
        <v>0.0</v>
      </c>
      <c r="R234" s="18">
        <f t="shared" si="6"/>
        <v>28.714</v>
      </c>
      <c r="S234" s="19" t="s">
        <v>29</v>
      </c>
      <c r="T234" s="19" t="s">
        <v>30</v>
      </c>
      <c r="U234" s="20" t="s">
        <v>335</v>
      </c>
      <c r="V234" s="37"/>
      <c r="W234" s="7"/>
      <c r="X234" s="7"/>
      <c r="Y234" s="7"/>
      <c r="Z234" s="7"/>
      <c r="AA234" s="7"/>
    </row>
    <row r="235" ht="18.75" customHeight="1">
      <c r="A235" s="22" t="s">
        <v>397</v>
      </c>
      <c r="B235" s="63" t="s">
        <v>398</v>
      </c>
      <c r="C235" s="63" t="s">
        <v>33</v>
      </c>
      <c r="D235" s="64">
        <v>0.0</v>
      </c>
      <c r="E235" s="22" t="s">
        <v>404</v>
      </c>
      <c r="F235" s="25" t="s">
        <v>26</v>
      </c>
      <c r="G235" s="26" t="s">
        <v>27</v>
      </c>
      <c r="H235" s="27">
        <v>576.47</v>
      </c>
      <c r="I235" s="28">
        <v>5.0</v>
      </c>
      <c r="J235" s="29" t="s">
        <v>54</v>
      </c>
      <c r="K235" s="30">
        <v>0.3</v>
      </c>
      <c r="L235" s="31">
        <f t="shared" si="1"/>
        <v>1.5</v>
      </c>
      <c r="M235" s="31">
        <f t="shared" si="2"/>
        <v>3.5</v>
      </c>
      <c r="N235" s="32">
        <f t="shared" si="3"/>
        <v>172.941</v>
      </c>
      <c r="O235" s="32">
        <f t="shared" si="4"/>
        <v>403.529</v>
      </c>
      <c r="P235" s="32">
        <f t="shared" si="5"/>
        <v>403.529</v>
      </c>
      <c r="Q235" s="22">
        <v>0.0</v>
      </c>
      <c r="R235" s="32">
        <f t="shared" si="6"/>
        <v>115.294</v>
      </c>
      <c r="S235" s="33" t="s">
        <v>29</v>
      </c>
      <c r="T235" s="33" t="s">
        <v>30</v>
      </c>
      <c r="U235" s="34" t="s">
        <v>114</v>
      </c>
      <c r="V235" s="35"/>
      <c r="W235" s="7"/>
      <c r="X235" s="7"/>
      <c r="Y235" s="7"/>
      <c r="Z235" s="7"/>
      <c r="AA235" s="7"/>
    </row>
    <row r="236" ht="18.75" customHeight="1">
      <c r="A236" s="8" t="s">
        <v>397</v>
      </c>
      <c r="B236" s="61" t="s">
        <v>398</v>
      </c>
      <c r="C236" s="61" t="s">
        <v>33</v>
      </c>
      <c r="D236" s="62">
        <v>0.0</v>
      </c>
      <c r="E236" s="8" t="s">
        <v>405</v>
      </c>
      <c r="F236" s="11" t="s">
        <v>26</v>
      </c>
      <c r="G236" s="12" t="s">
        <v>27</v>
      </c>
      <c r="H236" s="13">
        <v>623.61</v>
      </c>
      <c r="I236" s="14">
        <v>5.0</v>
      </c>
      <c r="J236" s="15" t="s">
        <v>38</v>
      </c>
      <c r="K236" s="16">
        <v>0.5</v>
      </c>
      <c r="L236" s="17">
        <f t="shared" si="1"/>
        <v>2.5</v>
      </c>
      <c r="M236" s="17">
        <f t="shared" si="2"/>
        <v>2.5</v>
      </c>
      <c r="N236" s="18">
        <f t="shared" si="3"/>
        <v>311.805</v>
      </c>
      <c r="O236" s="18">
        <f t="shared" si="4"/>
        <v>311.805</v>
      </c>
      <c r="P236" s="18">
        <f t="shared" si="5"/>
        <v>311.805</v>
      </c>
      <c r="Q236" s="8">
        <v>0.0</v>
      </c>
      <c r="R236" s="18">
        <f t="shared" si="6"/>
        <v>124.722</v>
      </c>
      <c r="S236" s="19" t="s">
        <v>29</v>
      </c>
      <c r="T236" s="19" t="s">
        <v>30</v>
      </c>
      <c r="U236" s="20" t="s">
        <v>117</v>
      </c>
      <c r="V236" s="37"/>
      <c r="W236" s="7"/>
      <c r="X236" s="7"/>
      <c r="Y236" s="7"/>
      <c r="Z236" s="7"/>
      <c r="AA236" s="7"/>
    </row>
    <row r="237" ht="18.75" customHeight="1">
      <c r="A237" s="22" t="s">
        <v>397</v>
      </c>
      <c r="B237" s="63" t="s">
        <v>398</v>
      </c>
      <c r="C237" s="63" t="s">
        <v>33</v>
      </c>
      <c r="D237" s="64">
        <v>1208.0</v>
      </c>
      <c r="E237" s="22" t="s">
        <v>406</v>
      </c>
      <c r="F237" s="25" t="s">
        <v>26</v>
      </c>
      <c r="G237" s="26" t="s">
        <v>27</v>
      </c>
      <c r="H237" s="27">
        <v>6583.2</v>
      </c>
      <c r="I237" s="28">
        <v>10.0</v>
      </c>
      <c r="J237" s="29" t="s">
        <v>38</v>
      </c>
      <c r="K237" s="30">
        <v>0.5</v>
      </c>
      <c r="L237" s="31">
        <f t="shared" si="1"/>
        <v>5</v>
      </c>
      <c r="M237" s="31">
        <f t="shared" si="2"/>
        <v>5</v>
      </c>
      <c r="N237" s="32">
        <f t="shared" si="3"/>
        <v>3291.6</v>
      </c>
      <c r="O237" s="32">
        <f t="shared" si="4"/>
        <v>3291.6</v>
      </c>
      <c r="P237" s="32">
        <f t="shared" si="5"/>
        <v>3291.6</v>
      </c>
      <c r="Q237" s="22">
        <v>0.0</v>
      </c>
      <c r="R237" s="32">
        <f t="shared" si="6"/>
        <v>658.32</v>
      </c>
      <c r="S237" s="33" t="s">
        <v>29</v>
      </c>
      <c r="T237" s="33" t="s">
        <v>30</v>
      </c>
      <c r="U237" s="34" t="s">
        <v>312</v>
      </c>
      <c r="V237" s="35"/>
      <c r="W237" s="7"/>
      <c r="X237" s="7"/>
      <c r="Y237" s="7"/>
      <c r="Z237" s="7"/>
      <c r="AA237" s="7"/>
    </row>
    <row r="238" ht="18.75" customHeight="1">
      <c r="A238" s="8" t="s">
        <v>397</v>
      </c>
      <c r="B238" s="61" t="s">
        <v>398</v>
      </c>
      <c r="C238" s="61" t="s">
        <v>33</v>
      </c>
      <c r="D238" s="62">
        <v>1212.0</v>
      </c>
      <c r="E238" s="8" t="s">
        <v>407</v>
      </c>
      <c r="F238" s="11" t="s">
        <v>37</v>
      </c>
      <c r="G238" s="12" t="s">
        <v>27</v>
      </c>
      <c r="H238" s="13">
        <v>469.2</v>
      </c>
      <c r="I238" s="14">
        <v>10.0</v>
      </c>
      <c r="J238" s="15" t="s">
        <v>38</v>
      </c>
      <c r="K238" s="16">
        <v>0.5</v>
      </c>
      <c r="L238" s="17">
        <f t="shared" si="1"/>
        <v>5</v>
      </c>
      <c r="M238" s="17">
        <f t="shared" si="2"/>
        <v>5</v>
      </c>
      <c r="N238" s="18">
        <f t="shared" si="3"/>
        <v>234.6</v>
      </c>
      <c r="O238" s="18">
        <f t="shared" si="4"/>
        <v>234.6</v>
      </c>
      <c r="P238" s="18">
        <f t="shared" si="5"/>
        <v>234.6</v>
      </c>
      <c r="Q238" s="8">
        <v>0.0</v>
      </c>
      <c r="R238" s="18">
        <f t="shared" si="6"/>
        <v>46.92</v>
      </c>
      <c r="S238" s="19" t="s">
        <v>29</v>
      </c>
      <c r="T238" s="19" t="s">
        <v>30</v>
      </c>
      <c r="U238" s="36" t="s">
        <v>52</v>
      </c>
      <c r="V238" s="37"/>
      <c r="W238" s="7"/>
      <c r="X238" s="7"/>
      <c r="Y238" s="7"/>
      <c r="Z238" s="7"/>
      <c r="AA238" s="7"/>
    </row>
    <row r="239" ht="18.75" customHeight="1">
      <c r="A239" s="22" t="s">
        <v>397</v>
      </c>
      <c r="B239" s="63" t="s">
        <v>398</v>
      </c>
      <c r="C239" s="63" t="s">
        <v>33</v>
      </c>
      <c r="D239" s="64">
        <v>1213.0</v>
      </c>
      <c r="E239" s="22" t="s">
        <v>408</v>
      </c>
      <c r="F239" s="25" t="s">
        <v>26</v>
      </c>
      <c r="G239" s="26" t="s">
        <v>27</v>
      </c>
      <c r="H239" s="27">
        <v>279.0</v>
      </c>
      <c r="I239" s="28">
        <v>5.0</v>
      </c>
      <c r="J239" s="29" t="s">
        <v>38</v>
      </c>
      <c r="K239" s="30">
        <v>0.5</v>
      </c>
      <c r="L239" s="31">
        <f t="shared" si="1"/>
        <v>2.5</v>
      </c>
      <c r="M239" s="31">
        <f t="shared" si="2"/>
        <v>2.5</v>
      </c>
      <c r="N239" s="32">
        <f t="shared" si="3"/>
        <v>139.5</v>
      </c>
      <c r="O239" s="32">
        <f t="shared" si="4"/>
        <v>139.5</v>
      </c>
      <c r="P239" s="32">
        <f t="shared" si="5"/>
        <v>139.5</v>
      </c>
      <c r="Q239" s="22">
        <v>0.0</v>
      </c>
      <c r="R239" s="32">
        <f t="shared" si="6"/>
        <v>55.8</v>
      </c>
      <c r="S239" s="33" t="s">
        <v>29</v>
      </c>
      <c r="T239" s="33" t="s">
        <v>30</v>
      </c>
      <c r="U239" s="34" t="s">
        <v>55</v>
      </c>
      <c r="V239" s="35"/>
      <c r="W239" s="7"/>
      <c r="X239" s="7"/>
      <c r="Y239" s="7"/>
      <c r="Z239" s="7"/>
      <c r="AA239" s="7"/>
    </row>
    <row r="240" ht="18.75" customHeight="1">
      <c r="A240" s="8" t="s">
        <v>397</v>
      </c>
      <c r="B240" s="61" t="s">
        <v>398</v>
      </c>
      <c r="C240" s="61" t="s">
        <v>33</v>
      </c>
      <c r="D240" s="62">
        <v>1214.0</v>
      </c>
      <c r="E240" s="8" t="s">
        <v>409</v>
      </c>
      <c r="F240" s="11" t="s">
        <v>37</v>
      </c>
      <c r="G240" s="12" t="s">
        <v>27</v>
      </c>
      <c r="H240" s="13">
        <v>1647.58</v>
      </c>
      <c r="I240" s="14">
        <v>15.0</v>
      </c>
      <c r="J240" s="15" t="s">
        <v>38</v>
      </c>
      <c r="K240" s="16">
        <v>0.5</v>
      </c>
      <c r="L240" s="17">
        <f t="shared" si="1"/>
        <v>7.5</v>
      </c>
      <c r="M240" s="17">
        <f t="shared" si="2"/>
        <v>7.5</v>
      </c>
      <c r="N240" s="18">
        <f t="shared" si="3"/>
        <v>823.79</v>
      </c>
      <c r="O240" s="18">
        <f t="shared" si="4"/>
        <v>823.79</v>
      </c>
      <c r="P240" s="18">
        <f t="shared" si="5"/>
        <v>823.79</v>
      </c>
      <c r="Q240" s="8">
        <v>0.0</v>
      </c>
      <c r="R240" s="18">
        <f t="shared" si="6"/>
        <v>109.8386667</v>
      </c>
      <c r="S240" s="19" t="s">
        <v>29</v>
      </c>
      <c r="T240" s="19" t="s">
        <v>30</v>
      </c>
      <c r="U240" s="20" t="s">
        <v>325</v>
      </c>
      <c r="V240" s="37"/>
      <c r="W240" s="7"/>
      <c r="X240" s="7"/>
      <c r="Y240" s="7"/>
      <c r="Z240" s="7"/>
      <c r="AA240" s="7"/>
    </row>
    <row r="241" ht="18.75" customHeight="1">
      <c r="A241" s="22" t="s">
        <v>397</v>
      </c>
      <c r="B241" s="63" t="s">
        <v>398</v>
      </c>
      <c r="C241" s="63" t="s">
        <v>33</v>
      </c>
      <c r="D241" s="64">
        <v>1215.0</v>
      </c>
      <c r="E241" s="22" t="s">
        <v>410</v>
      </c>
      <c r="F241" s="25" t="s">
        <v>37</v>
      </c>
      <c r="G241" s="26" t="s">
        <v>27</v>
      </c>
      <c r="H241" s="27">
        <v>1614.0</v>
      </c>
      <c r="I241" s="28">
        <v>10.0</v>
      </c>
      <c r="J241" s="29" t="s">
        <v>38</v>
      </c>
      <c r="K241" s="30">
        <v>0.5</v>
      </c>
      <c r="L241" s="31">
        <f t="shared" si="1"/>
        <v>5</v>
      </c>
      <c r="M241" s="31">
        <f t="shared" si="2"/>
        <v>5</v>
      </c>
      <c r="N241" s="32">
        <f t="shared" si="3"/>
        <v>807</v>
      </c>
      <c r="O241" s="32">
        <f t="shared" si="4"/>
        <v>807</v>
      </c>
      <c r="P241" s="32">
        <f t="shared" si="5"/>
        <v>807</v>
      </c>
      <c r="Q241" s="22">
        <v>0.0</v>
      </c>
      <c r="R241" s="32">
        <f t="shared" si="6"/>
        <v>161.4</v>
      </c>
      <c r="S241" s="33" t="s">
        <v>29</v>
      </c>
      <c r="T241" s="33" t="s">
        <v>30</v>
      </c>
      <c r="U241" s="34" t="s">
        <v>411</v>
      </c>
      <c r="V241" s="35"/>
      <c r="W241" s="7"/>
      <c r="X241" s="7"/>
      <c r="Y241" s="7"/>
      <c r="Z241" s="7"/>
      <c r="AA241" s="7"/>
    </row>
    <row r="242" ht="18.75" customHeight="1">
      <c r="A242" s="8" t="s">
        <v>397</v>
      </c>
      <c r="B242" s="61" t="s">
        <v>398</v>
      </c>
      <c r="C242" s="61" t="s">
        <v>33</v>
      </c>
      <c r="D242" s="62">
        <v>1219.0</v>
      </c>
      <c r="E242" s="8" t="s">
        <v>412</v>
      </c>
      <c r="F242" s="11" t="s">
        <v>26</v>
      </c>
      <c r="G242" s="12" t="s">
        <v>27</v>
      </c>
      <c r="H242" s="13">
        <v>1351.57</v>
      </c>
      <c r="I242" s="14">
        <v>10.0</v>
      </c>
      <c r="J242" s="15" t="s">
        <v>28</v>
      </c>
      <c r="K242" s="16">
        <v>0.4</v>
      </c>
      <c r="L242" s="17">
        <f t="shared" si="1"/>
        <v>4</v>
      </c>
      <c r="M242" s="17">
        <f t="shared" si="2"/>
        <v>6</v>
      </c>
      <c r="N242" s="18">
        <f t="shared" si="3"/>
        <v>540.628</v>
      </c>
      <c r="O242" s="18">
        <f t="shared" si="4"/>
        <v>810.942</v>
      </c>
      <c r="P242" s="18">
        <f t="shared" si="5"/>
        <v>810.942</v>
      </c>
      <c r="Q242" s="8">
        <v>0.0</v>
      </c>
      <c r="R242" s="18">
        <f t="shared" si="6"/>
        <v>135.157</v>
      </c>
      <c r="S242" s="19" t="s">
        <v>29</v>
      </c>
      <c r="T242" s="19" t="s">
        <v>30</v>
      </c>
      <c r="U242" s="20" t="s">
        <v>41</v>
      </c>
      <c r="V242" s="37"/>
      <c r="W242" s="7"/>
      <c r="X242" s="7"/>
      <c r="Y242" s="7"/>
      <c r="Z242" s="7"/>
      <c r="AA242" s="7"/>
    </row>
    <row r="243" ht="18.75" customHeight="1">
      <c r="A243" s="22" t="s">
        <v>397</v>
      </c>
      <c r="B243" s="63" t="s">
        <v>398</v>
      </c>
      <c r="C243" s="63" t="s">
        <v>33</v>
      </c>
      <c r="D243" s="64">
        <v>1220.0</v>
      </c>
      <c r="E243" s="22" t="s">
        <v>413</v>
      </c>
      <c r="F243" s="25" t="s">
        <v>26</v>
      </c>
      <c r="G243" s="26" t="s">
        <v>27</v>
      </c>
      <c r="H243" s="27">
        <v>1897.0</v>
      </c>
      <c r="I243" s="28">
        <v>10.0</v>
      </c>
      <c r="J243" s="29" t="s">
        <v>38</v>
      </c>
      <c r="K243" s="30">
        <v>0.5</v>
      </c>
      <c r="L243" s="31">
        <f t="shared" si="1"/>
        <v>5</v>
      </c>
      <c r="M243" s="31">
        <f t="shared" si="2"/>
        <v>5</v>
      </c>
      <c r="N243" s="32">
        <f t="shared" si="3"/>
        <v>948.5</v>
      </c>
      <c r="O243" s="32">
        <f t="shared" si="4"/>
        <v>948.5</v>
      </c>
      <c r="P243" s="32">
        <f t="shared" si="5"/>
        <v>948.5</v>
      </c>
      <c r="Q243" s="22">
        <v>0.0</v>
      </c>
      <c r="R243" s="32">
        <f t="shared" si="6"/>
        <v>189.7</v>
      </c>
      <c r="S243" s="33" t="s">
        <v>29</v>
      </c>
      <c r="T243" s="33" t="s">
        <v>30</v>
      </c>
      <c r="U243" s="34" t="s">
        <v>43</v>
      </c>
      <c r="V243" s="35"/>
      <c r="W243" s="7"/>
      <c r="X243" s="7"/>
      <c r="Y243" s="7"/>
      <c r="Z243" s="7"/>
      <c r="AA243" s="7"/>
    </row>
    <row r="244" ht="18.75" customHeight="1">
      <c r="A244" s="8" t="s">
        <v>397</v>
      </c>
      <c r="B244" s="61" t="s">
        <v>398</v>
      </c>
      <c r="C244" s="61" t="s">
        <v>33</v>
      </c>
      <c r="D244" s="62">
        <v>1221.0</v>
      </c>
      <c r="E244" s="8" t="s">
        <v>414</v>
      </c>
      <c r="F244" s="11" t="s">
        <v>26</v>
      </c>
      <c r="G244" s="12" t="s">
        <v>27</v>
      </c>
      <c r="H244" s="13">
        <v>2338.0</v>
      </c>
      <c r="I244" s="14">
        <v>10.0</v>
      </c>
      <c r="J244" s="15" t="s">
        <v>38</v>
      </c>
      <c r="K244" s="16">
        <v>0.5</v>
      </c>
      <c r="L244" s="17">
        <f t="shared" si="1"/>
        <v>5</v>
      </c>
      <c r="M244" s="17">
        <f t="shared" si="2"/>
        <v>5</v>
      </c>
      <c r="N244" s="18">
        <f t="shared" si="3"/>
        <v>1169</v>
      </c>
      <c r="O244" s="18">
        <f t="shared" si="4"/>
        <v>1169</v>
      </c>
      <c r="P244" s="18">
        <f t="shared" si="5"/>
        <v>1169</v>
      </c>
      <c r="Q244" s="8">
        <v>0.0</v>
      </c>
      <c r="R244" s="18">
        <f t="shared" si="6"/>
        <v>233.8</v>
      </c>
      <c r="S244" s="19" t="s">
        <v>29</v>
      </c>
      <c r="T244" s="19" t="s">
        <v>30</v>
      </c>
      <c r="U244" s="36" t="s">
        <v>45</v>
      </c>
      <c r="V244" s="37"/>
      <c r="W244" s="7"/>
      <c r="X244" s="7"/>
      <c r="Y244" s="7"/>
      <c r="Z244" s="7"/>
      <c r="AA244" s="7"/>
    </row>
    <row r="245" ht="18.75" customHeight="1">
      <c r="A245" s="22" t="s">
        <v>397</v>
      </c>
      <c r="B245" s="63" t="s">
        <v>398</v>
      </c>
      <c r="C245" s="63" t="s">
        <v>33</v>
      </c>
      <c r="D245" s="64">
        <v>1222.0</v>
      </c>
      <c r="E245" s="22" t="s">
        <v>415</v>
      </c>
      <c r="F245" s="25" t="s">
        <v>26</v>
      </c>
      <c r="G245" s="26" t="s">
        <v>27</v>
      </c>
      <c r="H245" s="27">
        <v>22652.48</v>
      </c>
      <c r="I245" s="28">
        <v>10.0</v>
      </c>
      <c r="J245" s="29" t="s">
        <v>38</v>
      </c>
      <c r="K245" s="30">
        <v>0.5</v>
      </c>
      <c r="L245" s="31">
        <f t="shared" si="1"/>
        <v>5</v>
      </c>
      <c r="M245" s="31">
        <f t="shared" si="2"/>
        <v>5</v>
      </c>
      <c r="N245" s="32">
        <f t="shared" si="3"/>
        <v>11326.24</v>
      </c>
      <c r="O245" s="32">
        <f t="shared" si="4"/>
        <v>11326.24</v>
      </c>
      <c r="P245" s="32">
        <f t="shared" si="5"/>
        <v>11326.24</v>
      </c>
      <c r="Q245" s="22">
        <v>0.0</v>
      </c>
      <c r="R245" s="32">
        <f t="shared" si="6"/>
        <v>2265.248</v>
      </c>
      <c r="S245" s="33" t="s">
        <v>29</v>
      </c>
      <c r="T245" s="33" t="s">
        <v>30</v>
      </c>
      <c r="U245" s="34" t="s">
        <v>50</v>
      </c>
      <c r="V245" s="35"/>
      <c r="W245" s="7"/>
      <c r="X245" s="7"/>
      <c r="Y245" s="7"/>
      <c r="Z245" s="7"/>
      <c r="AA245" s="7"/>
    </row>
    <row r="246" ht="18.75" customHeight="1">
      <c r="A246" s="8" t="s">
        <v>397</v>
      </c>
      <c r="B246" s="61" t="s">
        <v>398</v>
      </c>
      <c r="C246" s="61" t="s">
        <v>33</v>
      </c>
      <c r="D246" s="62">
        <v>1223.0</v>
      </c>
      <c r="E246" s="8" t="s">
        <v>416</v>
      </c>
      <c r="F246" s="11" t="s">
        <v>26</v>
      </c>
      <c r="G246" s="12" t="s">
        <v>27</v>
      </c>
      <c r="H246" s="13">
        <v>15638.9</v>
      </c>
      <c r="I246" s="14">
        <v>10.0</v>
      </c>
      <c r="J246" s="48" t="s">
        <v>63</v>
      </c>
      <c r="K246" s="16">
        <v>0.7</v>
      </c>
      <c r="L246" s="17">
        <f t="shared" si="1"/>
        <v>7</v>
      </c>
      <c r="M246" s="17">
        <f t="shared" si="2"/>
        <v>3</v>
      </c>
      <c r="N246" s="18">
        <f t="shared" si="3"/>
        <v>10947.23</v>
      </c>
      <c r="O246" s="18">
        <f t="shared" si="4"/>
        <v>4691.67</v>
      </c>
      <c r="P246" s="18">
        <f t="shared" si="5"/>
        <v>4691.67</v>
      </c>
      <c r="Q246" s="8">
        <v>0.0</v>
      </c>
      <c r="R246" s="18">
        <f t="shared" si="6"/>
        <v>1563.89</v>
      </c>
      <c r="S246" s="19" t="s">
        <v>29</v>
      </c>
      <c r="T246" s="19" t="s">
        <v>30</v>
      </c>
      <c r="U246" s="20" t="s">
        <v>35</v>
      </c>
      <c r="V246" s="37"/>
      <c r="W246" s="7"/>
      <c r="X246" s="7"/>
      <c r="Y246" s="7"/>
      <c r="Z246" s="7"/>
      <c r="AA246" s="7"/>
    </row>
    <row r="247" ht="18.75" customHeight="1">
      <c r="A247" s="22" t="s">
        <v>397</v>
      </c>
      <c r="B247" s="63" t="s">
        <v>398</v>
      </c>
      <c r="C247" s="63" t="s">
        <v>33</v>
      </c>
      <c r="D247" s="64">
        <v>1224.0</v>
      </c>
      <c r="E247" s="22" t="s">
        <v>417</v>
      </c>
      <c r="F247" s="25" t="s">
        <v>26</v>
      </c>
      <c r="G247" s="26" t="s">
        <v>27</v>
      </c>
      <c r="H247" s="27">
        <v>2219.0</v>
      </c>
      <c r="I247" s="28">
        <v>10.0</v>
      </c>
      <c r="J247" s="29" t="s">
        <v>38</v>
      </c>
      <c r="K247" s="30">
        <v>0.5</v>
      </c>
      <c r="L247" s="31">
        <f t="shared" si="1"/>
        <v>5</v>
      </c>
      <c r="M247" s="31">
        <f t="shared" si="2"/>
        <v>5</v>
      </c>
      <c r="N247" s="32">
        <f t="shared" si="3"/>
        <v>1109.5</v>
      </c>
      <c r="O247" s="32">
        <f t="shared" si="4"/>
        <v>1109.5</v>
      </c>
      <c r="P247" s="32">
        <f t="shared" si="5"/>
        <v>1109.5</v>
      </c>
      <c r="Q247" s="22">
        <v>0.0</v>
      </c>
      <c r="R247" s="32">
        <f t="shared" si="6"/>
        <v>221.9</v>
      </c>
      <c r="S247" s="33" t="s">
        <v>29</v>
      </c>
      <c r="T247" s="33" t="s">
        <v>30</v>
      </c>
      <c r="U247" s="34" t="s">
        <v>418</v>
      </c>
      <c r="V247" s="35"/>
      <c r="W247" s="7"/>
      <c r="X247" s="7"/>
      <c r="Y247" s="7"/>
      <c r="Z247" s="7"/>
      <c r="AA247" s="7"/>
    </row>
    <row r="248" ht="18.75" customHeight="1">
      <c r="A248" s="8" t="s">
        <v>397</v>
      </c>
      <c r="B248" s="61" t="s">
        <v>398</v>
      </c>
      <c r="C248" s="61" t="s">
        <v>253</v>
      </c>
      <c r="D248" s="62">
        <v>1225.0</v>
      </c>
      <c r="E248" s="8" t="s">
        <v>419</v>
      </c>
      <c r="F248" s="11" t="s">
        <v>37</v>
      </c>
      <c r="G248" s="12" t="s">
        <v>27</v>
      </c>
      <c r="H248" s="13">
        <v>216.0</v>
      </c>
      <c r="I248" s="14">
        <v>15.0</v>
      </c>
      <c r="J248" s="15" t="s">
        <v>38</v>
      </c>
      <c r="K248" s="16">
        <v>0.5</v>
      </c>
      <c r="L248" s="17">
        <f t="shared" si="1"/>
        <v>7.5</v>
      </c>
      <c r="M248" s="17">
        <f t="shared" si="2"/>
        <v>7.5</v>
      </c>
      <c r="N248" s="18">
        <f t="shared" si="3"/>
        <v>108</v>
      </c>
      <c r="O248" s="18">
        <f t="shared" si="4"/>
        <v>108</v>
      </c>
      <c r="P248" s="18">
        <f t="shared" si="5"/>
        <v>108</v>
      </c>
      <c r="Q248" s="8">
        <v>0.0</v>
      </c>
      <c r="R248" s="18">
        <f t="shared" si="6"/>
        <v>14.4</v>
      </c>
      <c r="S248" s="19" t="s">
        <v>29</v>
      </c>
      <c r="T248" s="19" t="s">
        <v>30</v>
      </c>
      <c r="U248" s="20" t="s">
        <v>420</v>
      </c>
      <c r="V248" s="37"/>
      <c r="W248" s="7"/>
      <c r="X248" s="7"/>
      <c r="Y248" s="7"/>
      <c r="Z248" s="7"/>
      <c r="AA248" s="7"/>
    </row>
    <row r="249" ht="18.75" customHeight="1">
      <c r="A249" s="22" t="s">
        <v>397</v>
      </c>
      <c r="B249" s="63" t="s">
        <v>398</v>
      </c>
      <c r="C249" s="63" t="s">
        <v>33</v>
      </c>
      <c r="D249" s="64">
        <v>1226.0</v>
      </c>
      <c r="E249" s="22" t="s">
        <v>421</v>
      </c>
      <c r="F249" s="25" t="s">
        <v>37</v>
      </c>
      <c r="G249" s="26" t="s">
        <v>27</v>
      </c>
      <c r="H249" s="27">
        <v>733.95</v>
      </c>
      <c r="I249" s="28">
        <v>5.0</v>
      </c>
      <c r="J249" s="41" t="s">
        <v>63</v>
      </c>
      <c r="K249" s="42">
        <v>0.700000000000001</v>
      </c>
      <c r="L249" s="31">
        <f t="shared" si="1"/>
        <v>3.5</v>
      </c>
      <c r="M249" s="31">
        <f t="shared" si="2"/>
        <v>1.5</v>
      </c>
      <c r="N249" s="32">
        <f t="shared" si="3"/>
        <v>513.765</v>
      </c>
      <c r="O249" s="32">
        <f t="shared" si="4"/>
        <v>220.185</v>
      </c>
      <c r="P249" s="32">
        <f t="shared" si="5"/>
        <v>220.185</v>
      </c>
      <c r="Q249" s="22">
        <v>0.0</v>
      </c>
      <c r="R249" s="32">
        <f t="shared" si="6"/>
        <v>146.79</v>
      </c>
      <c r="S249" s="33" t="s">
        <v>29</v>
      </c>
      <c r="T249" s="33" t="s">
        <v>30</v>
      </c>
      <c r="U249" s="34" t="s">
        <v>90</v>
      </c>
      <c r="V249" s="35"/>
      <c r="W249" s="7"/>
      <c r="X249" s="7"/>
      <c r="Y249" s="7"/>
      <c r="Z249" s="7"/>
      <c r="AA249" s="7"/>
    </row>
    <row r="250" ht="18.75" customHeight="1">
      <c r="A250" s="8" t="s">
        <v>397</v>
      </c>
      <c r="B250" s="61" t="s">
        <v>398</v>
      </c>
      <c r="C250" s="61" t="s">
        <v>33</v>
      </c>
      <c r="D250" s="62">
        <v>1229.0</v>
      </c>
      <c r="E250" s="8" t="s">
        <v>422</v>
      </c>
      <c r="F250" s="11" t="s">
        <v>26</v>
      </c>
      <c r="G250" s="12" t="s">
        <v>27</v>
      </c>
      <c r="H250" s="13">
        <v>2298.99</v>
      </c>
      <c r="I250" s="14">
        <v>10.0</v>
      </c>
      <c r="J250" s="15" t="s">
        <v>38</v>
      </c>
      <c r="K250" s="16">
        <v>0.5</v>
      </c>
      <c r="L250" s="17">
        <f t="shared" si="1"/>
        <v>5</v>
      </c>
      <c r="M250" s="17">
        <f t="shared" si="2"/>
        <v>5</v>
      </c>
      <c r="N250" s="18">
        <f t="shared" si="3"/>
        <v>1149.495</v>
      </c>
      <c r="O250" s="18">
        <f t="shared" si="4"/>
        <v>1149.495</v>
      </c>
      <c r="P250" s="18">
        <f t="shared" si="5"/>
        <v>1149.495</v>
      </c>
      <c r="Q250" s="8">
        <v>0.0</v>
      </c>
      <c r="R250" s="18">
        <f t="shared" si="6"/>
        <v>229.899</v>
      </c>
      <c r="S250" s="19" t="s">
        <v>29</v>
      </c>
      <c r="T250" s="19" t="s">
        <v>30</v>
      </c>
      <c r="U250" s="20" t="s">
        <v>423</v>
      </c>
      <c r="V250" s="37"/>
      <c r="W250" s="7"/>
      <c r="X250" s="7"/>
      <c r="Y250" s="7"/>
      <c r="Z250" s="7"/>
      <c r="AA250" s="7"/>
    </row>
    <row r="251" ht="18.75" customHeight="1">
      <c r="A251" s="22" t="s">
        <v>397</v>
      </c>
      <c r="B251" s="63" t="s">
        <v>398</v>
      </c>
      <c r="C251" s="63" t="s">
        <v>33</v>
      </c>
      <c r="D251" s="64">
        <v>1230.0</v>
      </c>
      <c r="E251" s="22" t="s">
        <v>424</v>
      </c>
      <c r="F251" s="25" t="s">
        <v>26</v>
      </c>
      <c r="G251" s="26" t="s">
        <v>27</v>
      </c>
      <c r="H251" s="27">
        <v>6246.9</v>
      </c>
      <c r="I251" s="28">
        <v>5.0</v>
      </c>
      <c r="J251" s="29" t="s">
        <v>38</v>
      </c>
      <c r="K251" s="30">
        <v>0.5</v>
      </c>
      <c r="L251" s="31">
        <f t="shared" si="1"/>
        <v>2.5</v>
      </c>
      <c r="M251" s="31">
        <f t="shared" si="2"/>
        <v>2.5</v>
      </c>
      <c r="N251" s="32">
        <f t="shared" si="3"/>
        <v>3123.45</v>
      </c>
      <c r="O251" s="32">
        <f t="shared" si="4"/>
        <v>3123.45</v>
      </c>
      <c r="P251" s="32">
        <f t="shared" si="5"/>
        <v>3123.45</v>
      </c>
      <c r="Q251" s="22">
        <v>0.0</v>
      </c>
      <c r="R251" s="32">
        <f t="shared" si="6"/>
        <v>1249.38</v>
      </c>
      <c r="S251" s="33" t="s">
        <v>29</v>
      </c>
      <c r="T251" s="33" t="s">
        <v>30</v>
      </c>
      <c r="U251" s="34" t="s">
        <v>333</v>
      </c>
      <c r="V251" s="35"/>
      <c r="W251" s="7"/>
      <c r="X251" s="7"/>
      <c r="Y251" s="7"/>
      <c r="Z251" s="7"/>
      <c r="AA251" s="7"/>
    </row>
    <row r="252" ht="18.75" customHeight="1">
      <c r="A252" s="8" t="s">
        <v>397</v>
      </c>
      <c r="B252" s="61" t="s">
        <v>398</v>
      </c>
      <c r="C252" s="61" t="s">
        <v>33</v>
      </c>
      <c r="D252" s="62">
        <v>1883.0</v>
      </c>
      <c r="E252" s="8" t="s">
        <v>425</v>
      </c>
      <c r="F252" s="11" t="s">
        <v>128</v>
      </c>
      <c r="G252" s="12" t="s">
        <v>27</v>
      </c>
      <c r="H252" s="13">
        <v>1669.0</v>
      </c>
      <c r="I252" s="14">
        <v>5.0</v>
      </c>
      <c r="J252" s="15" t="s">
        <v>38</v>
      </c>
      <c r="K252" s="16">
        <v>0.5</v>
      </c>
      <c r="L252" s="17">
        <f t="shared" si="1"/>
        <v>2.5</v>
      </c>
      <c r="M252" s="17">
        <f t="shared" si="2"/>
        <v>2.5</v>
      </c>
      <c r="N252" s="18">
        <f t="shared" si="3"/>
        <v>834.5</v>
      </c>
      <c r="O252" s="18">
        <f t="shared" si="4"/>
        <v>834.5</v>
      </c>
      <c r="P252" s="18">
        <f t="shared" si="5"/>
        <v>834.5</v>
      </c>
      <c r="Q252" s="8">
        <v>0.0</v>
      </c>
      <c r="R252" s="18">
        <f t="shared" si="6"/>
        <v>333.8</v>
      </c>
      <c r="S252" s="19" t="s">
        <v>29</v>
      </c>
      <c r="T252" s="19" t="s">
        <v>30</v>
      </c>
      <c r="U252" s="20" t="s">
        <v>129</v>
      </c>
      <c r="V252" s="37"/>
      <c r="W252" s="7"/>
      <c r="X252" s="7"/>
      <c r="Y252" s="7"/>
      <c r="Z252" s="7"/>
      <c r="AA252" s="7"/>
    </row>
    <row r="253" ht="18.75" customHeight="1">
      <c r="A253" s="22" t="s">
        <v>397</v>
      </c>
      <c r="B253" s="63" t="s">
        <v>398</v>
      </c>
      <c r="C253" s="63" t="s">
        <v>33</v>
      </c>
      <c r="D253" s="64">
        <v>2116.0</v>
      </c>
      <c r="E253" s="22" t="s">
        <v>426</v>
      </c>
      <c r="F253" s="25" t="s">
        <v>37</v>
      </c>
      <c r="G253" s="26" t="s">
        <v>27</v>
      </c>
      <c r="H253" s="27">
        <v>469.2</v>
      </c>
      <c r="I253" s="28">
        <v>10.0</v>
      </c>
      <c r="J253" s="45" t="s">
        <v>63</v>
      </c>
      <c r="K253" s="42">
        <v>0.700000000000001</v>
      </c>
      <c r="L253" s="31">
        <f t="shared" si="1"/>
        <v>7</v>
      </c>
      <c r="M253" s="31">
        <f t="shared" si="2"/>
        <v>3</v>
      </c>
      <c r="N253" s="32">
        <f t="shared" si="3"/>
        <v>328.44</v>
      </c>
      <c r="O253" s="32">
        <f t="shared" si="4"/>
        <v>140.76</v>
      </c>
      <c r="P253" s="32">
        <f t="shared" si="5"/>
        <v>140.76</v>
      </c>
      <c r="Q253" s="22">
        <v>0.0</v>
      </c>
      <c r="R253" s="32">
        <f t="shared" si="6"/>
        <v>46.92</v>
      </c>
      <c r="S253" s="33" t="s">
        <v>29</v>
      </c>
      <c r="T253" s="33" t="s">
        <v>30</v>
      </c>
      <c r="U253" s="38" t="s">
        <v>52</v>
      </c>
      <c r="V253" s="35"/>
      <c r="W253" s="7"/>
      <c r="X253" s="7"/>
      <c r="Y253" s="7"/>
      <c r="Z253" s="7"/>
      <c r="AA253" s="7"/>
    </row>
    <row r="254" ht="18.75" customHeight="1">
      <c r="A254" s="8" t="s">
        <v>397</v>
      </c>
      <c r="B254" s="61" t="s">
        <v>398</v>
      </c>
      <c r="C254" s="61" t="s">
        <v>33</v>
      </c>
      <c r="D254" s="62">
        <v>2139.0</v>
      </c>
      <c r="E254" s="8" t="s">
        <v>427</v>
      </c>
      <c r="F254" s="11" t="s">
        <v>26</v>
      </c>
      <c r="G254" s="12" t="s">
        <v>27</v>
      </c>
      <c r="H254" s="13">
        <v>328.8</v>
      </c>
      <c r="I254" s="14">
        <v>5.0</v>
      </c>
      <c r="J254" s="15" t="s">
        <v>54</v>
      </c>
      <c r="K254" s="16">
        <v>0.3</v>
      </c>
      <c r="L254" s="17">
        <f t="shared" si="1"/>
        <v>1.5</v>
      </c>
      <c r="M254" s="17">
        <f t="shared" si="2"/>
        <v>3.5</v>
      </c>
      <c r="N254" s="18">
        <f t="shared" si="3"/>
        <v>98.64</v>
      </c>
      <c r="O254" s="18">
        <f t="shared" si="4"/>
        <v>230.16</v>
      </c>
      <c r="P254" s="18">
        <f t="shared" si="5"/>
        <v>230.16</v>
      </c>
      <c r="Q254" s="8">
        <v>0.0</v>
      </c>
      <c r="R254" s="18">
        <f t="shared" si="6"/>
        <v>65.76</v>
      </c>
      <c r="S254" s="19" t="s">
        <v>29</v>
      </c>
      <c r="T254" s="19" t="s">
        <v>30</v>
      </c>
      <c r="U254" s="20" t="s">
        <v>344</v>
      </c>
      <c r="V254" s="37"/>
      <c r="W254" s="7"/>
      <c r="X254" s="7"/>
      <c r="Y254" s="7"/>
      <c r="Z254" s="7"/>
      <c r="AA254" s="7"/>
    </row>
    <row r="255" ht="18.75" customHeight="1">
      <c r="A255" s="22" t="s">
        <v>397</v>
      </c>
      <c r="B255" s="63" t="s">
        <v>398</v>
      </c>
      <c r="C255" s="63" t="s">
        <v>33</v>
      </c>
      <c r="D255" s="64">
        <v>2561.0</v>
      </c>
      <c r="E255" s="22" t="s">
        <v>428</v>
      </c>
      <c r="F255" s="25" t="s">
        <v>26</v>
      </c>
      <c r="G255" s="26" t="s">
        <v>27</v>
      </c>
      <c r="H255" s="65">
        <v>4899.9</v>
      </c>
      <c r="I255" s="28">
        <v>5.0</v>
      </c>
      <c r="J255" s="29" t="s">
        <v>54</v>
      </c>
      <c r="K255" s="30">
        <v>0.3</v>
      </c>
      <c r="L255" s="31">
        <f t="shared" si="1"/>
        <v>1.5</v>
      </c>
      <c r="M255" s="31">
        <f t="shared" si="2"/>
        <v>3.5</v>
      </c>
      <c r="N255" s="32">
        <f t="shared" si="3"/>
        <v>1469.97</v>
      </c>
      <c r="O255" s="32">
        <f t="shared" si="4"/>
        <v>3429.93</v>
      </c>
      <c r="P255" s="32">
        <f t="shared" si="5"/>
        <v>3429.93</v>
      </c>
      <c r="Q255" s="22">
        <v>0.0</v>
      </c>
      <c r="R255" s="32">
        <f t="shared" si="6"/>
        <v>979.98</v>
      </c>
      <c r="S255" s="33" t="s">
        <v>29</v>
      </c>
      <c r="T255" s="33" t="s">
        <v>30</v>
      </c>
      <c r="U255" s="66" t="s">
        <v>67</v>
      </c>
      <c r="V255" s="35"/>
      <c r="W255" s="7"/>
      <c r="X255" s="7"/>
      <c r="Y255" s="7"/>
      <c r="Z255" s="7"/>
      <c r="AA255" s="7"/>
    </row>
    <row r="256" ht="18.75" customHeight="1">
      <c r="A256" s="8" t="s">
        <v>397</v>
      </c>
      <c r="B256" s="61" t="s">
        <v>398</v>
      </c>
      <c r="C256" s="61" t="s">
        <v>33</v>
      </c>
      <c r="D256" s="62">
        <v>2837.0</v>
      </c>
      <c r="E256" s="48" t="s">
        <v>429</v>
      </c>
      <c r="F256" s="11" t="s">
        <v>26</v>
      </c>
      <c r="G256" s="12" t="s">
        <v>27</v>
      </c>
      <c r="H256" s="43">
        <v>1260.63</v>
      </c>
      <c r="I256" s="14">
        <v>10.0</v>
      </c>
      <c r="J256" s="46" t="s">
        <v>54</v>
      </c>
      <c r="K256" s="16">
        <v>0.3</v>
      </c>
      <c r="L256" s="17">
        <f t="shared" si="1"/>
        <v>3</v>
      </c>
      <c r="M256" s="17">
        <f t="shared" si="2"/>
        <v>7</v>
      </c>
      <c r="N256" s="18">
        <f t="shared" si="3"/>
        <v>378.189</v>
      </c>
      <c r="O256" s="18">
        <f t="shared" si="4"/>
        <v>882.441</v>
      </c>
      <c r="P256" s="18">
        <f t="shared" si="5"/>
        <v>882.441</v>
      </c>
      <c r="Q256" s="8">
        <v>0.0</v>
      </c>
      <c r="R256" s="18">
        <f t="shared" si="6"/>
        <v>126.063</v>
      </c>
      <c r="S256" s="19" t="s">
        <v>29</v>
      </c>
      <c r="T256" s="19" t="s">
        <v>30</v>
      </c>
      <c r="U256" s="47" t="s">
        <v>102</v>
      </c>
      <c r="V256" s="37"/>
      <c r="W256" s="7"/>
      <c r="X256" s="7"/>
      <c r="Y256" s="7"/>
      <c r="Z256" s="7"/>
      <c r="AA256" s="7"/>
    </row>
    <row r="257" ht="18.75" customHeight="1">
      <c r="A257" s="22" t="s">
        <v>397</v>
      </c>
      <c r="B257" s="63" t="s">
        <v>398</v>
      </c>
      <c r="C257" s="63" t="s">
        <v>33</v>
      </c>
      <c r="D257" s="64">
        <v>2838.0</v>
      </c>
      <c r="E257" s="45" t="s">
        <v>429</v>
      </c>
      <c r="F257" s="25" t="s">
        <v>26</v>
      </c>
      <c r="G257" s="26" t="s">
        <v>27</v>
      </c>
      <c r="H257" s="67">
        <v>1260.63</v>
      </c>
      <c r="I257" s="28">
        <v>10.0</v>
      </c>
      <c r="J257" s="41" t="s">
        <v>54</v>
      </c>
      <c r="K257" s="30">
        <v>0.3</v>
      </c>
      <c r="L257" s="31">
        <f t="shared" si="1"/>
        <v>3</v>
      </c>
      <c r="M257" s="31">
        <f t="shared" si="2"/>
        <v>7</v>
      </c>
      <c r="N257" s="32">
        <f t="shared" si="3"/>
        <v>378.189</v>
      </c>
      <c r="O257" s="32">
        <f t="shared" si="4"/>
        <v>882.441</v>
      </c>
      <c r="P257" s="32">
        <f t="shared" si="5"/>
        <v>882.441</v>
      </c>
      <c r="Q257" s="22">
        <v>0.0</v>
      </c>
      <c r="R257" s="32">
        <f t="shared" si="6"/>
        <v>126.063</v>
      </c>
      <c r="S257" s="33" t="s">
        <v>29</v>
      </c>
      <c r="T257" s="33" t="s">
        <v>30</v>
      </c>
      <c r="U257" s="68" t="s">
        <v>102</v>
      </c>
      <c r="V257" s="35"/>
      <c r="W257" s="7"/>
      <c r="X257" s="7"/>
      <c r="Y257" s="7"/>
      <c r="Z257" s="7"/>
      <c r="AA257" s="7"/>
    </row>
    <row r="258" ht="18.75" customHeight="1">
      <c r="A258" s="8" t="s">
        <v>397</v>
      </c>
      <c r="B258" s="61" t="s">
        <v>398</v>
      </c>
      <c r="C258" s="61" t="s">
        <v>33</v>
      </c>
      <c r="D258" s="62">
        <v>2887.0</v>
      </c>
      <c r="E258" s="8" t="s">
        <v>430</v>
      </c>
      <c r="F258" s="11" t="s">
        <v>202</v>
      </c>
      <c r="G258" s="69">
        <v>45806.0</v>
      </c>
      <c r="H258" s="13">
        <v>1954.45</v>
      </c>
      <c r="I258" s="14">
        <v>5.0</v>
      </c>
      <c r="J258" s="15" t="s">
        <v>54</v>
      </c>
      <c r="K258" s="16">
        <v>0.3</v>
      </c>
      <c r="L258" s="17">
        <f t="shared" si="1"/>
        <v>1.5</v>
      </c>
      <c r="M258" s="17">
        <f t="shared" si="2"/>
        <v>3.5</v>
      </c>
      <c r="N258" s="18">
        <f t="shared" si="3"/>
        <v>586.335</v>
      </c>
      <c r="O258" s="18">
        <f t="shared" si="4"/>
        <v>1368.115</v>
      </c>
      <c r="P258" s="18">
        <f t="shared" si="5"/>
        <v>1368.115</v>
      </c>
      <c r="Q258" s="8">
        <v>0.0</v>
      </c>
      <c r="R258" s="18">
        <f t="shared" si="6"/>
        <v>390.89</v>
      </c>
      <c r="S258" s="19" t="s">
        <v>29</v>
      </c>
      <c r="T258" s="19" t="s">
        <v>30</v>
      </c>
      <c r="U258" s="20"/>
      <c r="V258" s="37">
        <v>674460.0</v>
      </c>
      <c r="W258" s="7"/>
      <c r="X258" s="7"/>
      <c r="Y258" s="7"/>
      <c r="Z258" s="7"/>
      <c r="AA258" s="7"/>
    </row>
    <row r="259" ht="18.75" customHeight="1">
      <c r="A259" s="22" t="s">
        <v>397</v>
      </c>
      <c r="B259" s="63" t="s">
        <v>398</v>
      </c>
      <c r="C259" s="63" t="s">
        <v>33</v>
      </c>
      <c r="D259" s="64">
        <v>3151.0</v>
      </c>
      <c r="E259" s="22" t="s">
        <v>431</v>
      </c>
      <c r="F259" s="25" t="s">
        <v>26</v>
      </c>
      <c r="G259" s="26" t="s">
        <v>27</v>
      </c>
      <c r="H259" s="27">
        <v>603.0</v>
      </c>
      <c r="I259" s="28">
        <v>5.0</v>
      </c>
      <c r="J259" s="29" t="s">
        <v>81</v>
      </c>
      <c r="K259" s="30">
        <v>0.15</v>
      </c>
      <c r="L259" s="31">
        <f t="shared" si="1"/>
        <v>0.75</v>
      </c>
      <c r="M259" s="31">
        <f t="shared" si="2"/>
        <v>4.25</v>
      </c>
      <c r="N259" s="32">
        <f t="shared" si="3"/>
        <v>90.45</v>
      </c>
      <c r="O259" s="32">
        <f t="shared" si="4"/>
        <v>512.55</v>
      </c>
      <c r="P259" s="32">
        <f t="shared" si="5"/>
        <v>512.55</v>
      </c>
      <c r="Q259" s="22">
        <v>0.0</v>
      </c>
      <c r="R259" s="32">
        <f t="shared" si="6"/>
        <v>120.6</v>
      </c>
      <c r="S259" s="33" t="s">
        <v>29</v>
      </c>
      <c r="T259" s="33" t="s">
        <v>30</v>
      </c>
      <c r="U259" s="34" t="s">
        <v>79</v>
      </c>
      <c r="V259" s="35"/>
      <c r="W259" s="7"/>
      <c r="X259" s="7"/>
      <c r="Y259" s="7"/>
      <c r="Z259" s="7"/>
      <c r="AA259" s="7"/>
    </row>
    <row r="260" ht="18.75" customHeight="1">
      <c r="A260" s="8" t="s">
        <v>432</v>
      </c>
      <c r="B260" s="53" t="s">
        <v>131</v>
      </c>
      <c r="C260" s="9" t="s">
        <v>433</v>
      </c>
      <c r="D260" s="10">
        <v>0.0</v>
      </c>
      <c r="E260" s="8" t="s">
        <v>434</v>
      </c>
      <c r="F260" s="11" t="s">
        <v>26</v>
      </c>
      <c r="G260" s="12" t="s">
        <v>27</v>
      </c>
      <c r="H260" s="13">
        <v>463.56</v>
      </c>
      <c r="I260" s="14">
        <v>5.0</v>
      </c>
      <c r="J260" s="15" t="s">
        <v>54</v>
      </c>
      <c r="K260" s="16">
        <v>0.3</v>
      </c>
      <c r="L260" s="17">
        <f t="shared" si="1"/>
        <v>1.5</v>
      </c>
      <c r="M260" s="17">
        <f t="shared" si="2"/>
        <v>3.5</v>
      </c>
      <c r="N260" s="18">
        <f t="shared" si="3"/>
        <v>139.068</v>
      </c>
      <c r="O260" s="18">
        <f t="shared" si="4"/>
        <v>324.492</v>
      </c>
      <c r="P260" s="18">
        <f t="shared" si="5"/>
        <v>324.492</v>
      </c>
      <c r="Q260" s="8">
        <v>0.0</v>
      </c>
      <c r="R260" s="18">
        <f t="shared" si="6"/>
        <v>92.712</v>
      </c>
      <c r="S260" s="19" t="s">
        <v>29</v>
      </c>
      <c r="T260" s="19" t="s">
        <v>30</v>
      </c>
      <c r="U260" s="20" t="s">
        <v>125</v>
      </c>
      <c r="V260" s="37"/>
      <c r="W260" s="7"/>
      <c r="X260" s="7"/>
      <c r="Y260" s="7"/>
      <c r="Z260" s="7"/>
      <c r="AA260" s="7"/>
    </row>
    <row r="261" ht="18.75" customHeight="1">
      <c r="A261" s="22" t="s">
        <v>432</v>
      </c>
      <c r="B261" s="54" t="s">
        <v>131</v>
      </c>
      <c r="C261" s="23" t="s">
        <v>33</v>
      </c>
      <c r="D261" s="24">
        <v>0.0</v>
      </c>
      <c r="E261" s="22" t="s">
        <v>435</v>
      </c>
      <c r="F261" s="25" t="s">
        <v>26</v>
      </c>
      <c r="G261" s="26" t="s">
        <v>27</v>
      </c>
      <c r="H261" s="27">
        <v>651.75</v>
      </c>
      <c r="I261" s="28">
        <v>5.0</v>
      </c>
      <c r="J261" s="29" t="s">
        <v>54</v>
      </c>
      <c r="K261" s="30">
        <v>0.3</v>
      </c>
      <c r="L261" s="31">
        <f t="shared" si="1"/>
        <v>1.5</v>
      </c>
      <c r="M261" s="31">
        <f t="shared" si="2"/>
        <v>3.5</v>
      </c>
      <c r="N261" s="32">
        <f t="shared" si="3"/>
        <v>195.525</v>
      </c>
      <c r="O261" s="32">
        <f t="shared" si="4"/>
        <v>456.225</v>
      </c>
      <c r="P261" s="32">
        <f t="shared" si="5"/>
        <v>456.225</v>
      </c>
      <c r="Q261" s="22">
        <v>0.0</v>
      </c>
      <c r="R261" s="32">
        <f t="shared" si="6"/>
        <v>130.35</v>
      </c>
      <c r="S261" s="33" t="s">
        <v>29</v>
      </c>
      <c r="T261" s="33" t="s">
        <v>30</v>
      </c>
      <c r="U261" s="34" t="s">
        <v>121</v>
      </c>
      <c r="V261" s="35"/>
      <c r="W261" s="7"/>
      <c r="X261" s="7"/>
      <c r="Y261" s="7"/>
      <c r="Z261" s="7"/>
      <c r="AA261" s="7"/>
    </row>
    <row r="262" ht="18.75" customHeight="1">
      <c r="A262" s="8" t="s">
        <v>432</v>
      </c>
      <c r="B262" s="53" t="s">
        <v>131</v>
      </c>
      <c r="C262" s="9" t="s">
        <v>33</v>
      </c>
      <c r="D262" s="10">
        <v>0.0</v>
      </c>
      <c r="E262" s="8" t="s">
        <v>436</v>
      </c>
      <c r="F262" s="11" t="s">
        <v>26</v>
      </c>
      <c r="G262" s="12" t="s">
        <v>27</v>
      </c>
      <c r="H262" s="13">
        <v>576.47</v>
      </c>
      <c r="I262" s="14">
        <v>5.0</v>
      </c>
      <c r="J262" s="15" t="s">
        <v>54</v>
      </c>
      <c r="K262" s="16">
        <v>0.3</v>
      </c>
      <c r="L262" s="17">
        <f t="shared" si="1"/>
        <v>1.5</v>
      </c>
      <c r="M262" s="17">
        <f t="shared" si="2"/>
        <v>3.5</v>
      </c>
      <c r="N262" s="18">
        <f t="shared" si="3"/>
        <v>172.941</v>
      </c>
      <c r="O262" s="18">
        <f t="shared" si="4"/>
        <v>403.529</v>
      </c>
      <c r="P262" s="18">
        <f t="shared" si="5"/>
        <v>403.529</v>
      </c>
      <c r="Q262" s="8">
        <v>0.0</v>
      </c>
      <c r="R262" s="18">
        <f t="shared" si="6"/>
        <v>115.294</v>
      </c>
      <c r="S262" s="19" t="s">
        <v>29</v>
      </c>
      <c r="T262" s="19" t="s">
        <v>30</v>
      </c>
      <c r="U262" s="20" t="s">
        <v>114</v>
      </c>
      <c r="V262" s="37"/>
      <c r="W262" s="7"/>
      <c r="X262" s="7"/>
      <c r="Y262" s="7"/>
      <c r="Z262" s="7"/>
      <c r="AA262" s="7"/>
    </row>
    <row r="263" ht="18.75" customHeight="1">
      <c r="A263" s="22" t="s">
        <v>432</v>
      </c>
      <c r="B263" s="54" t="s">
        <v>131</v>
      </c>
      <c r="C263" s="23" t="s">
        <v>433</v>
      </c>
      <c r="D263" s="24">
        <v>226.0</v>
      </c>
      <c r="E263" s="22" t="s">
        <v>437</v>
      </c>
      <c r="F263" s="25" t="s">
        <v>202</v>
      </c>
      <c r="G263" s="26" t="s">
        <v>27</v>
      </c>
      <c r="H263" s="27">
        <v>399.0</v>
      </c>
      <c r="I263" s="28">
        <v>5.0</v>
      </c>
      <c r="J263" s="29" t="s">
        <v>154</v>
      </c>
      <c r="K263" s="30">
        <v>0.8</v>
      </c>
      <c r="L263" s="31">
        <f t="shared" si="1"/>
        <v>4</v>
      </c>
      <c r="M263" s="31">
        <f t="shared" si="2"/>
        <v>1</v>
      </c>
      <c r="N263" s="32">
        <f t="shared" si="3"/>
        <v>319.2</v>
      </c>
      <c r="O263" s="32">
        <f t="shared" si="4"/>
        <v>79.8</v>
      </c>
      <c r="P263" s="32">
        <f t="shared" si="5"/>
        <v>79.8</v>
      </c>
      <c r="Q263" s="22">
        <v>0.0</v>
      </c>
      <c r="R263" s="32">
        <f t="shared" si="6"/>
        <v>79.8</v>
      </c>
      <c r="S263" s="33" t="s">
        <v>29</v>
      </c>
      <c r="T263" s="33" t="s">
        <v>30</v>
      </c>
      <c r="U263" s="38" t="s">
        <v>438</v>
      </c>
      <c r="V263" s="35"/>
      <c r="W263" s="7"/>
      <c r="X263" s="7"/>
      <c r="Y263" s="7"/>
      <c r="Z263" s="7"/>
      <c r="AA263" s="7"/>
    </row>
    <row r="264" ht="18.75" customHeight="1">
      <c r="A264" s="8" t="s">
        <v>432</v>
      </c>
      <c r="B264" s="53" t="s">
        <v>131</v>
      </c>
      <c r="C264" s="9" t="s">
        <v>433</v>
      </c>
      <c r="D264" s="10">
        <v>819.0</v>
      </c>
      <c r="E264" s="8" t="s">
        <v>439</v>
      </c>
      <c r="F264" s="11" t="s">
        <v>37</v>
      </c>
      <c r="G264" s="12" t="s">
        <v>27</v>
      </c>
      <c r="H264" s="13">
        <v>945.0</v>
      </c>
      <c r="I264" s="14">
        <v>15.0</v>
      </c>
      <c r="J264" s="48" t="s">
        <v>63</v>
      </c>
      <c r="K264" s="16">
        <v>0.700000000000001</v>
      </c>
      <c r="L264" s="17">
        <f t="shared" si="1"/>
        <v>10.5</v>
      </c>
      <c r="M264" s="17">
        <f t="shared" si="2"/>
        <v>4.5</v>
      </c>
      <c r="N264" s="18">
        <f t="shared" si="3"/>
        <v>661.5</v>
      </c>
      <c r="O264" s="18">
        <f t="shared" si="4"/>
        <v>283.5</v>
      </c>
      <c r="P264" s="18">
        <f t="shared" si="5"/>
        <v>283.5</v>
      </c>
      <c r="Q264" s="8">
        <v>0.0</v>
      </c>
      <c r="R264" s="18">
        <f t="shared" si="6"/>
        <v>63</v>
      </c>
      <c r="S264" s="19" t="s">
        <v>29</v>
      </c>
      <c r="T264" s="19" t="s">
        <v>30</v>
      </c>
      <c r="U264" s="20" t="s">
        <v>205</v>
      </c>
      <c r="V264" s="37"/>
      <c r="W264" s="7"/>
      <c r="X264" s="7"/>
      <c r="Y264" s="7"/>
      <c r="Z264" s="7"/>
      <c r="AA264" s="7"/>
    </row>
    <row r="265" ht="18.75" customHeight="1">
      <c r="A265" s="22" t="s">
        <v>432</v>
      </c>
      <c r="B265" s="54" t="s">
        <v>131</v>
      </c>
      <c r="C265" s="23" t="s">
        <v>433</v>
      </c>
      <c r="D265" s="24">
        <v>822.0</v>
      </c>
      <c r="E265" s="22" t="s">
        <v>440</v>
      </c>
      <c r="F265" s="25" t="s">
        <v>37</v>
      </c>
      <c r="G265" s="26" t="s">
        <v>27</v>
      </c>
      <c r="H265" s="27">
        <v>469.2</v>
      </c>
      <c r="I265" s="28">
        <v>10.0</v>
      </c>
      <c r="J265" s="29" t="s">
        <v>54</v>
      </c>
      <c r="K265" s="30">
        <v>0.3</v>
      </c>
      <c r="L265" s="31">
        <f t="shared" si="1"/>
        <v>3</v>
      </c>
      <c r="M265" s="31">
        <f t="shared" si="2"/>
        <v>7</v>
      </c>
      <c r="N265" s="32">
        <f t="shared" si="3"/>
        <v>140.76</v>
      </c>
      <c r="O265" s="32">
        <f t="shared" si="4"/>
        <v>328.44</v>
      </c>
      <c r="P265" s="32">
        <f t="shared" si="5"/>
        <v>328.44</v>
      </c>
      <c r="Q265" s="22">
        <v>0.0</v>
      </c>
      <c r="R265" s="32">
        <f t="shared" si="6"/>
        <v>46.92</v>
      </c>
      <c r="S265" s="33" t="s">
        <v>29</v>
      </c>
      <c r="T265" s="33" t="s">
        <v>30</v>
      </c>
      <c r="U265" s="38" t="s">
        <v>52</v>
      </c>
      <c r="V265" s="35"/>
      <c r="W265" s="49"/>
      <c r="X265" s="49"/>
      <c r="Y265" s="49"/>
      <c r="Z265" s="49"/>
      <c r="AA265" s="49"/>
    </row>
    <row r="266" ht="18.75" customHeight="1">
      <c r="A266" s="8" t="s">
        <v>432</v>
      </c>
      <c r="B266" s="53" t="s">
        <v>131</v>
      </c>
      <c r="C266" s="9" t="s">
        <v>433</v>
      </c>
      <c r="D266" s="10">
        <v>823.0</v>
      </c>
      <c r="E266" s="8" t="s">
        <v>440</v>
      </c>
      <c r="F266" s="11" t="s">
        <v>37</v>
      </c>
      <c r="G266" s="12" t="s">
        <v>27</v>
      </c>
      <c r="H266" s="13">
        <v>469.2</v>
      </c>
      <c r="I266" s="14">
        <v>10.0</v>
      </c>
      <c r="J266" s="15" t="s">
        <v>54</v>
      </c>
      <c r="K266" s="16">
        <v>0.3</v>
      </c>
      <c r="L266" s="17">
        <f t="shared" si="1"/>
        <v>3</v>
      </c>
      <c r="M266" s="17">
        <f t="shared" si="2"/>
        <v>7</v>
      </c>
      <c r="N266" s="18">
        <f t="shared" si="3"/>
        <v>140.76</v>
      </c>
      <c r="O266" s="18">
        <f t="shared" si="4"/>
        <v>328.44</v>
      </c>
      <c r="P266" s="18">
        <f t="shared" si="5"/>
        <v>328.44</v>
      </c>
      <c r="Q266" s="8">
        <v>0.0</v>
      </c>
      <c r="R266" s="18">
        <f t="shared" si="6"/>
        <v>46.92</v>
      </c>
      <c r="S266" s="19" t="s">
        <v>29</v>
      </c>
      <c r="T266" s="19" t="s">
        <v>30</v>
      </c>
      <c r="U266" s="36" t="s">
        <v>52</v>
      </c>
      <c r="V266" s="37"/>
      <c r="W266" s="7"/>
      <c r="X266" s="7"/>
      <c r="Y266" s="7"/>
      <c r="Z266" s="7"/>
      <c r="AA266" s="7"/>
    </row>
    <row r="267" ht="18.75" customHeight="1">
      <c r="A267" s="22" t="s">
        <v>432</v>
      </c>
      <c r="B267" s="54" t="s">
        <v>131</v>
      </c>
      <c r="C267" s="23" t="s">
        <v>433</v>
      </c>
      <c r="D267" s="24">
        <v>824.0</v>
      </c>
      <c r="E267" s="22" t="s">
        <v>413</v>
      </c>
      <c r="F267" s="25" t="s">
        <v>26</v>
      </c>
      <c r="G267" s="26" t="s">
        <v>27</v>
      </c>
      <c r="H267" s="27">
        <v>1897.0</v>
      </c>
      <c r="I267" s="28">
        <v>10.0</v>
      </c>
      <c r="J267" s="29" t="s">
        <v>38</v>
      </c>
      <c r="K267" s="30">
        <v>0.5</v>
      </c>
      <c r="L267" s="31">
        <f t="shared" si="1"/>
        <v>5</v>
      </c>
      <c r="M267" s="31">
        <f t="shared" si="2"/>
        <v>5</v>
      </c>
      <c r="N267" s="32">
        <f t="shared" si="3"/>
        <v>948.5</v>
      </c>
      <c r="O267" s="32">
        <f t="shared" si="4"/>
        <v>948.5</v>
      </c>
      <c r="P267" s="32">
        <f t="shared" si="5"/>
        <v>948.5</v>
      </c>
      <c r="Q267" s="22">
        <v>0.0</v>
      </c>
      <c r="R267" s="32">
        <f t="shared" si="6"/>
        <v>189.7</v>
      </c>
      <c r="S267" s="33" t="s">
        <v>29</v>
      </c>
      <c r="T267" s="33" t="s">
        <v>30</v>
      </c>
      <c r="U267" s="34" t="s">
        <v>43</v>
      </c>
      <c r="V267" s="35"/>
      <c r="W267" s="7"/>
      <c r="X267" s="7"/>
      <c r="Y267" s="7"/>
      <c r="Z267" s="7"/>
      <c r="AA267" s="7"/>
    </row>
    <row r="268" ht="18.75" customHeight="1">
      <c r="A268" s="8" t="s">
        <v>432</v>
      </c>
      <c r="B268" s="53" t="s">
        <v>131</v>
      </c>
      <c r="C268" s="9" t="s">
        <v>433</v>
      </c>
      <c r="D268" s="10">
        <v>825.0</v>
      </c>
      <c r="E268" s="8" t="s">
        <v>441</v>
      </c>
      <c r="F268" s="11" t="s">
        <v>26</v>
      </c>
      <c r="G268" s="12" t="s">
        <v>27</v>
      </c>
      <c r="H268" s="13">
        <v>22652.48</v>
      </c>
      <c r="I268" s="14">
        <v>10.0</v>
      </c>
      <c r="J268" s="15" t="s">
        <v>38</v>
      </c>
      <c r="K268" s="16">
        <v>0.5</v>
      </c>
      <c r="L268" s="17">
        <f t="shared" si="1"/>
        <v>5</v>
      </c>
      <c r="M268" s="17">
        <f t="shared" si="2"/>
        <v>5</v>
      </c>
      <c r="N268" s="18">
        <f t="shared" si="3"/>
        <v>11326.24</v>
      </c>
      <c r="O268" s="18">
        <f t="shared" si="4"/>
        <v>11326.24</v>
      </c>
      <c r="P268" s="18">
        <f t="shared" si="5"/>
        <v>11326.24</v>
      </c>
      <c r="Q268" s="8">
        <v>0.0</v>
      </c>
      <c r="R268" s="18">
        <f t="shared" si="6"/>
        <v>2265.248</v>
      </c>
      <c r="S268" s="19" t="s">
        <v>29</v>
      </c>
      <c r="T268" s="19" t="s">
        <v>30</v>
      </c>
      <c r="U268" s="20" t="s">
        <v>50</v>
      </c>
      <c r="V268" s="37"/>
      <c r="W268" s="7"/>
      <c r="X268" s="7"/>
      <c r="Y268" s="7"/>
      <c r="Z268" s="7"/>
      <c r="AA268" s="7"/>
    </row>
    <row r="269" ht="18.75" customHeight="1">
      <c r="A269" s="22" t="s">
        <v>432</v>
      </c>
      <c r="B269" s="54" t="s">
        <v>131</v>
      </c>
      <c r="C269" s="23" t="s">
        <v>433</v>
      </c>
      <c r="D269" s="24">
        <v>826.0</v>
      </c>
      <c r="E269" s="22" t="s">
        <v>442</v>
      </c>
      <c r="F269" s="25" t="s">
        <v>26</v>
      </c>
      <c r="G269" s="26" t="s">
        <v>27</v>
      </c>
      <c r="H269" s="70">
        <v>2338.0</v>
      </c>
      <c r="I269" s="28">
        <v>10.0</v>
      </c>
      <c r="J269" s="29" t="s">
        <v>38</v>
      </c>
      <c r="K269" s="30">
        <v>0.5</v>
      </c>
      <c r="L269" s="31">
        <f t="shared" si="1"/>
        <v>5</v>
      </c>
      <c r="M269" s="31">
        <f t="shared" si="2"/>
        <v>5</v>
      </c>
      <c r="N269" s="32">
        <f t="shared" si="3"/>
        <v>1169</v>
      </c>
      <c r="O269" s="32">
        <f t="shared" si="4"/>
        <v>1169</v>
      </c>
      <c r="P269" s="32">
        <f t="shared" si="5"/>
        <v>1169</v>
      </c>
      <c r="Q269" s="22">
        <v>0.0</v>
      </c>
      <c r="R269" s="32">
        <f t="shared" si="6"/>
        <v>233.8</v>
      </c>
      <c r="S269" s="33" t="s">
        <v>29</v>
      </c>
      <c r="T269" s="33" t="s">
        <v>30</v>
      </c>
      <c r="U269" s="38" t="s">
        <v>45</v>
      </c>
      <c r="V269" s="35"/>
      <c r="W269" s="7"/>
      <c r="X269" s="7"/>
      <c r="Y269" s="7"/>
      <c r="Z269" s="7"/>
      <c r="AA269" s="7"/>
    </row>
    <row r="270" ht="18.75" customHeight="1">
      <c r="A270" s="8" t="s">
        <v>432</v>
      </c>
      <c r="B270" s="53" t="s">
        <v>131</v>
      </c>
      <c r="C270" s="9" t="s">
        <v>433</v>
      </c>
      <c r="D270" s="10">
        <v>827.0</v>
      </c>
      <c r="E270" s="8" t="s">
        <v>443</v>
      </c>
      <c r="F270" s="11" t="s">
        <v>37</v>
      </c>
      <c r="G270" s="12" t="s">
        <v>27</v>
      </c>
      <c r="H270" s="13">
        <v>1614.0</v>
      </c>
      <c r="I270" s="14">
        <v>10.0</v>
      </c>
      <c r="J270" s="48" t="s">
        <v>63</v>
      </c>
      <c r="K270" s="16">
        <v>0.700000000000001</v>
      </c>
      <c r="L270" s="17">
        <f t="shared" si="1"/>
        <v>7</v>
      </c>
      <c r="M270" s="17">
        <f t="shared" si="2"/>
        <v>3</v>
      </c>
      <c r="N270" s="18">
        <f t="shared" si="3"/>
        <v>1129.8</v>
      </c>
      <c r="O270" s="18">
        <f t="shared" si="4"/>
        <v>484.2</v>
      </c>
      <c r="P270" s="18">
        <f t="shared" si="5"/>
        <v>484.2</v>
      </c>
      <c r="Q270" s="8">
        <v>0.0</v>
      </c>
      <c r="R270" s="18">
        <f t="shared" si="6"/>
        <v>161.4</v>
      </c>
      <c r="S270" s="19" t="s">
        <v>29</v>
      </c>
      <c r="T270" s="19" t="s">
        <v>30</v>
      </c>
      <c r="U270" s="20" t="s">
        <v>411</v>
      </c>
      <c r="V270" s="37"/>
      <c r="W270" s="7"/>
      <c r="X270" s="7"/>
      <c r="Y270" s="7"/>
      <c r="Z270" s="7"/>
      <c r="AA270" s="7"/>
    </row>
    <row r="271" ht="18.75" customHeight="1">
      <c r="A271" s="22" t="s">
        <v>432</v>
      </c>
      <c r="B271" s="54" t="s">
        <v>131</v>
      </c>
      <c r="C271" s="23" t="s">
        <v>433</v>
      </c>
      <c r="D271" s="24">
        <v>828.0</v>
      </c>
      <c r="E271" s="22" t="s">
        <v>444</v>
      </c>
      <c r="F271" s="25" t="s">
        <v>26</v>
      </c>
      <c r="G271" s="26" t="s">
        <v>27</v>
      </c>
      <c r="H271" s="27">
        <v>1351.57</v>
      </c>
      <c r="I271" s="28">
        <v>10.0</v>
      </c>
      <c r="J271" s="29" t="s">
        <v>38</v>
      </c>
      <c r="K271" s="30">
        <v>0.5</v>
      </c>
      <c r="L271" s="31">
        <f t="shared" si="1"/>
        <v>5</v>
      </c>
      <c r="M271" s="31">
        <f t="shared" si="2"/>
        <v>5</v>
      </c>
      <c r="N271" s="32">
        <f t="shared" si="3"/>
        <v>675.785</v>
      </c>
      <c r="O271" s="32">
        <f t="shared" si="4"/>
        <v>675.785</v>
      </c>
      <c r="P271" s="32">
        <f t="shared" si="5"/>
        <v>675.785</v>
      </c>
      <c r="Q271" s="22">
        <v>0.0</v>
      </c>
      <c r="R271" s="32">
        <f t="shared" si="6"/>
        <v>135.157</v>
      </c>
      <c r="S271" s="33" t="s">
        <v>29</v>
      </c>
      <c r="T271" s="33" t="s">
        <v>30</v>
      </c>
      <c r="U271" s="34" t="s">
        <v>41</v>
      </c>
      <c r="V271" s="35"/>
      <c r="W271" s="7"/>
      <c r="X271" s="7"/>
      <c r="Y271" s="7"/>
      <c r="Z271" s="7"/>
      <c r="AA271" s="7"/>
    </row>
    <row r="272" ht="18.75" customHeight="1">
      <c r="A272" s="8" t="s">
        <v>432</v>
      </c>
      <c r="B272" s="53" t="s">
        <v>131</v>
      </c>
      <c r="C272" s="9" t="s">
        <v>433</v>
      </c>
      <c r="D272" s="10">
        <v>829.0</v>
      </c>
      <c r="E272" s="8" t="s">
        <v>445</v>
      </c>
      <c r="F272" s="11" t="s">
        <v>26</v>
      </c>
      <c r="G272" s="12" t="s">
        <v>27</v>
      </c>
      <c r="H272" s="13">
        <v>15638.9</v>
      </c>
      <c r="I272" s="14">
        <v>10.0</v>
      </c>
      <c r="J272" s="15" t="s">
        <v>38</v>
      </c>
      <c r="K272" s="16">
        <v>0.5</v>
      </c>
      <c r="L272" s="17">
        <f t="shared" si="1"/>
        <v>5</v>
      </c>
      <c r="M272" s="17">
        <f t="shared" si="2"/>
        <v>5</v>
      </c>
      <c r="N272" s="18">
        <f t="shared" si="3"/>
        <v>7819.45</v>
      </c>
      <c r="O272" s="18">
        <f t="shared" si="4"/>
        <v>7819.45</v>
      </c>
      <c r="P272" s="18">
        <f t="shared" si="5"/>
        <v>7819.45</v>
      </c>
      <c r="Q272" s="8">
        <v>0.0</v>
      </c>
      <c r="R272" s="18">
        <f t="shared" si="6"/>
        <v>1563.89</v>
      </c>
      <c r="S272" s="19" t="s">
        <v>29</v>
      </c>
      <c r="T272" s="19" t="s">
        <v>30</v>
      </c>
      <c r="U272" s="20" t="s">
        <v>35</v>
      </c>
      <c r="V272" s="37"/>
      <c r="W272" s="7"/>
      <c r="X272" s="7"/>
      <c r="Y272" s="7"/>
      <c r="Z272" s="7"/>
      <c r="AA272" s="7"/>
    </row>
    <row r="273" ht="18.75" customHeight="1">
      <c r="A273" s="22" t="s">
        <v>432</v>
      </c>
      <c r="B273" s="54" t="s">
        <v>131</v>
      </c>
      <c r="C273" s="23" t="s">
        <v>433</v>
      </c>
      <c r="D273" s="24">
        <v>830.0</v>
      </c>
      <c r="E273" s="22" t="s">
        <v>446</v>
      </c>
      <c r="F273" s="25" t="s">
        <v>26</v>
      </c>
      <c r="G273" s="26" t="s">
        <v>27</v>
      </c>
      <c r="H273" s="27">
        <v>1749.0</v>
      </c>
      <c r="I273" s="28">
        <v>10.0</v>
      </c>
      <c r="J273" s="29" t="s">
        <v>38</v>
      </c>
      <c r="K273" s="30">
        <v>0.5</v>
      </c>
      <c r="L273" s="31">
        <f t="shared" si="1"/>
        <v>5</v>
      </c>
      <c r="M273" s="31">
        <f t="shared" si="2"/>
        <v>5</v>
      </c>
      <c r="N273" s="32">
        <f t="shared" si="3"/>
        <v>874.5</v>
      </c>
      <c r="O273" s="32">
        <f t="shared" si="4"/>
        <v>874.5</v>
      </c>
      <c r="P273" s="32">
        <f t="shared" si="5"/>
        <v>874.5</v>
      </c>
      <c r="Q273" s="22">
        <v>0.0</v>
      </c>
      <c r="R273" s="32">
        <f t="shared" si="6"/>
        <v>174.9</v>
      </c>
      <c r="S273" s="33" t="s">
        <v>29</v>
      </c>
      <c r="T273" s="33" t="s">
        <v>30</v>
      </c>
      <c r="U273" s="34" t="s">
        <v>255</v>
      </c>
      <c r="V273" s="35"/>
      <c r="W273" s="7"/>
      <c r="X273" s="7"/>
      <c r="Y273" s="7"/>
      <c r="Z273" s="7"/>
      <c r="AA273" s="7"/>
    </row>
    <row r="274" ht="18.75" customHeight="1">
      <c r="A274" s="8" t="s">
        <v>432</v>
      </c>
      <c r="B274" s="53" t="s">
        <v>131</v>
      </c>
      <c r="C274" s="9" t="s">
        <v>433</v>
      </c>
      <c r="D274" s="10">
        <v>831.0</v>
      </c>
      <c r="E274" s="8" t="s">
        <v>447</v>
      </c>
      <c r="F274" s="11" t="s">
        <v>26</v>
      </c>
      <c r="G274" s="12" t="s">
        <v>27</v>
      </c>
      <c r="H274" s="13">
        <v>489.63</v>
      </c>
      <c r="I274" s="14">
        <v>5.0</v>
      </c>
      <c r="J274" s="15" t="s">
        <v>38</v>
      </c>
      <c r="K274" s="16">
        <v>0.5</v>
      </c>
      <c r="L274" s="17">
        <f t="shared" si="1"/>
        <v>2.5</v>
      </c>
      <c r="M274" s="17">
        <f t="shared" si="2"/>
        <v>2.5</v>
      </c>
      <c r="N274" s="18">
        <f t="shared" si="3"/>
        <v>244.815</v>
      </c>
      <c r="O274" s="18">
        <f t="shared" si="4"/>
        <v>244.815</v>
      </c>
      <c r="P274" s="18">
        <f t="shared" si="5"/>
        <v>244.815</v>
      </c>
      <c r="Q274" s="8">
        <v>0.0</v>
      </c>
      <c r="R274" s="18">
        <f t="shared" si="6"/>
        <v>97.926</v>
      </c>
      <c r="S274" s="19" t="s">
        <v>29</v>
      </c>
      <c r="T274" s="19" t="s">
        <v>30</v>
      </c>
      <c r="U274" s="20" t="s">
        <v>448</v>
      </c>
      <c r="V274" s="37"/>
      <c r="W274" s="7"/>
      <c r="X274" s="7"/>
      <c r="Y274" s="7"/>
      <c r="Z274" s="7"/>
      <c r="AA274" s="7"/>
    </row>
    <row r="275" ht="18.75" customHeight="1">
      <c r="A275" s="22" t="s">
        <v>432</v>
      </c>
      <c r="B275" s="54" t="s">
        <v>131</v>
      </c>
      <c r="C275" s="23" t="s">
        <v>433</v>
      </c>
      <c r="D275" s="24">
        <v>832.0</v>
      </c>
      <c r="E275" s="22" t="s">
        <v>449</v>
      </c>
      <c r="F275" s="25" t="s">
        <v>37</v>
      </c>
      <c r="G275" s="26" t="s">
        <v>27</v>
      </c>
      <c r="H275" s="27">
        <v>1647.58</v>
      </c>
      <c r="I275" s="28">
        <v>15.0</v>
      </c>
      <c r="J275" s="45" t="s">
        <v>63</v>
      </c>
      <c r="K275" s="30">
        <v>0.700000000000001</v>
      </c>
      <c r="L275" s="31">
        <f t="shared" si="1"/>
        <v>10.5</v>
      </c>
      <c r="M275" s="31">
        <f t="shared" si="2"/>
        <v>4.5</v>
      </c>
      <c r="N275" s="32">
        <f t="shared" si="3"/>
        <v>1153.306</v>
      </c>
      <c r="O275" s="32">
        <f t="shared" si="4"/>
        <v>494.274</v>
      </c>
      <c r="P275" s="32">
        <f t="shared" si="5"/>
        <v>494.274</v>
      </c>
      <c r="Q275" s="22">
        <v>0.0</v>
      </c>
      <c r="R275" s="32">
        <f t="shared" si="6"/>
        <v>109.8386667</v>
      </c>
      <c r="S275" s="33" t="s">
        <v>29</v>
      </c>
      <c r="T275" s="33" t="s">
        <v>30</v>
      </c>
      <c r="U275" s="34" t="s">
        <v>325</v>
      </c>
      <c r="V275" s="35"/>
      <c r="W275" s="7"/>
      <c r="X275" s="7"/>
      <c r="Y275" s="7"/>
      <c r="Z275" s="7"/>
      <c r="AA275" s="7"/>
    </row>
    <row r="276" ht="18.75" customHeight="1">
      <c r="A276" s="8" t="s">
        <v>432</v>
      </c>
      <c r="B276" s="53" t="s">
        <v>131</v>
      </c>
      <c r="C276" s="9" t="s">
        <v>433</v>
      </c>
      <c r="D276" s="10">
        <v>833.0</v>
      </c>
      <c r="E276" s="8" t="s">
        <v>450</v>
      </c>
      <c r="F276" s="11" t="s">
        <v>26</v>
      </c>
      <c r="G276" s="12" t="s">
        <v>27</v>
      </c>
      <c r="H276" s="13">
        <v>4899.9</v>
      </c>
      <c r="I276" s="14">
        <v>5.0</v>
      </c>
      <c r="J276" s="15" t="s">
        <v>38</v>
      </c>
      <c r="K276" s="16">
        <v>0.5</v>
      </c>
      <c r="L276" s="17">
        <f t="shared" si="1"/>
        <v>2.5</v>
      </c>
      <c r="M276" s="17">
        <f t="shared" si="2"/>
        <v>2.5</v>
      </c>
      <c r="N276" s="18">
        <f t="shared" si="3"/>
        <v>2449.95</v>
      </c>
      <c r="O276" s="18">
        <f t="shared" si="4"/>
        <v>2449.95</v>
      </c>
      <c r="P276" s="18">
        <f t="shared" si="5"/>
        <v>2449.95</v>
      </c>
      <c r="Q276" s="8">
        <v>0.0</v>
      </c>
      <c r="R276" s="18">
        <f t="shared" si="6"/>
        <v>979.98</v>
      </c>
      <c r="S276" s="19" t="s">
        <v>29</v>
      </c>
      <c r="T276" s="19" t="s">
        <v>30</v>
      </c>
      <c r="U276" s="20" t="s">
        <v>67</v>
      </c>
      <c r="V276" s="37"/>
      <c r="W276" s="7"/>
      <c r="X276" s="7"/>
      <c r="Y276" s="7"/>
      <c r="Z276" s="7"/>
      <c r="AA276" s="7"/>
    </row>
    <row r="277" ht="18.75" customHeight="1">
      <c r="A277" s="22" t="s">
        <v>432</v>
      </c>
      <c r="B277" s="54" t="s">
        <v>131</v>
      </c>
      <c r="C277" s="23" t="s">
        <v>433</v>
      </c>
      <c r="D277" s="24">
        <v>834.0</v>
      </c>
      <c r="E277" s="22" t="s">
        <v>451</v>
      </c>
      <c r="F277" s="25" t="s">
        <v>26</v>
      </c>
      <c r="G277" s="26" t="s">
        <v>27</v>
      </c>
      <c r="H277" s="27">
        <v>1741.5</v>
      </c>
      <c r="I277" s="28">
        <v>5.0</v>
      </c>
      <c r="J277" s="29" t="s">
        <v>38</v>
      </c>
      <c r="K277" s="30">
        <v>0.5</v>
      </c>
      <c r="L277" s="31">
        <f t="shared" si="1"/>
        <v>2.5</v>
      </c>
      <c r="M277" s="31">
        <f t="shared" si="2"/>
        <v>2.5</v>
      </c>
      <c r="N277" s="32">
        <f t="shared" si="3"/>
        <v>870.75</v>
      </c>
      <c r="O277" s="32">
        <f t="shared" si="4"/>
        <v>870.75</v>
      </c>
      <c r="P277" s="32">
        <f t="shared" si="5"/>
        <v>870.75</v>
      </c>
      <c r="Q277" s="22">
        <v>0.0</v>
      </c>
      <c r="R277" s="32">
        <f t="shared" si="6"/>
        <v>348.3</v>
      </c>
      <c r="S277" s="33" t="s">
        <v>29</v>
      </c>
      <c r="T277" s="33" t="s">
        <v>30</v>
      </c>
      <c r="U277" s="34" t="s">
        <v>452</v>
      </c>
      <c r="V277" s="35"/>
      <c r="W277" s="7"/>
      <c r="X277" s="7"/>
      <c r="Y277" s="7"/>
      <c r="Z277" s="7"/>
      <c r="AA277" s="7"/>
    </row>
    <row r="278" ht="18.75" customHeight="1">
      <c r="A278" s="8" t="s">
        <v>432</v>
      </c>
      <c r="B278" s="53" t="s">
        <v>131</v>
      </c>
      <c r="C278" s="9" t="s">
        <v>433</v>
      </c>
      <c r="D278" s="10">
        <v>836.0</v>
      </c>
      <c r="E278" s="8" t="s">
        <v>453</v>
      </c>
      <c r="F278" s="11" t="s">
        <v>26</v>
      </c>
      <c r="G278" s="12" t="s">
        <v>27</v>
      </c>
      <c r="H278" s="13">
        <v>6583.2</v>
      </c>
      <c r="I278" s="14">
        <v>10.0</v>
      </c>
      <c r="J278" s="15" t="s">
        <v>38</v>
      </c>
      <c r="K278" s="16">
        <v>0.5</v>
      </c>
      <c r="L278" s="17">
        <f t="shared" si="1"/>
        <v>5</v>
      </c>
      <c r="M278" s="17">
        <f t="shared" si="2"/>
        <v>5</v>
      </c>
      <c r="N278" s="18">
        <f t="shared" si="3"/>
        <v>3291.6</v>
      </c>
      <c r="O278" s="18">
        <f t="shared" si="4"/>
        <v>3291.6</v>
      </c>
      <c r="P278" s="18">
        <f t="shared" si="5"/>
        <v>3291.6</v>
      </c>
      <c r="Q278" s="8">
        <v>0.0</v>
      </c>
      <c r="R278" s="18">
        <f t="shared" si="6"/>
        <v>658.32</v>
      </c>
      <c r="S278" s="19" t="s">
        <v>29</v>
      </c>
      <c r="T278" s="19" t="s">
        <v>30</v>
      </c>
      <c r="U278" s="20" t="s">
        <v>312</v>
      </c>
      <c r="V278" s="37"/>
      <c r="W278" s="7"/>
      <c r="X278" s="7"/>
      <c r="Y278" s="7"/>
      <c r="Z278" s="7"/>
      <c r="AA278" s="7"/>
    </row>
    <row r="279" ht="18.75" customHeight="1">
      <c r="A279" s="22" t="s">
        <v>432</v>
      </c>
      <c r="B279" s="54" t="s">
        <v>131</v>
      </c>
      <c r="C279" s="23" t="s">
        <v>433</v>
      </c>
      <c r="D279" s="24">
        <v>837.0</v>
      </c>
      <c r="E279" s="22" t="s">
        <v>454</v>
      </c>
      <c r="F279" s="25" t="s">
        <v>37</v>
      </c>
      <c r="G279" s="26" t="s">
        <v>27</v>
      </c>
      <c r="H279" s="27">
        <v>216.0</v>
      </c>
      <c r="I279" s="28">
        <v>10.0</v>
      </c>
      <c r="J279" s="45" t="s">
        <v>63</v>
      </c>
      <c r="K279" s="30">
        <v>0.700000000000001</v>
      </c>
      <c r="L279" s="31">
        <f t="shared" si="1"/>
        <v>7</v>
      </c>
      <c r="M279" s="31">
        <f t="shared" si="2"/>
        <v>3</v>
      </c>
      <c r="N279" s="32">
        <f t="shared" si="3"/>
        <v>151.2</v>
      </c>
      <c r="O279" s="32">
        <f t="shared" si="4"/>
        <v>64.8</v>
      </c>
      <c r="P279" s="32">
        <f t="shared" si="5"/>
        <v>64.8</v>
      </c>
      <c r="Q279" s="22">
        <v>0.0</v>
      </c>
      <c r="R279" s="32">
        <f t="shared" si="6"/>
        <v>21.6</v>
      </c>
      <c r="S279" s="33" t="s">
        <v>29</v>
      </c>
      <c r="T279" s="33" t="s">
        <v>30</v>
      </c>
      <c r="U279" s="34" t="s">
        <v>420</v>
      </c>
      <c r="V279" s="35"/>
      <c r="W279" s="7"/>
      <c r="X279" s="7"/>
      <c r="Y279" s="7"/>
      <c r="Z279" s="7"/>
      <c r="AA279" s="7"/>
    </row>
    <row r="280" ht="18.75" customHeight="1">
      <c r="A280" s="8" t="s">
        <v>432</v>
      </c>
      <c r="B280" s="53" t="s">
        <v>131</v>
      </c>
      <c r="C280" s="9" t="s">
        <v>433</v>
      </c>
      <c r="D280" s="10">
        <v>838.0</v>
      </c>
      <c r="E280" s="8" t="s">
        <v>455</v>
      </c>
      <c r="F280" s="11" t="s">
        <v>37</v>
      </c>
      <c r="G280" s="12" t="s">
        <v>27</v>
      </c>
      <c r="H280" s="13">
        <v>285.0</v>
      </c>
      <c r="I280" s="14">
        <v>10.0</v>
      </c>
      <c r="J280" s="15" t="s">
        <v>154</v>
      </c>
      <c r="K280" s="16">
        <v>0.8</v>
      </c>
      <c r="L280" s="17">
        <f t="shared" si="1"/>
        <v>8</v>
      </c>
      <c r="M280" s="17">
        <f t="shared" si="2"/>
        <v>2</v>
      </c>
      <c r="N280" s="18">
        <f t="shared" si="3"/>
        <v>228</v>
      </c>
      <c r="O280" s="18">
        <f t="shared" si="4"/>
        <v>57</v>
      </c>
      <c r="P280" s="18">
        <f t="shared" si="5"/>
        <v>57</v>
      </c>
      <c r="Q280" s="8">
        <v>0.0</v>
      </c>
      <c r="R280" s="18">
        <f t="shared" si="6"/>
        <v>28.5</v>
      </c>
      <c r="S280" s="19" t="s">
        <v>29</v>
      </c>
      <c r="T280" s="19" t="s">
        <v>30</v>
      </c>
      <c r="U280" s="20" t="s">
        <v>456</v>
      </c>
      <c r="V280" s="37"/>
      <c r="W280" s="7"/>
      <c r="X280" s="7"/>
      <c r="Y280" s="7"/>
      <c r="Z280" s="7"/>
      <c r="AA280" s="7"/>
    </row>
    <row r="281" ht="18.75" customHeight="1">
      <c r="A281" s="22" t="s">
        <v>432</v>
      </c>
      <c r="B281" s="54" t="s">
        <v>131</v>
      </c>
      <c r="C281" s="23" t="s">
        <v>433</v>
      </c>
      <c r="D281" s="24">
        <v>842.0</v>
      </c>
      <c r="E281" s="22" t="s">
        <v>457</v>
      </c>
      <c r="F281" s="25" t="s">
        <v>26</v>
      </c>
      <c r="G281" s="26" t="s">
        <v>27</v>
      </c>
      <c r="H281" s="27">
        <v>531.9</v>
      </c>
      <c r="I281" s="28">
        <v>10.0</v>
      </c>
      <c r="J281" s="29" t="s">
        <v>28</v>
      </c>
      <c r="K281" s="30">
        <v>0.4</v>
      </c>
      <c r="L281" s="31">
        <f t="shared" si="1"/>
        <v>4</v>
      </c>
      <c r="M281" s="31">
        <f t="shared" si="2"/>
        <v>6</v>
      </c>
      <c r="N281" s="32">
        <f t="shared" si="3"/>
        <v>212.76</v>
      </c>
      <c r="O281" s="32">
        <f t="shared" si="4"/>
        <v>319.14</v>
      </c>
      <c r="P281" s="32">
        <f t="shared" si="5"/>
        <v>319.14</v>
      </c>
      <c r="Q281" s="22">
        <v>0.0</v>
      </c>
      <c r="R281" s="32">
        <f t="shared" si="6"/>
        <v>53.19</v>
      </c>
      <c r="S281" s="33" t="s">
        <v>29</v>
      </c>
      <c r="T281" s="33" t="s">
        <v>30</v>
      </c>
      <c r="U281" s="34" t="s">
        <v>191</v>
      </c>
      <c r="V281" s="35"/>
      <c r="W281" s="7"/>
      <c r="X281" s="7"/>
      <c r="Y281" s="7"/>
      <c r="Z281" s="7"/>
      <c r="AA281" s="7"/>
    </row>
    <row r="282" ht="18.75" customHeight="1">
      <c r="A282" s="8" t="s">
        <v>432</v>
      </c>
      <c r="B282" s="53" t="s">
        <v>131</v>
      </c>
      <c r="C282" s="9" t="s">
        <v>433</v>
      </c>
      <c r="D282" s="10">
        <v>845.0</v>
      </c>
      <c r="E282" s="8" t="s">
        <v>458</v>
      </c>
      <c r="F282" s="11" t="s">
        <v>37</v>
      </c>
      <c r="G282" s="12" t="s">
        <v>27</v>
      </c>
      <c r="H282" s="13">
        <v>1300.12</v>
      </c>
      <c r="I282" s="14">
        <v>15.0</v>
      </c>
      <c r="J282" s="15" t="s">
        <v>38</v>
      </c>
      <c r="K282" s="16">
        <v>0.5</v>
      </c>
      <c r="L282" s="17">
        <f t="shared" si="1"/>
        <v>7.5</v>
      </c>
      <c r="M282" s="17">
        <f t="shared" si="2"/>
        <v>7.5</v>
      </c>
      <c r="N282" s="18">
        <f t="shared" si="3"/>
        <v>650.06</v>
      </c>
      <c r="O282" s="18">
        <f t="shared" si="4"/>
        <v>650.06</v>
      </c>
      <c r="P282" s="18">
        <f t="shared" si="5"/>
        <v>650.06</v>
      </c>
      <c r="Q282" s="8">
        <v>0.0</v>
      </c>
      <c r="R282" s="18">
        <f t="shared" si="6"/>
        <v>86.67466667</v>
      </c>
      <c r="S282" s="19" t="s">
        <v>29</v>
      </c>
      <c r="T282" s="19" t="s">
        <v>30</v>
      </c>
      <c r="U282" s="20" t="s">
        <v>459</v>
      </c>
      <c r="V282" s="37"/>
      <c r="W282" s="7"/>
      <c r="X282" s="7"/>
      <c r="Y282" s="7"/>
      <c r="Z282" s="7"/>
      <c r="AA282" s="7"/>
    </row>
    <row r="283" ht="18.75" customHeight="1">
      <c r="A283" s="22" t="s">
        <v>432</v>
      </c>
      <c r="B283" s="54" t="s">
        <v>131</v>
      </c>
      <c r="C283" s="23" t="s">
        <v>433</v>
      </c>
      <c r="D283" s="24">
        <v>846.0</v>
      </c>
      <c r="E283" s="22" t="s">
        <v>460</v>
      </c>
      <c r="F283" s="25" t="s">
        <v>37</v>
      </c>
      <c r="G283" s="26" t="s">
        <v>27</v>
      </c>
      <c r="H283" s="27">
        <v>945.0</v>
      </c>
      <c r="I283" s="28">
        <v>15.0</v>
      </c>
      <c r="J283" s="29" t="s">
        <v>38</v>
      </c>
      <c r="K283" s="30">
        <v>0.5</v>
      </c>
      <c r="L283" s="31">
        <f t="shared" si="1"/>
        <v>7.5</v>
      </c>
      <c r="M283" s="31">
        <f t="shared" si="2"/>
        <v>7.5</v>
      </c>
      <c r="N283" s="32">
        <f t="shared" si="3"/>
        <v>472.5</v>
      </c>
      <c r="O283" s="32">
        <f t="shared" si="4"/>
        <v>472.5</v>
      </c>
      <c r="P283" s="32">
        <f t="shared" si="5"/>
        <v>472.5</v>
      </c>
      <c r="Q283" s="22">
        <v>0.0</v>
      </c>
      <c r="R283" s="32">
        <f t="shared" si="6"/>
        <v>63</v>
      </c>
      <c r="S283" s="33" t="s">
        <v>29</v>
      </c>
      <c r="T283" s="33" t="s">
        <v>30</v>
      </c>
      <c r="U283" s="34" t="s">
        <v>205</v>
      </c>
      <c r="V283" s="35"/>
      <c r="W283" s="7"/>
      <c r="X283" s="7"/>
      <c r="Y283" s="7"/>
      <c r="Z283" s="7"/>
      <c r="AA283" s="7"/>
    </row>
    <row r="284" ht="18.75" customHeight="1">
      <c r="A284" s="8" t="s">
        <v>432</v>
      </c>
      <c r="B284" s="53" t="s">
        <v>131</v>
      </c>
      <c r="C284" s="9" t="s">
        <v>433</v>
      </c>
      <c r="D284" s="10">
        <v>855.0</v>
      </c>
      <c r="E284" s="8" t="s">
        <v>461</v>
      </c>
      <c r="F284" s="11" t="s">
        <v>26</v>
      </c>
      <c r="G284" s="12" t="s">
        <v>27</v>
      </c>
      <c r="H284" s="13">
        <v>785.82</v>
      </c>
      <c r="I284" s="14">
        <v>10.0</v>
      </c>
      <c r="J284" s="15" t="s">
        <v>38</v>
      </c>
      <c r="K284" s="16">
        <v>0.5</v>
      </c>
      <c r="L284" s="17">
        <f t="shared" si="1"/>
        <v>5</v>
      </c>
      <c r="M284" s="17">
        <f t="shared" si="2"/>
        <v>5</v>
      </c>
      <c r="N284" s="18">
        <f t="shared" si="3"/>
        <v>392.91</v>
      </c>
      <c r="O284" s="18">
        <f t="shared" si="4"/>
        <v>392.91</v>
      </c>
      <c r="P284" s="18">
        <f t="shared" si="5"/>
        <v>392.91</v>
      </c>
      <c r="Q284" s="8">
        <v>0.0</v>
      </c>
      <c r="R284" s="18">
        <f t="shared" si="6"/>
        <v>78.582</v>
      </c>
      <c r="S284" s="19" t="s">
        <v>29</v>
      </c>
      <c r="T284" s="19" t="s">
        <v>30</v>
      </c>
      <c r="U284" s="20" t="s">
        <v>220</v>
      </c>
      <c r="V284" s="37"/>
      <c r="W284" s="71"/>
      <c r="X284" s="71"/>
      <c r="Y284" s="71"/>
      <c r="Z284" s="71"/>
      <c r="AA284" s="71"/>
    </row>
    <row r="285" ht="18.75" customHeight="1">
      <c r="A285" s="22" t="s">
        <v>432</v>
      </c>
      <c r="B285" s="54" t="s">
        <v>131</v>
      </c>
      <c r="C285" s="23" t="s">
        <v>433</v>
      </c>
      <c r="D285" s="24">
        <v>857.0</v>
      </c>
      <c r="E285" s="22" t="s">
        <v>462</v>
      </c>
      <c r="F285" s="25" t="s">
        <v>26</v>
      </c>
      <c r="G285" s="26" t="s">
        <v>27</v>
      </c>
      <c r="H285" s="27">
        <v>785.82</v>
      </c>
      <c r="I285" s="28">
        <v>10.0</v>
      </c>
      <c r="J285" s="29" t="s">
        <v>38</v>
      </c>
      <c r="K285" s="30">
        <v>0.5</v>
      </c>
      <c r="L285" s="31">
        <f t="shared" si="1"/>
        <v>5</v>
      </c>
      <c r="M285" s="31">
        <f t="shared" si="2"/>
        <v>5</v>
      </c>
      <c r="N285" s="32">
        <f t="shared" si="3"/>
        <v>392.91</v>
      </c>
      <c r="O285" s="32">
        <f t="shared" si="4"/>
        <v>392.91</v>
      </c>
      <c r="P285" s="32">
        <f t="shared" si="5"/>
        <v>392.91</v>
      </c>
      <c r="Q285" s="22">
        <v>0.0</v>
      </c>
      <c r="R285" s="32">
        <f t="shared" si="6"/>
        <v>78.582</v>
      </c>
      <c r="S285" s="33" t="s">
        <v>29</v>
      </c>
      <c r="T285" s="33" t="s">
        <v>30</v>
      </c>
      <c r="U285" s="34" t="s">
        <v>220</v>
      </c>
      <c r="V285" s="35"/>
      <c r="W285" s="7"/>
      <c r="X285" s="7"/>
      <c r="Y285" s="7"/>
      <c r="Z285" s="7"/>
      <c r="AA285" s="7"/>
    </row>
    <row r="286" ht="18.75" customHeight="1">
      <c r="A286" s="8" t="s">
        <v>432</v>
      </c>
      <c r="B286" s="53" t="s">
        <v>131</v>
      </c>
      <c r="C286" s="9" t="s">
        <v>433</v>
      </c>
      <c r="D286" s="10">
        <v>859.0</v>
      </c>
      <c r="E286" s="8" t="s">
        <v>463</v>
      </c>
      <c r="F286" s="11" t="s">
        <v>26</v>
      </c>
      <c r="G286" s="12" t="s">
        <v>27</v>
      </c>
      <c r="H286" s="13">
        <v>4263.9</v>
      </c>
      <c r="I286" s="14">
        <v>10.0</v>
      </c>
      <c r="J286" s="15" t="s">
        <v>38</v>
      </c>
      <c r="K286" s="16">
        <v>0.5</v>
      </c>
      <c r="L286" s="17">
        <f t="shared" si="1"/>
        <v>5</v>
      </c>
      <c r="M286" s="17">
        <f t="shared" si="2"/>
        <v>5</v>
      </c>
      <c r="N286" s="18">
        <f t="shared" si="3"/>
        <v>2131.95</v>
      </c>
      <c r="O286" s="18">
        <f t="shared" si="4"/>
        <v>2131.95</v>
      </c>
      <c r="P286" s="18">
        <f t="shared" si="5"/>
        <v>2131.95</v>
      </c>
      <c r="Q286" s="8">
        <v>0.0</v>
      </c>
      <c r="R286" s="18">
        <f t="shared" si="6"/>
        <v>426.39</v>
      </c>
      <c r="S286" s="19" t="s">
        <v>29</v>
      </c>
      <c r="T286" s="19" t="s">
        <v>30</v>
      </c>
      <c r="U286" s="20" t="s">
        <v>464</v>
      </c>
      <c r="V286" s="37"/>
      <c r="W286" s="7"/>
      <c r="X286" s="7"/>
      <c r="Y286" s="7"/>
      <c r="Z286" s="7"/>
      <c r="AA286" s="7"/>
    </row>
    <row r="287" ht="18.75" customHeight="1">
      <c r="A287" s="22" t="s">
        <v>432</v>
      </c>
      <c r="B287" s="54" t="s">
        <v>131</v>
      </c>
      <c r="C287" s="23" t="s">
        <v>433</v>
      </c>
      <c r="D287" s="24">
        <v>1771.0</v>
      </c>
      <c r="E287" s="22" t="s">
        <v>465</v>
      </c>
      <c r="F287" s="25" t="s">
        <v>37</v>
      </c>
      <c r="G287" s="26" t="s">
        <v>27</v>
      </c>
      <c r="H287" s="27">
        <v>338.58</v>
      </c>
      <c r="I287" s="28">
        <v>10.0</v>
      </c>
      <c r="J287" s="29" t="s">
        <v>38</v>
      </c>
      <c r="K287" s="30">
        <v>0.5</v>
      </c>
      <c r="L287" s="31">
        <f t="shared" si="1"/>
        <v>5</v>
      </c>
      <c r="M287" s="31">
        <f t="shared" si="2"/>
        <v>5</v>
      </c>
      <c r="N287" s="32">
        <f t="shared" si="3"/>
        <v>169.29</v>
      </c>
      <c r="O287" s="32">
        <f t="shared" si="4"/>
        <v>169.29</v>
      </c>
      <c r="P287" s="32">
        <f t="shared" si="5"/>
        <v>169.29</v>
      </c>
      <c r="Q287" s="22">
        <v>0.0</v>
      </c>
      <c r="R287" s="32">
        <f t="shared" si="6"/>
        <v>33.858</v>
      </c>
      <c r="S287" s="33" t="s">
        <v>29</v>
      </c>
      <c r="T287" s="33" t="s">
        <v>30</v>
      </c>
      <c r="U287" s="34" t="s">
        <v>304</v>
      </c>
      <c r="V287" s="35"/>
      <c r="W287" s="7"/>
      <c r="X287" s="7"/>
      <c r="Y287" s="7"/>
      <c r="Z287" s="7"/>
      <c r="AA287" s="7"/>
    </row>
    <row r="288" ht="18.75" customHeight="1">
      <c r="A288" s="8" t="s">
        <v>432</v>
      </c>
      <c r="B288" s="53" t="s">
        <v>131</v>
      </c>
      <c r="C288" s="9" t="s">
        <v>433</v>
      </c>
      <c r="D288" s="10">
        <v>2698.0</v>
      </c>
      <c r="E288" s="8" t="s">
        <v>466</v>
      </c>
      <c r="F288" s="11" t="s">
        <v>26</v>
      </c>
      <c r="G288" s="12" t="s">
        <v>27</v>
      </c>
      <c r="H288" s="13">
        <v>603.0</v>
      </c>
      <c r="I288" s="14">
        <v>5.0</v>
      </c>
      <c r="J288" s="15" t="s">
        <v>54</v>
      </c>
      <c r="K288" s="16">
        <v>0.3</v>
      </c>
      <c r="L288" s="17">
        <f t="shared" si="1"/>
        <v>1.5</v>
      </c>
      <c r="M288" s="17">
        <f t="shared" si="2"/>
        <v>3.5</v>
      </c>
      <c r="N288" s="18">
        <f t="shared" si="3"/>
        <v>180.9</v>
      </c>
      <c r="O288" s="18">
        <f t="shared" si="4"/>
        <v>422.1</v>
      </c>
      <c r="P288" s="18">
        <f t="shared" si="5"/>
        <v>422.1</v>
      </c>
      <c r="Q288" s="8">
        <v>0.0</v>
      </c>
      <c r="R288" s="18">
        <f t="shared" si="6"/>
        <v>120.6</v>
      </c>
      <c r="S288" s="19" t="s">
        <v>29</v>
      </c>
      <c r="T288" s="19" t="s">
        <v>30</v>
      </c>
      <c r="U288" s="20" t="s">
        <v>79</v>
      </c>
      <c r="V288" s="37"/>
      <c r="W288" s="7"/>
      <c r="X288" s="7"/>
      <c r="Y288" s="7"/>
      <c r="Z288" s="7"/>
      <c r="AA288" s="7"/>
    </row>
    <row r="289" ht="18.75" customHeight="1">
      <c r="A289" s="22" t="s">
        <v>432</v>
      </c>
      <c r="B289" s="54" t="s">
        <v>131</v>
      </c>
      <c r="C289" s="23" t="s">
        <v>433</v>
      </c>
      <c r="D289" s="24">
        <v>2700.0</v>
      </c>
      <c r="E289" s="22" t="s">
        <v>467</v>
      </c>
      <c r="F289" s="25" t="s">
        <v>26</v>
      </c>
      <c r="G289" s="26" t="s">
        <v>27</v>
      </c>
      <c r="H289" s="27">
        <v>328.8</v>
      </c>
      <c r="I289" s="28">
        <v>5.0</v>
      </c>
      <c r="J289" s="29" t="s">
        <v>38</v>
      </c>
      <c r="K289" s="30">
        <v>0.5</v>
      </c>
      <c r="L289" s="31">
        <f t="shared" si="1"/>
        <v>2.5</v>
      </c>
      <c r="M289" s="31">
        <f t="shared" si="2"/>
        <v>2.5</v>
      </c>
      <c r="N289" s="32">
        <f t="shared" si="3"/>
        <v>164.4</v>
      </c>
      <c r="O289" s="32">
        <f t="shared" si="4"/>
        <v>164.4</v>
      </c>
      <c r="P289" s="32">
        <f t="shared" si="5"/>
        <v>164.4</v>
      </c>
      <c r="Q289" s="22">
        <v>0.0</v>
      </c>
      <c r="R289" s="32">
        <f t="shared" si="6"/>
        <v>65.76</v>
      </c>
      <c r="S289" s="33" t="s">
        <v>29</v>
      </c>
      <c r="T289" s="33" t="s">
        <v>30</v>
      </c>
      <c r="U289" s="34" t="s">
        <v>344</v>
      </c>
      <c r="V289" s="35"/>
      <c r="W289" s="7"/>
      <c r="X289" s="7"/>
      <c r="Y289" s="7"/>
      <c r="Z289" s="7"/>
      <c r="AA289" s="7"/>
    </row>
    <row r="290" ht="18.75" customHeight="1">
      <c r="A290" s="8" t="s">
        <v>432</v>
      </c>
      <c r="B290" s="53" t="s">
        <v>131</v>
      </c>
      <c r="C290" s="8"/>
      <c r="D290" s="50" t="s">
        <v>468</v>
      </c>
      <c r="E290" s="8" t="s">
        <v>469</v>
      </c>
      <c r="F290" s="11" t="s">
        <v>26</v>
      </c>
      <c r="G290" s="12" t="s">
        <v>27</v>
      </c>
      <c r="H290" s="13">
        <v>2298.99</v>
      </c>
      <c r="I290" s="14">
        <v>10.0</v>
      </c>
      <c r="J290" s="15" t="s">
        <v>81</v>
      </c>
      <c r="K290" s="16">
        <v>0.15</v>
      </c>
      <c r="L290" s="17">
        <f t="shared" si="1"/>
        <v>1.5</v>
      </c>
      <c r="M290" s="17">
        <f t="shared" si="2"/>
        <v>8.5</v>
      </c>
      <c r="N290" s="18">
        <f t="shared" si="3"/>
        <v>344.8485</v>
      </c>
      <c r="O290" s="18">
        <f t="shared" si="4"/>
        <v>1954.1415</v>
      </c>
      <c r="P290" s="18">
        <f t="shared" si="5"/>
        <v>1954.1415</v>
      </c>
      <c r="Q290" s="8">
        <v>0.0</v>
      </c>
      <c r="R290" s="18">
        <f t="shared" si="6"/>
        <v>229.899</v>
      </c>
      <c r="S290" s="19" t="s">
        <v>29</v>
      </c>
      <c r="T290" s="19" t="s">
        <v>30</v>
      </c>
      <c r="U290" s="20" t="s">
        <v>423</v>
      </c>
      <c r="V290" s="37"/>
      <c r="W290" s="7"/>
      <c r="X290" s="7"/>
      <c r="Y290" s="7"/>
      <c r="Z290" s="7"/>
      <c r="AA290" s="7"/>
    </row>
    <row r="291" ht="18.75" customHeight="1">
      <c r="A291" s="22" t="s">
        <v>470</v>
      </c>
      <c r="B291" s="23" t="s">
        <v>471</v>
      </c>
      <c r="C291" s="23" t="s">
        <v>24</v>
      </c>
      <c r="D291" s="24">
        <v>0.0</v>
      </c>
      <c r="E291" s="22" t="s">
        <v>472</v>
      </c>
      <c r="F291" s="25" t="s">
        <v>26</v>
      </c>
      <c r="G291" s="26" t="s">
        <v>27</v>
      </c>
      <c r="H291" s="27">
        <v>129.9</v>
      </c>
      <c r="I291" s="28">
        <v>5.0</v>
      </c>
      <c r="J291" s="29" t="s">
        <v>54</v>
      </c>
      <c r="K291" s="30">
        <v>0.3</v>
      </c>
      <c r="L291" s="31">
        <f t="shared" si="1"/>
        <v>1.5</v>
      </c>
      <c r="M291" s="31">
        <f t="shared" si="2"/>
        <v>3.5</v>
      </c>
      <c r="N291" s="32">
        <f t="shared" si="3"/>
        <v>38.97</v>
      </c>
      <c r="O291" s="32">
        <f t="shared" si="4"/>
        <v>90.93</v>
      </c>
      <c r="P291" s="32">
        <f t="shared" si="5"/>
        <v>90.93</v>
      </c>
      <c r="Q291" s="22">
        <v>0.0</v>
      </c>
      <c r="R291" s="32">
        <f t="shared" si="6"/>
        <v>25.98</v>
      </c>
      <c r="S291" s="33" t="s">
        <v>29</v>
      </c>
      <c r="T291" s="33" t="s">
        <v>30</v>
      </c>
      <c r="U291" s="34" t="s">
        <v>372</v>
      </c>
      <c r="V291" s="35"/>
      <c r="W291" s="7"/>
      <c r="X291" s="7"/>
      <c r="Y291" s="7"/>
      <c r="Z291" s="7"/>
      <c r="AA291" s="7"/>
    </row>
    <row r="292" ht="18.75" customHeight="1">
      <c r="A292" s="8" t="s">
        <v>470</v>
      </c>
      <c r="B292" s="9" t="s">
        <v>471</v>
      </c>
      <c r="C292" s="9" t="s">
        <v>24</v>
      </c>
      <c r="D292" s="10">
        <v>0.0</v>
      </c>
      <c r="E292" s="8" t="s">
        <v>473</v>
      </c>
      <c r="F292" s="11" t="s">
        <v>26</v>
      </c>
      <c r="G292" s="12" t="s">
        <v>27</v>
      </c>
      <c r="H292" s="13">
        <v>149.92</v>
      </c>
      <c r="I292" s="14">
        <v>5.0</v>
      </c>
      <c r="J292" s="15" t="s">
        <v>28</v>
      </c>
      <c r="K292" s="16">
        <v>0.4</v>
      </c>
      <c r="L292" s="17">
        <f t="shared" si="1"/>
        <v>2</v>
      </c>
      <c r="M292" s="17">
        <f t="shared" si="2"/>
        <v>3</v>
      </c>
      <c r="N292" s="18">
        <f t="shared" si="3"/>
        <v>59.968</v>
      </c>
      <c r="O292" s="18">
        <f t="shared" si="4"/>
        <v>89.952</v>
      </c>
      <c r="P292" s="18">
        <f t="shared" si="5"/>
        <v>89.952</v>
      </c>
      <c r="Q292" s="8">
        <v>0.0</v>
      </c>
      <c r="R292" s="18">
        <f t="shared" si="6"/>
        <v>29.984</v>
      </c>
      <c r="S292" s="19" t="s">
        <v>29</v>
      </c>
      <c r="T292" s="19" t="s">
        <v>30</v>
      </c>
      <c r="U292" s="36" t="s">
        <v>474</v>
      </c>
      <c r="V292" s="37"/>
      <c r="W292" s="7"/>
      <c r="X292" s="7"/>
      <c r="Y292" s="7"/>
      <c r="Z292" s="7"/>
      <c r="AA292" s="7"/>
    </row>
    <row r="293" ht="18.75" customHeight="1">
      <c r="A293" s="22" t="s">
        <v>470</v>
      </c>
      <c r="B293" s="23" t="s">
        <v>471</v>
      </c>
      <c r="C293" s="23" t="s">
        <v>24</v>
      </c>
      <c r="D293" s="24">
        <v>0.0</v>
      </c>
      <c r="E293" s="22" t="s">
        <v>475</v>
      </c>
      <c r="F293" s="25" t="s">
        <v>26</v>
      </c>
      <c r="G293" s="26" t="s">
        <v>27</v>
      </c>
      <c r="H293" s="27">
        <v>125.21</v>
      </c>
      <c r="I293" s="28">
        <v>5.0</v>
      </c>
      <c r="J293" s="29" t="s">
        <v>28</v>
      </c>
      <c r="K293" s="30">
        <v>0.4</v>
      </c>
      <c r="L293" s="31">
        <f t="shared" si="1"/>
        <v>2</v>
      </c>
      <c r="M293" s="31">
        <f t="shared" si="2"/>
        <v>3</v>
      </c>
      <c r="N293" s="32">
        <f t="shared" si="3"/>
        <v>50.084</v>
      </c>
      <c r="O293" s="32">
        <f t="shared" si="4"/>
        <v>75.126</v>
      </c>
      <c r="P293" s="32">
        <f t="shared" si="5"/>
        <v>75.126</v>
      </c>
      <c r="Q293" s="22">
        <v>0.0</v>
      </c>
      <c r="R293" s="32">
        <f t="shared" si="6"/>
        <v>25.042</v>
      </c>
      <c r="S293" s="33" t="s">
        <v>29</v>
      </c>
      <c r="T293" s="33" t="s">
        <v>30</v>
      </c>
      <c r="U293" s="38" t="s">
        <v>476</v>
      </c>
      <c r="V293" s="35"/>
      <c r="W293" s="7"/>
      <c r="X293" s="7"/>
      <c r="Y293" s="7"/>
      <c r="Z293" s="7"/>
      <c r="AA293" s="7"/>
    </row>
    <row r="294" ht="18.75" customHeight="1">
      <c r="A294" s="8" t="s">
        <v>470</v>
      </c>
      <c r="B294" s="9" t="s">
        <v>471</v>
      </c>
      <c r="C294" s="9" t="s">
        <v>24</v>
      </c>
      <c r="D294" s="10">
        <v>0.0</v>
      </c>
      <c r="E294" s="8" t="s">
        <v>477</v>
      </c>
      <c r="F294" s="11" t="s">
        <v>26</v>
      </c>
      <c r="G294" s="12" t="s">
        <v>27</v>
      </c>
      <c r="H294" s="13">
        <v>83.13</v>
      </c>
      <c r="I294" s="14">
        <v>5.0</v>
      </c>
      <c r="J294" s="15" t="s">
        <v>38</v>
      </c>
      <c r="K294" s="16">
        <v>0.5</v>
      </c>
      <c r="L294" s="17">
        <f t="shared" si="1"/>
        <v>2.5</v>
      </c>
      <c r="M294" s="17">
        <f t="shared" si="2"/>
        <v>2.5</v>
      </c>
      <c r="N294" s="18">
        <f t="shared" si="3"/>
        <v>41.565</v>
      </c>
      <c r="O294" s="18">
        <f t="shared" si="4"/>
        <v>41.565</v>
      </c>
      <c r="P294" s="18">
        <f t="shared" si="5"/>
        <v>41.565</v>
      </c>
      <c r="Q294" s="8">
        <v>0.0</v>
      </c>
      <c r="R294" s="18">
        <f t="shared" si="6"/>
        <v>16.626</v>
      </c>
      <c r="S294" s="19" t="s">
        <v>29</v>
      </c>
      <c r="T294" s="19" t="s">
        <v>30</v>
      </c>
      <c r="U294" s="20" t="s">
        <v>137</v>
      </c>
      <c r="V294" s="37"/>
      <c r="W294" s="7"/>
      <c r="X294" s="7"/>
      <c r="Y294" s="7"/>
      <c r="Z294" s="7"/>
      <c r="AA294" s="7"/>
    </row>
    <row r="295" ht="18.75" customHeight="1">
      <c r="A295" s="22" t="s">
        <v>470</v>
      </c>
      <c r="B295" s="23" t="s">
        <v>471</v>
      </c>
      <c r="C295" s="23" t="s">
        <v>24</v>
      </c>
      <c r="D295" s="24">
        <v>0.0</v>
      </c>
      <c r="E295" s="22" t="s">
        <v>478</v>
      </c>
      <c r="F295" s="25" t="s">
        <v>26</v>
      </c>
      <c r="G295" s="26" t="s">
        <v>27</v>
      </c>
      <c r="H295" s="27">
        <v>51.9</v>
      </c>
      <c r="I295" s="28">
        <v>5.0</v>
      </c>
      <c r="J295" s="29" t="s">
        <v>38</v>
      </c>
      <c r="K295" s="30">
        <v>0.5</v>
      </c>
      <c r="L295" s="31">
        <f t="shared" si="1"/>
        <v>2.5</v>
      </c>
      <c r="M295" s="31">
        <f t="shared" si="2"/>
        <v>2.5</v>
      </c>
      <c r="N295" s="32">
        <f t="shared" si="3"/>
        <v>25.95</v>
      </c>
      <c r="O295" s="32">
        <f t="shared" si="4"/>
        <v>25.95</v>
      </c>
      <c r="P295" s="32">
        <f t="shared" si="5"/>
        <v>25.95</v>
      </c>
      <c r="Q295" s="22">
        <v>0.0</v>
      </c>
      <c r="R295" s="32">
        <f t="shared" si="6"/>
        <v>10.38</v>
      </c>
      <c r="S295" s="33" t="s">
        <v>29</v>
      </c>
      <c r="T295" s="33" t="s">
        <v>30</v>
      </c>
      <c r="U295" s="34" t="s">
        <v>135</v>
      </c>
      <c r="V295" s="35"/>
      <c r="W295" s="7"/>
      <c r="X295" s="7"/>
      <c r="Y295" s="7"/>
      <c r="Z295" s="7"/>
      <c r="AA295" s="7"/>
    </row>
    <row r="296" ht="18.75" customHeight="1">
      <c r="A296" s="8" t="s">
        <v>470</v>
      </c>
      <c r="B296" s="9" t="s">
        <v>471</v>
      </c>
      <c r="C296" s="9" t="s">
        <v>33</v>
      </c>
      <c r="D296" s="10">
        <v>0.0</v>
      </c>
      <c r="E296" s="8" t="s">
        <v>479</v>
      </c>
      <c r="F296" s="11" t="s">
        <v>26</v>
      </c>
      <c r="G296" s="12" t="s">
        <v>27</v>
      </c>
      <c r="H296" s="13">
        <v>463.56</v>
      </c>
      <c r="I296" s="14">
        <v>5.0</v>
      </c>
      <c r="J296" s="15" t="s">
        <v>38</v>
      </c>
      <c r="K296" s="16">
        <v>0.5</v>
      </c>
      <c r="L296" s="17">
        <f t="shared" si="1"/>
        <v>2.5</v>
      </c>
      <c r="M296" s="17">
        <f t="shared" si="2"/>
        <v>2.5</v>
      </c>
      <c r="N296" s="18">
        <f t="shared" si="3"/>
        <v>231.78</v>
      </c>
      <c r="O296" s="18">
        <f t="shared" si="4"/>
        <v>231.78</v>
      </c>
      <c r="P296" s="18">
        <f t="shared" si="5"/>
        <v>231.78</v>
      </c>
      <c r="Q296" s="8">
        <v>0.0</v>
      </c>
      <c r="R296" s="18">
        <f t="shared" si="6"/>
        <v>92.712</v>
      </c>
      <c r="S296" s="19" t="s">
        <v>29</v>
      </c>
      <c r="T296" s="19" t="s">
        <v>30</v>
      </c>
      <c r="U296" s="20" t="s">
        <v>125</v>
      </c>
      <c r="V296" s="37"/>
      <c r="W296" s="7"/>
      <c r="X296" s="7"/>
      <c r="Y296" s="7"/>
      <c r="Z296" s="7"/>
      <c r="AA296" s="7"/>
    </row>
    <row r="297" ht="18.75" customHeight="1">
      <c r="A297" s="22" t="s">
        <v>470</v>
      </c>
      <c r="B297" s="23" t="s">
        <v>471</v>
      </c>
      <c r="C297" s="23" t="s">
        <v>33</v>
      </c>
      <c r="D297" s="24">
        <v>0.0</v>
      </c>
      <c r="E297" s="22" t="s">
        <v>480</v>
      </c>
      <c r="F297" s="25" t="s">
        <v>26</v>
      </c>
      <c r="G297" s="26" t="s">
        <v>27</v>
      </c>
      <c r="H297" s="27">
        <v>463.56</v>
      </c>
      <c r="I297" s="28">
        <v>5.0</v>
      </c>
      <c r="J297" s="29" t="s">
        <v>38</v>
      </c>
      <c r="K297" s="30">
        <v>0.5</v>
      </c>
      <c r="L297" s="31">
        <f t="shared" si="1"/>
        <v>2.5</v>
      </c>
      <c r="M297" s="31">
        <f t="shared" si="2"/>
        <v>2.5</v>
      </c>
      <c r="N297" s="32">
        <f t="shared" si="3"/>
        <v>231.78</v>
      </c>
      <c r="O297" s="32">
        <f t="shared" si="4"/>
        <v>231.78</v>
      </c>
      <c r="P297" s="32">
        <f t="shared" si="5"/>
        <v>231.78</v>
      </c>
      <c r="Q297" s="22">
        <v>0.0</v>
      </c>
      <c r="R297" s="32">
        <f t="shared" si="6"/>
        <v>92.712</v>
      </c>
      <c r="S297" s="33" t="s">
        <v>29</v>
      </c>
      <c r="T297" s="33" t="s">
        <v>30</v>
      </c>
      <c r="U297" s="34" t="s">
        <v>125</v>
      </c>
      <c r="V297" s="35"/>
      <c r="W297" s="7"/>
      <c r="X297" s="7"/>
      <c r="Y297" s="7"/>
      <c r="Z297" s="7"/>
      <c r="AA297" s="7"/>
    </row>
    <row r="298" ht="18.75" customHeight="1">
      <c r="A298" s="8" t="s">
        <v>470</v>
      </c>
      <c r="B298" s="9" t="s">
        <v>471</v>
      </c>
      <c r="C298" s="9" t="s">
        <v>33</v>
      </c>
      <c r="D298" s="10">
        <v>0.0</v>
      </c>
      <c r="E298" s="8" t="s">
        <v>481</v>
      </c>
      <c r="F298" s="11" t="s">
        <v>26</v>
      </c>
      <c r="G298" s="12" t="s">
        <v>27</v>
      </c>
      <c r="H298" s="13">
        <v>463.56</v>
      </c>
      <c r="I298" s="14">
        <v>5.0</v>
      </c>
      <c r="J298" s="15" t="s">
        <v>38</v>
      </c>
      <c r="K298" s="16">
        <v>0.5</v>
      </c>
      <c r="L298" s="17">
        <f t="shared" si="1"/>
        <v>2.5</v>
      </c>
      <c r="M298" s="17">
        <f t="shared" si="2"/>
        <v>2.5</v>
      </c>
      <c r="N298" s="18">
        <f t="shared" si="3"/>
        <v>231.78</v>
      </c>
      <c r="O298" s="18">
        <f t="shared" si="4"/>
        <v>231.78</v>
      </c>
      <c r="P298" s="18">
        <f t="shared" si="5"/>
        <v>231.78</v>
      </c>
      <c r="Q298" s="8">
        <v>0.0</v>
      </c>
      <c r="R298" s="18">
        <f t="shared" si="6"/>
        <v>92.712</v>
      </c>
      <c r="S298" s="19" t="s">
        <v>29</v>
      </c>
      <c r="T298" s="19" t="s">
        <v>30</v>
      </c>
      <c r="U298" s="20" t="s">
        <v>125</v>
      </c>
      <c r="V298" s="37"/>
      <c r="W298" s="7"/>
      <c r="X298" s="7"/>
      <c r="Y298" s="7"/>
      <c r="Z298" s="7"/>
      <c r="AA298" s="7"/>
    </row>
    <row r="299" ht="18.75" customHeight="1">
      <c r="A299" s="22" t="s">
        <v>470</v>
      </c>
      <c r="B299" s="23" t="s">
        <v>471</v>
      </c>
      <c r="C299" s="23" t="s">
        <v>33</v>
      </c>
      <c r="D299" s="24">
        <v>0.0</v>
      </c>
      <c r="E299" s="22" t="s">
        <v>482</v>
      </c>
      <c r="F299" s="25" t="s">
        <v>26</v>
      </c>
      <c r="G299" s="26" t="s">
        <v>27</v>
      </c>
      <c r="H299" s="27">
        <v>463.56</v>
      </c>
      <c r="I299" s="28">
        <v>5.0</v>
      </c>
      <c r="J299" s="29" t="s">
        <v>38</v>
      </c>
      <c r="K299" s="30">
        <v>0.5</v>
      </c>
      <c r="L299" s="31">
        <f t="shared" si="1"/>
        <v>2.5</v>
      </c>
      <c r="M299" s="31">
        <f t="shared" si="2"/>
        <v>2.5</v>
      </c>
      <c r="N299" s="32">
        <f t="shared" si="3"/>
        <v>231.78</v>
      </c>
      <c r="O299" s="32">
        <f t="shared" si="4"/>
        <v>231.78</v>
      </c>
      <c r="P299" s="32">
        <f t="shared" si="5"/>
        <v>231.78</v>
      </c>
      <c r="Q299" s="22">
        <v>0.0</v>
      </c>
      <c r="R299" s="32">
        <f t="shared" si="6"/>
        <v>92.712</v>
      </c>
      <c r="S299" s="33" t="s">
        <v>29</v>
      </c>
      <c r="T299" s="33" t="s">
        <v>30</v>
      </c>
      <c r="U299" s="34" t="s">
        <v>125</v>
      </c>
      <c r="V299" s="35"/>
      <c r="W299" s="7"/>
      <c r="X299" s="7"/>
      <c r="Y299" s="7"/>
      <c r="Z299" s="7"/>
      <c r="AA299" s="7"/>
    </row>
    <row r="300" ht="18.75" customHeight="1">
      <c r="A300" s="8" t="s">
        <v>470</v>
      </c>
      <c r="B300" s="9" t="s">
        <v>471</v>
      </c>
      <c r="C300" s="9" t="s">
        <v>33</v>
      </c>
      <c r="D300" s="10">
        <v>0.0</v>
      </c>
      <c r="E300" s="8" t="s">
        <v>483</v>
      </c>
      <c r="F300" s="11" t="s">
        <v>26</v>
      </c>
      <c r="G300" s="12" t="s">
        <v>27</v>
      </c>
      <c r="H300" s="13">
        <v>463.56</v>
      </c>
      <c r="I300" s="14">
        <v>5.0</v>
      </c>
      <c r="J300" s="15" t="s">
        <v>38</v>
      </c>
      <c r="K300" s="16">
        <v>0.5</v>
      </c>
      <c r="L300" s="17">
        <f t="shared" si="1"/>
        <v>2.5</v>
      </c>
      <c r="M300" s="17">
        <f t="shared" si="2"/>
        <v>2.5</v>
      </c>
      <c r="N300" s="18">
        <f t="shared" si="3"/>
        <v>231.78</v>
      </c>
      <c r="O300" s="18">
        <f t="shared" si="4"/>
        <v>231.78</v>
      </c>
      <c r="P300" s="18">
        <f t="shared" si="5"/>
        <v>231.78</v>
      </c>
      <c r="Q300" s="8">
        <v>0.0</v>
      </c>
      <c r="R300" s="18">
        <f t="shared" si="6"/>
        <v>92.712</v>
      </c>
      <c r="S300" s="19" t="s">
        <v>29</v>
      </c>
      <c r="T300" s="19" t="s">
        <v>30</v>
      </c>
      <c r="U300" s="20" t="s">
        <v>125</v>
      </c>
      <c r="V300" s="37"/>
      <c r="W300" s="7"/>
      <c r="X300" s="7"/>
      <c r="Y300" s="7"/>
      <c r="Z300" s="7"/>
      <c r="AA300" s="7"/>
    </row>
    <row r="301" ht="18.75" customHeight="1">
      <c r="A301" s="22" t="s">
        <v>470</v>
      </c>
      <c r="B301" s="23" t="s">
        <v>471</v>
      </c>
      <c r="C301" s="23" t="s">
        <v>33</v>
      </c>
      <c r="D301" s="24">
        <v>0.0</v>
      </c>
      <c r="E301" s="22" t="s">
        <v>484</v>
      </c>
      <c r="F301" s="25" t="s">
        <v>26</v>
      </c>
      <c r="G301" s="26" t="s">
        <v>27</v>
      </c>
      <c r="H301" s="27">
        <v>651.75</v>
      </c>
      <c r="I301" s="28">
        <v>5.0</v>
      </c>
      <c r="J301" s="29" t="s">
        <v>38</v>
      </c>
      <c r="K301" s="30">
        <v>0.5</v>
      </c>
      <c r="L301" s="31">
        <f t="shared" si="1"/>
        <v>2.5</v>
      </c>
      <c r="M301" s="31">
        <f t="shared" si="2"/>
        <v>2.5</v>
      </c>
      <c r="N301" s="32">
        <f t="shared" si="3"/>
        <v>325.875</v>
      </c>
      <c r="O301" s="32">
        <f t="shared" si="4"/>
        <v>325.875</v>
      </c>
      <c r="P301" s="32">
        <f t="shared" si="5"/>
        <v>325.875</v>
      </c>
      <c r="Q301" s="22">
        <v>0.0</v>
      </c>
      <c r="R301" s="32">
        <f t="shared" si="6"/>
        <v>130.35</v>
      </c>
      <c r="S301" s="33" t="s">
        <v>29</v>
      </c>
      <c r="T301" s="33" t="s">
        <v>30</v>
      </c>
      <c r="U301" s="34" t="s">
        <v>121</v>
      </c>
      <c r="V301" s="35"/>
      <c r="W301" s="7"/>
      <c r="X301" s="7"/>
      <c r="Y301" s="7"/>
      <c r="Z301" s="7"/>
      <c r="AA301" s="7"/>
    </row>
    <row r="302" ht="18.75" customHeight="1">
      <c r="A302" s="8" t="s">
        <v>470</v>
      </c>
      <c r="B302" s="9" t="s">
        <v>471</v>
      </c>
      <c r="C302" s="9" t="s">
        <v>33</v>
      </c>
      <c r="D302" s="10">
        <v>0.0</v>
      </c>
      <c r="E302" s="8" t="s">
        <v>485</v>
      </c>
      <c r="F302" s="11" t="s">
        <v>26</v>
      </c>
      <c r="G302" s="12" t="s">
        <v>27</v>
      </c>
      <c r="H302" s="13">
        <v>651.75</v>
      </c>
      <c r="I302" s="14">
        <v>5.0</v>
      </c>
      <c r="J302" s="15" t="s">
        <v>38</v>
      </c>
      <c r="K302" s="16">
        <v>0.5</v>
      </c>
      <c r="L302" s="17">
        <f t="shared" si="1"/>
        <v>2.5</v>
      </c>
      <c r="M302" s="17">
        <f t="shared" si="2"/>
        <v>2.5</v>
      </c>
      <c r="N302" s="18">
        <f t="shared" si="3"/>
        <v>325.875</v>
      </c>
      <c r="O302" s="18">
        <f t="shared" si="4"/>
        <v>325.875</v>
      </c>
      <c r="P302" s="18">
        <f t="shared" si="5"/>
        <v>325.875</v>
      </c>
      <c r="Q302" s="8">
        <v>0.0</v>
      </c>
      <c r="R302" s="18">
        <f t="shared" si="6"/>
        <v>130.35</v>
      </c>
      <c r="S302" s="19" t="s">
        <v>29</v>
      </c>
      <c r="T302" s="19" t="s">
        <v>30</v>
      </c>
      <c r="U302" s="20" t="s">
        <v>121</v>
      </c>
      <c r="V302" s="37"/>
      <c r="W302" s="7"/>
      <c r="X302" s="7"/>
      <c r="Y302" s="7"/>
      <c r="Z302" s="7"/>
      <c r="AA302" s="7"/>
    </row>
    <row r="303" ht="18.75" customHeight="1">
      <c r="A303" s="22" t="s">
        <v>470</v>
      </c>
      <c r="B303" s="23" t="s">
        <v>471</v>
      </c>
      <c r="C303" s="23" t="s">
        <v>33</v>
      </c>
      <c r="D303" s="24">
        <v>0.0</v>
      </c>
      <c r="E303" s="22" t="s">
        <v>486</v>
      </c>
      <c r="F303" s="25" t="s">
        <v>26</v>
      </c>
      <c r="G303" s="26" t="s">
        <v>27</v>
      </c>
      <c r="H303" s="27">
        <v>651.75</v>
      </c>
      <c r="I303" s="28">
        <v>5.0</v>
      </c>
      <c r="J303" s="29" t="s">
        <v>38</v>
      </c>
      <c r="K303" s="30">
        <v>0.5</v>
      </c>
      <c r="L303" s="31">
        <f t="shared" si="1"/>
        <v>2.5</v>
      </c>
      <c r="M303" s="31">
        <f t="shared" si="2"/>
        <v>2.5</v>
      </c>
      <c r="N303" s="32">
        <f t="shared" si="3"/>
        <v>325.875</v>
      </c>
      <c r="O303" s="32">
        <f t="shared" si="4"/>
        <v>325.875</v>
      </c>
      <c r="P303" s="32">
        <f t="shared" si="5"/>
        <v>325.875</v>
      </c>
      <c r="Q303" s="22">
        <v>0.0</v>
      </c>
      <c r="R303" s="32">
        <f t="shared" si="6"/>
        <v>130.35</v>
      </c>
      <c r="S303" s="33" t="s">
        <v>29</v>
      </c>
      <c r="T303" s="33" t="s">
        <v>30</v>
      </c>
      <c r="U303" s="34" t="s">
        <v>121</v>
      </c>
      <c r="V303" s="35"/>
      <c r="W303" s="7"/>
      <c r="X303" s="7"/>
      <c r="Y303" s="7"/>
      <c r="Z303" s="7"/>
      <c r="AA303" s="7"/>
    </row>
    <row r="304" ht="18.75" customHeight="1">
      <c r="A304" s="8" t="s">
        <v>470</v>
      </c>
      <c r="B304" s="9" t="s">
        <v>471</v>
      </c>
      <c r="C304" s="9" t="s">
        <v>33</v>
      </c>
      <c r="D304" s="10">
        <v>0.0</v>
      </c>
      <c r="E304" s="8" t="s">
        <v>487</v>
      </c>
      <c r="F304" s="11" t="s">
        <v>26</v>
      </c>
      <c r="G304" s="12" t="s">
        <v>27</v>
      </c>
      <c r="H304" s="13">
        <v>651.75</v>
      </c>
      <c r="I304" s="14">
        <v>5.0</v>
      </c>
      <c r="J304" s="15" t="s">
        <v>38</v>
      </c>
      <c r="K304" s="16">
        <v>0.5</v>
      </c>
      <c r="L304" s="17">
        <f t="shared" si="1"/>
        <v>2.5</v>
      </c>
      <c r="M304" s="17">
        <f t="shared" si="2"/>
        <v>2.5</v>
      </c>
      <c r="N304" s="18">
        <f t="shared" si="3"/>
        <v>325.875</v>
      </c>
      <c r="O304" s="18">
        <f t="shared" si="4"/>
        <v>325.875</v>
      </c>
      <c r="P304" s="18">
        <f t="shared" si="5"/>
        <v>325.875</v>
      </c>
      <c r="Q304" s="8">
        <v>0.0</v>
      </c>
      <c r="R304" s="18">
        <f t="shared" si="6"/>
        <v>130.35</v>
      </c>
      <c r="S304" s="19" t="s">
        <v>29</v>
      </c>
      <c r="T304" s="19" t="s">
        <v>30</v>
      </c>
      <c r="U304" s="20" t="s">
        <v>121</v>
      </c>
      <c r="V304" s="37"/>
      <c r="W304" s="7"/>
      <c r="X304" s="7"/>
      <c r="Y304" s="7"/>
      <c r="Z304" s="7"/>
      <c r="AA304" s="7"/>
    </row>
    <row r="305" ht="18.75" customHeight="1">
      <c r="A305" s="22" t="s">
        <v>470</v>
      </c>
      <c r="B305" s="23" t="s">
        <v>471</v>
      </c>
      <c r="C305" s="23" t="s">
        <v>33</v>
      </c>
      <c r="D305" s="24">
        <v>0.0</v>
      </c>
      <c r="E305" s="22" t="s">
        <v>488</v>
      </c>
      <c r="F305" s="25" t="s">
        <v>26</v>
      </c>
      <c r="G305" s="26" t="s">
        <v>27</v>
      </c>
      <c r="H305" s="27">
        <v>651.75</v>
      </c>
      <c r="I305" s="28">
        <v>5.0</v>
      </c>
      <c r="J305" s="29" t="s">
        <v>38</v>
      </c>
      <c r="K305" s="30">
        <v>0.5</v>
      </c>
      <c r="L305" s="31">
        <f t="shared" si="1"/>
        <v>2.5</v>
      </c>
      <c r="M305" s="31">
        <f t="shared" si="2"/>
        <v>2.5</v>
      </c>
      <c r="N305" s="32">
        <f t="shared" si="3"/>
        <v>325.875</v>
      </c>
      <c r="O305" s="32">
        <f t="shared" si="4"/>
        <v>325.875</v>
      </c>
      <c r="P305" s="32">
        <f t="shared" si="5"/>
        <v>325.875</v>
      </c>
      <c r="Q305" s="22">
        <v>0.0</v>
      </c>
      <c r="R305" s="32">
        <f t="shared" si="6"/>
        <v>130.35</v>
      </c>
      <c r="S305" s="33" t="s">
        <v>29</v>
      </c>
      <c r="T305" s="33" t="s">
        <v>30</v>
      </c>
      <c r="U305" s="34" t="s">
        <v>121</v>
      </c>
      <c r="V305" s="35"/>
      <c r="W305" s="7"/>
      <c r="X305" s="7"/>
      <c r="Y305" s="7"/>
      <c r="Z305" s="7"/>
      <c r="AA305" s="7"/>
    </row>
    <row r="306" ht="18.75" customHeight="1">
      <c r="A306" s="8" t="s">
        <v>470</v>
      </c>
      <c r="B306" s="9" t="s">
        <v>471</v>
      </c>
      <c r="C306" s="8" t="s">
        <v>33</v>
      </c>
      <c r="D306" s="50">
        <v>0.0</v>
      </c>
      <c r="E306" s="8" t="s">
        <v>489</v>
      </c>
      <c r="F306" s="11" t="s">
        <v>26</v>
      </c>
      <c r="G306" s="12" t="s">
        <v>27</v>
      </c>
      <c r="H306" s="13">
        <v>651.75</v>
      </c>
      <c r="I306" s="14">
        <v>5.0</v>
      </c>
      <c r="J306" s="48" t="s">
        <v>63</v>
      </c>
      <c r="K306" s="16">
        <v>0.700000000000001</v>
      </c>
      <c r="L306" s="17">
        <f t="shared" si="1"/>
        <v>3.5</v>
      </c>
      <c r="M306" s="17">
        <f t="shared" si="2"/>
        <v>1.5</v>
      </c>
      <c r="N306" s="18">
        <f t="shared" si="3"/>
        <v>456.225</v>
      </c>
      <c r="O306" s="18">
        <f t="shared" si="4"/>
        <v>195.525</v>
      </c>
      <c r="P306" s="18">
        <f t="shared" si="5"/>
        <v>195.525</v>
      </c>
      <c r="Q306" s="8">
        <v>0.0</v>
      </c>
      <c r="R306" s="18">
        <f t="shared" si="6"/>
        <v>130.35</v>
      </c>
      <c r="S306" s="19" t="s">
        <v>29</v>
      </c>
      <c r="T306" s="19" t="s">
        <v>30</v>
      </c>
      <c r="U306" s="20" t="s">
        <v>121</v>
      </c>
      <c r="V306" s="37"/>
      <c r="W306" s="7"/>
      <c r="X306" s="7"/>
      <c r="Y306" s="7"/>
      <c r="Z306" s="7"/>
      <c r="AA306" s="7"/>
    </row>
    <row r="307" ht="18.75" customHeight="1">
      <c r="A307" s="22" t="s">
        <v>470</v>
      </c>
      <c r="B307" s="23" t="s">
        <v>471</v>
      </c>
      <c r="C307" s="23" t="s">
        <v>33</v>
      </c>
      <c r="D307" s="24">
        <v>0.0</v>
      </c>
      <c r="E307" s="22" t="s">
        <v>490</v>
      </c>
      <c r="F307" s="25" t="s">
        <v>26</v>
      </c>
      <c r="G307" s="26" t="s">
        <v>27</v>
      </c>
      <c r="H307" s="27">
        <v>576.47</v>
      </c>
      <c r="I307" s="28">
        <v>5.0</v>
      </c>
      <c r="J307" s="29" t="s">
        <v>38</v>
      </c>
      <c r="K307" s="30">
        <v>0.5</v>
      </c>
      <c r="L307" s="31">
        <f t="shared" si="1"/>
        <v>2.5</v>
      </c>
      <c r="M307" s="31">
        <f t="shared" si="2"/>
        <v>2.5</v>
      </c>
      <c r="N307" s="32">
        <f t="shared" si="3"/>
        <v>288.235</v>
      </c>
      <c r="O307" s="32">
        <f t="shared" si="4"/>
        <v>288.235</v>
      </c>
      <c r="P307" s="32">
        <f t="shared" si="5"/>
        <v>288.235</v>
      </c>
      <c r="Q307" s="22">
        <v>0.0</v>
      </c>
      <c r="R307" s="32">
        <f t="shared" si="6"/>
        <v>115.294</v>
      </c>
      <c r="S307" s="33" t="s">
        <v>29</v>
      </c>
      <c r="T307" s="33" t="s">
        <v>30</v>
      </c>
      <c r="U307" s="34" t="s">
        <v>114</v>
      </c>
      <c r="V307" s="35"/>
      <c r="W307" s="7"/>
      <c r="X307" s="7"/>
      <c r="Y307" s="7"/>
      <c r="Z307" s="7"/>
      <c r="AA307" s="7"/>
    </row>
    <row r="308" ht="18.75" customHeight="1">
      <c r="A308" s="8" t="s">
        <v>470</v>
      </c>
      <c r="B308" s="9" t="s">
        <v>471</v>
      </c>
      <c r="C308" s="9" t="s">
        <v>33</v>
      </c>
      <c r="D308" s="10">
        <v>0.0</v>
      </c>
      <c r="E308" s="8" t="s">
        <v>491</v>
      </c>
      <c r="F308" s="11" t="s">
        <v>26</v>
      </c>
      <c r="G308" s="12" t="s">
        <v>27</v>
      </c>
      <c r="H308" s="13">
        <v>576.47</v>
      </c>
      <c r="I308" s="14">
        <v>5.0</v>
      </c>
      <c r="J308" s="15" t="s">
        <v>38</v>
      </c>
      <c r="K308" s="16">
        <v>0.5</v>
      </c>
      <c r="L308" s="17">
        <f t="shared" si="1"/>
        <v>2.5</v>
      </c>
      <c r="M308" s="17">
        <f t="shared" si="2"/>
        <v>2.5</v>
      </c>
      <c r="N308" s="18">
        <f t="shared" si="3"/>
        <v>288.235</v>
      </c>
      <c r="O308" s="18">
        <f t="shared" si="4"/>
        <v>288.235</v>
      </c>
      <c r="P308" s="18">
        <f t="shared" si="5"/>
        <v>288.235</v>
      </c>
      <c r="Q308" s="8">
        <v>0.0</v>
      </c>
      <c r="R308" s="18">
        <f t="shared" si="6"/>
        <v>115.294</v>
      </c>
      <c r="S308" s="19" t="s">
        <v>29</v>
      </c>
      <c r="T308" s="19" t="s">
        <v>30</v>
      </c>
      <c r="U308" s="20" t="s">
        <v>114</v>
      </c>
      <c r="V308" s="37"/>
      <c r="W308" s="7"/>
      <c r="X308" s="7"/>
      <c r="Y308" s="7"/>
      <c r="Z308" s="7"/>
      <c r="AA308" s="7"/>
    </row>
    <row r="309" ht="18.75" customHeight="1">
      <c r="A309" s="22" t="s">
        <v>470</v>
      </c>
      <c r="B309" s="23" t="s">
        <v>471</v>
      </c>
      <c r="C309" s="23" t="s">
        <v>33</v>
      </c>
      <c r="D309" s="24">
        <v>0.0</v>
      </c>
      <c r="E309" s="22" t="s">
        <v>492</v>
      </c>
      <c r="F309" s="25" t="s">
        <v>26</v>
      </c>
      <c r="G309" s="26" t="s">
        <v>27</v>
      </c>
      <c r="H309" s="27">
        <v>576.47</v>
      </c>
      <c r="I309" s="28">
        <v>5.0</v>
      </c>
      <c r="J309" s="29" t="s">
        <v>38</v>
      </c>
      <c r="K309" s="30">
        <v>0.5</v>
      </c>
      <c r="L309" s="31">
        <f t="shared" si="1"/>
        <v>2.5</v>
      </c>
      <c r="M309" s="31">
        <f t="shared" si="2"/>
        <v>2.5</v>
      </c>
      <c r="N309" s="32">
        <f t="shared" si="3"/>
        <v>288.235</v>
      </c>
      <c r="O309" s="32">
        <f t="shared" si="4"/>
        <v>288.235</v>
      </c>
      <c r="P309" s="32">
        <f t="shared" si="5"/>
        <v>288.235</v>
      </c>
      <c r="Q309" s="22">
        <v>0.0</v>
      </c>
      <c r="R309" s="32">
        <f t="shared" si="6"/>
        <v>115.294</v>
      </c>
      <c r="S309" s="33" t="s">
        <v>29</v>
      </c>
      <c r="T309" s="33" t="s">
        <v>30</v>
      </c>
      <c r="U309" s="34" t="s">
        <v>114</v>
      </c>
      <c r="V309" s="35"/>
      <c r="W309" s="7"/>
      <c r="X309" s="7"/>
      <c r="Y309" s="7"/>
      <c r="Z309" s="7"/>
      <c r="AA309" s="7"/>
    </row>
    <row r="310" ht="18.75" customHeight="1">
      <c r="A310" s="8" t="s">
        <v>470</v>
      </c>
      <c r="B310" s="9" t="s">
        <v>471</v>
      </c>
      <c r="C310" s="9" t="s">
        <v>33</v>
      </c>
      <c r="D310" s="10">
        <v>0.0</v>
      </c>
      <c r="E310" s="8" t="s">
        <v>493</v>
      </c>
      <c r="F310" s="11" t="s">
        <v>26</v>
      </c>
      <c r="G310" s="12" t="s">
        <v>27</v>
      </c>
      <c r="H310" s="13">
        <v>576.47</v>
      </c>
      <c r="I310" s="14">
        <v>5.0</v>
      </c>
      <c r="J310" s="15" t="s">
        <v>38</v>
      </c>
      <c r="K310" s="16">
        <v>0.5</v>
      </c>
      <c r="L310" s="17">
        <f t="shared" si="1"/>
        <v>2.5</v>
      </c>
      <c r="M310" s="17">
        <f t="shared" si="2"/>
        <v>2.5</v>
      </c>
      <c r="N310" s="18">
        <f t="shared" si="3"/>
        <v>288.235</v>
      </c>
      <c r="O310" s="18">
        <f t="shared" si="4"/>
        <v>288.235</v>
      </c>
      <c r="P310" s="18">
        <f t="shared" si="5"/>
        <v>288.235</v>
      </c>
      <c r="Q310" s="8">
        <v>0.0</v>
      </c>
      <c r="R310" s="18">
        <f t="shared" si="6"/>
        <v>115.294</v>
      </c>
      <c r="S310" s="19" t="s">
        <v>29</v>
      </c>
      <c r="T310" s="19" t="s">
        <v>30</v>
      </c>
      <c r="U310" s="20" t="s">
        <v>114</v>
      </c>
      <c r="V310" s="37"/>
      <c r="W310" s="7"/>
      <c r="X310" s="7"/>
      <c r="Y310" s="7"/>
      <c r="Z310" s="7"/>
      <c r="AA310" s="7"/>
    </row>
    <row r="311" ht="18.75" customHeight="1">
      <c r="A311" s="22" t="s">
        <v>470</v>
      </c>
      <c r="B311" s="23" t="s">
        <v>471</v>
      </c>
      <c r="C311" s="23" t="s">
        <v>33</v>
      </c>
      <c r="D311" s="24">
        <v>0.0</v>
      </c>
      <c r="E311" s="22" t="s">
        <v>494</v>
      </c>
      <c r="F311" s="25" t="s">
        <v>26</v>
      </c>
      <c r="G311" s="26" t="s">
        <v>27</v>
      </c>
      <c r="H311" s="27">
        <v>576.47</v>
      </c>
      <c r="I311" s="28">
        <v>5.0</v>
      </c>
      <c r="J311" s="29" t="s">
        <v>38</v>
      </c>
      <c r="K311" s="30">
        <v>0.5</v>
      </c>
      <c r="L311" s="31">
        <f t="shared" si="1"/>
        <v>2.5</v>
      </c>
      <c r="M311" s="31">
        <f t="shared" si="2"/>
        <v>2.5</v>
      </c>
      <c r="N311" s="32">
        <f t="shared" si="3"/>
        <v>288.235</v>
      </c>
      <c r="O311" s="32">
        <f t="shared" si="4"/>
        <v>288.235</v>
      </c>
      <c r="P311" s="32">
        <f t="shared" si="5"/>
        <v>288.235</v>
      </c>
      <c r="Q311" s="22">
        <v>0.0</v>
      </c>
      <c r="R311" s="32">
        <f t="shared" si="6"/>
        <v>115.294</v>
      </c>
      <c r="S311" s="33" t="s">
        <v>29</v>
      </c>
      <c r="T311" s="33" t="s">
        <v>30</v>
      </c>
      <c r="U311" s="34" t="s">
        <v>114</v>
      </c>
      <c r="V311" s="35"/>
      <c r="W311" s="7"/>
      <c r="X311" s="7"/>
      <c r="Y311" s="7"/>
      <c r="Z311" s="7"/>
      <c r="AA311" s="7"/>
    </row>
    <row r="312" ht="18.75" customHeight="1">
      <c r="A312" s="8" t="s">
        <v>470</v>
      </c>
      <c r="B312" s="9" t="s">
        <v>471</v>
      </c>
      <c r="C312" s="9" t="s">
        <v>24</v>
      </c>
      <c r="D312" s="10">
        <v>0.0</v>
      </c>
      <c r="E312" s="8" t="s">
        <v>495</v>
      </c>
      <c r="F312" s="11" t="s">
        <v>26</v>
      </c>
      <c r="G312" s="12" t="s">
        <v>27</v>
      </c>
      <c r="H312" s="13">
        <v>44.9</v>
      </c>
      <c r="I312" s="14">
        <v>20.0</v>
      </c>
      <c r="J312" s="15" t="s">
        <v>38</v>
      </c>
      <c r="K312" s="16">
        <v>0.5</v>
      </c>
      <c r="L312" s="17">
        <f t="shared" si="1"/>
        <v>10</v>
      </c>
      <c r="M312" s="17">
        <f t="shared" si="2"/>
        <v>10</v>
      </c>
      <c r="N312" s="18">
        <f t="shared" si="3"/>
        <v>22.45</v>
      </c>
      <c r="O312" s="18">
        <f t="shared" si="4"/>
        <v>22.45</v>
      </c>
      <c r="P312" s="18">
        <f t="shared" si="5"/>
        <v>22.45</v>
      </c>
      <c r="Q312" s="8">
        <v>0.0</v>
      </c>
      <c r="R312" s="18">
        <f t="shared" si="6"/>
        <v>2.245</v>
      </c>
      <c r="S312" s="19" t="s">
        <v>29</v>
      </c>
      <c r="T312" s="19" t="s">
        <v>30</v>
      </c>
      <c r="U312" s="20" t="s">
        <v>167</v>
      </c>
      <c r="V312" s="37"/>
      <c r="W312" s="7"/>
      <c r="X312" s="7"/>
      <c r="Y312" s="7"/>
      <c r="Z312" s="7"/>
      <c r="AA312" s="7"/>
    </row>
    <row r="313" ht="18.75" customHeight="1">
      <c r="A313" s="22" t="s">
        <v>470</v>
      </c>
      <c r="B313" s="23" t="s">
        <v>471</v>
      </c>
      <c r="C313" s="23" t="s">
        <v>24</v>
      </c>
      <c r="D313" s="24">
        <v>0.0</v>
      </c>
      <c r="E313" s="22" t="s">
        <v>496</v>
      </c>
      <c r="F313" s="25" t="s">
        <v>26</v>
      </c>
      <c r="G313" s="26" t="s">
        <v>27</v>
      </c>
      <c r="H313" s="27">
        <v>29.0</v>
      </c>
      <c r="I313" s="28">
        <v>20.0</v>
      </c>
      <c r="J313" s="29" t="s">
        <v>54</v>
      </c>
      <c r="K313" s="30">
        <v>0.3</v>
      </c>
      <c r="L313" s="31">
        <f t="shared" si="1"/>
        <v>6</v>
      </c>
      <c r="M313" s="31">
        <f t="shared" si="2"/>
        <v>14</v>
      </c>
      <c r="N313" s="32">
        <f t="shared" si="3"/>
        <v>8.7</v>
      </c>
      <c r="O313" s="32">
        <f t="shared" si="4"/>
        <v>20.3</v>
      </c>
      <c r="P313" s="32">
        <f t="shared" si="5"/>
        <v>20.3</v>
      </c>
      <c r="Q313" s="22">
        <v>0.0</v>
      </c>
      <c r="R313" s="32">
        <f t="shared" si="6"/>
        <v>1.45</v>
      </c>
      <c r="S313" s="33" t="s">
        <v>29</v>
      </c>
      <c r="T313" s="33" t="s">
        <v>30</v>
      </c>
      <c r="U313" s="34" t="s">
        <v>497</v>
      </c>
      <c r="V313" s="35"/>
      <c r="W313" s="7"/>
      <c r="X313" s="7"/>
      <c r="Y313" s="7"/>
      <c r="Z313" s="7"/>
      <c r="AA313" s="7"/>
    </row>
    <row r="314" ht="18.75" customHeight="1">
      <c r="A314" s="8" t="s">
        <v>470</v>
      </c>
      <c r="B314" s="9" t="s">
        <v>471</v>
      </c>
      <c r="C314" s="9" t="s">
        <v>24</v>
      </c>
      <c r="D314" s="10">
        <v>0.0</v>
      </c>
      <c r="E314" s="8" t="s">
        <v>498</v>
      </c>
      <c r="F314" s="11" t="s">
        <v>26</v>
      </c>
      <c r="G314" s="12" t="s">
        <v>27</v>
      </c>
      <c r="H314" s="13">
        <v>169.9</v>
      </c>
      <c r="I314" s="14">
        <v>20.0</v>
      </c>
      <c r="J314" s="15" t="s">
        <v>54</v>
      </c>
      <c r="K314" s="16">
        <v>0.3</v>
      </c>
      <c r="L314" s="17">
        <f t="shared" si="1"/>
        <v>6</v>
      </c>
      <c r="M314" s="17">
        <f t="shared" si="2"/>
        <v>14</v>
      </c>
      <c r="N314" s="18">
        <f t="shared" si="3"/>
        <v>50.97</v>
      </c>
      <c r="O314" s="18">
        <f t="shared" si="4"/>
        <v>118.93</v>
      </c>
      <c r="P314" s="18">
        <f t="shared" si="5"/>
        <v>118.93</v>
      </c>
      <c r="Q314" s="8">
        <v>0.0</v>
      </c>
      <c r="R314" s="18">
        <f t="shared" si="6"/>
        <v>8.495</v>
      </c>
      <c r="S314" s="19" t="s">
        <v>29</v>
      </c>
      <c r="T314" s="19" t="s">
        <v>30</v>
      </c>
      <c r="U314" s="20" t="s">
        <v>186</v>
      </c>
      <c r="V314" s="37"/>
      <c r="W314" s="7"/>
      <c r="X314" s="7"/>
      <c r="Y314" s="7"/>
      <c r="Z314" s="7"/>
      <c r="AA314" s="7"/>
    </row>
    <row r="315" ht="18.75" customHeight="1">
      <c r="A315" s="22" t="s">
        <v>470</v>
      </c>
      <c r="B315" s="23" t="s">
        <v>471</v>
      </c>
      <c r="C315" s="23" t="s">
        <v>24</v>
      </c>
      <c r="D315" s="24">
        <v>0.0</v>
      </c>
      <c r="E315" s="22" t="s">
        <v>499</v>
      </c>
      <c r="F315" s="25" t="s">
        <v>26</v>
      </c>
      <c r="G315" s="26" t="s">
        <v>27</v>
      </c>
      <c r="H315" s="27">
        <v>130.0</v>
      </c>
      <c r="I315" s="28">
        <v>5.0</v>
      </c>
      <c r="J315" s="29" t="s">
        <v>143</v>
      </c>
      <c r="K315" s="30"/>
      <c r="L315" s="31">
        <f t="shared" si="1"/>
        <v>0</v>
      </c>
      <c r="M315" s="31">
        <f t="shared" si="2"/>
        <v>5</v>
      </c>
      <c r="N315" s="32">
        <f t="shared" si="3"/>
        <v>0</v>
      </c>
      <c r="O315" s="32">
        <f t="shared" si="4"/>
        <v>130</v>
      </c>
      <c r="P315" s="32">
        <f t="shared" si="5"/>
        <v>130</v>
      </c>
      <c r="Q315" s="22">
        <v>0.0</v>
      </c>
      <c r="R315" s="32">
        <f t="shared" si="6"/>
        <v>26</v>
      </c>
      <c r="S315" s="33" t="s">
        <v>29</v>
      </c>
      <c r="T315" s="33" t="s">
        <v>30</v>
      </c>
      <c r="U315" s="34" t="s">
        <v>175</v>
      </c>
      <c r="V315" s="35"/>
      <c r="W315" s="7"/>
      <c r="X315" s="7"/>
      <c r="Y315" s="7"/>
      <c r="Z315" s="7"/>
      <c r="AA315" s="7"/>
    </row>
    <row r="316" ht="18.75" customHeight="1">
      <c r="A316" s="8" t="s">
        <v>470</v>
      </c>
      <c r="B316" s="9" t="s">
        <v>471</v>
      </c>
      <c r="C316" s="9" t="s">
        <v>24</v>
      </c>
      <c r="D316" s="10">
        <v>0.0</v>
      </c>
      <c r="E316" s="8" t="s">
        <v>500</v>
      </c>
      <c r="F316" s="11" t="s">
        <v>26</v>
      </c>
      <c r="G316" s="12" t="s">
        <v>27</v>
      </c>
      <c r="H316" s="13">
        <v>130.0</v>
      </c>
      <c r="I316" s="14">
        <v>5.0</v>
      </c>
      <c r="J316" s="15" t="s">
        <v>143</v>
      </c>
      <c r="K316" s="16"/>
      <c r="L316" s="17">
        <f t="shared" si="1"/>
        <v>0</v>
      </c>
      <c r="M316" s="17">
        <f t="shared" si="2"/>
        <v>5</v>
      </c>
      <c r="N316" s="18">
        <f t="shared" si="3"/>
        <v>0</v>
      </c>
      <c r="O316" s="18">
        <f t="shared" si="4"/>
        <v>130</v>
      </c>
      <c r="P316" s="18">
        <f t="shared" si="5"/>
        <v>130</v>
      </c>
      <c r="Q316" s="8">
        <v>0.0</v>
      </c>
      <c r="R316" s="18">
        <f t="shared" si="6"/>
        <v>26</v>
      </c>
      <c r="S316" s="19" t="s">
        <v>29</v>
      </c>
      <c r="T316" s="19" t="s">
        <v>30</v>
      </c>
      <c r="U316" s="20" t="s">
        <v>175</v>
      </c>
      <c r="V316" s="37"/>
      <c r="W316" s="7"/>
      <c r="X316" s="7"/>
      <c r="Y316" s="7"/>
      <c r="Z316" s="7"/>
      <c r="AA316" s="7"/>
    </row>
    <row r="317" ht="18.75" customHeight="1">
      <c r="A317" s="22" t="s">
        <v>470</v>
      </c>
      <c r="B317" s="23" t="s">
        <v>471</v>
      </c>
      <c r="C317" s="23" t="s">
        <v>24</v>
      </c>
      <c r="D317" s="24">
        <v>0.0</v>
      </c>
      <c r="E317" s="22" t="s">
        <v>501</v>
      </c>
      <c r="F317" s="25" t="s">
        <v>26</v>
      </c>
      <c r="G317" s="26" t="s">
        <v>27</v>
      </c>
      <c r="H317" s="27">
        <v>39.43</v>
      </c>
      <c r="I317" s="28">
        <v>5.0</v>
      </c>
      <c r="J317" s="29" t="s">
        <v>154</v>
      </c>
      <c r="K317" s="30">
        <v>0.8</v>
      </c>
      <c r="L317" s="31">
        <f t="shared" si="1"/>
        <v>4</v>
      </c>
      <c r="M317" s="31">
        <f t="shared" si="2"/>
        <v>1</v>
      </c>
      <c r="N317" s="32">
        <f t="shared" si="3"/>
        <v>31.544</v>
      </c>
      <c r="O317" s="32">
        <f t="shared" si="4"/>
        <v>7.886</v>
      </c>
      <c r="P317" s="32">
        <f t="shared" si="5"/>
        <v>7.886</v>
      </c>
      <c r="Q317" s="22">
        <v>0.0</v>
      </c>
      <c r="R317" s="32">
        <f t="shared" si="6"/>
        <v>7.886</v>
      </c>
      <c r="S317" s="33" t="s">
        <v>29</v>
      </c>
      <c r="T317" s="33" t="s">
        <v>30</v>
      </c>
      <c r="U317" s="34" t="s">
        <v>502</v>
      </c>
      <c r="V317" s="35"/>
      <c r="W317" s="7"/>
      <c r="X317" s="7"/>
      <c r="Y317" s="7"/>
      <c r="Z317" s="7"/>
      <c r="AA317" s="7"/>
    </row>
    <row r="318" ht="18.75" customHeight="1">
      <c r="A318" s="8" t="s">
        <v>470</v>
      </c>
      <c r="B318" s="9" t="s">
        <v>471</v>
      </c>
      <c r="C318" s="9" t="s">
        <v>24</v>
      </c>
      <c r="D318" s="10">
        <v>0.0</v>
      </c>
      <c r="E318" s="8" t="s">
        <v>503</v>
      </c>
      <c r="F318" s="11" t="s">
        <v>26</v>
      </c>
      <c r="G318" s="12" t="s">
        <v>27</v>
      </c>
      <c r="H318" s="13">
        <v>29.9</v>
      </c>
      <c r="I318" s="14">
        <v>5.0</v>
      </c>
      <c r="J318" s="15" t="s">
        <v>154</v>
      </c>
      <c r="K318" s="16">
        <v>0.8</v>
      </c>
      <c r="L318" s="17">
        <f t="shared" si="1"/>
        <v>4</v>
      </c>
      <c r="M318" s="17">
        <f t="shared" si="2"/>
        <v>1</v>
      </c>
      <c r="N318" s="18">
        <f t="shared" si="3"/>
        <v>23.92</v>
      </c>
      <c r="O318" s="18">
        <f t="shared" si="4"/>
        <v>5.98</v>
      </c>
      <c r="P318" s="18">
        <f t="shared" si="5"/>
        <v>5.98</v>
      </c>
      <c r="Q318" s="8">
        <v>0.0</v>
      </c>
      <c r="R318" s="18">
        <f t="shared" si="6"/>
        <v>5.98</v>
      </c>
      <c r="S318" s="19" t="s">
        <v>29</v>
      </c>
      <c r="T318" s="19" t="s">
        <v>30</v>
      </c>
      <c r="U318" s="20" t="s">
        <v>173</v>
      </c>
      <c r="V318" s="37"/>
      <c r="W318" s="71"/>
      <c r="X318" s="71"/>
      <c r="Y318" s="71"/>
      <c r="Z318" s="71"/>
      <c r="AA318" s="71"/>
    </row>
    <row r="319" ht="18.75" customHeight="1">
      <c r="A319" s="22" t="s">
        <v>470</v>
      </c>
      <c r="B319" s="23" t="s">
        <v>471</v>
      </c>
      <c r="C319" s="23" t="s">
        <v>24</v>
      </c>
      <c r="D319" s="24">
        <v>0.0</v>
      </c>
      <c r="E319" s="22" t="s">
        <v>504</v>
      </c>
      <c r="F319" s="25" t="s">
        <v>26</v>
      </c>
      <c r="G319" s="26" t="s">
        <v>27</v>
      </c>
      <c r="H319" s="27">
        <v>130.0</v>
      </c>
      <c r="I319" s="28">
        <v>5.0</v>
      </c>
      <c r="J319" s="29" t="s">
        <v>143</v>
      </c>
      <c r="K319" s="30"/>
      <c r="L319" s="31">
        <f t="shared" si="1"/>
        <v>0</v>
      </c>
      <c r="M319" s="31">
        <f t="shared" si="2"/>
        <v>5</v>
      </c>
      <c r="N319" s="32">
        <f t="shared" si="3"/>
        <v>0</v>
      </c>
      <c r="O319" s="32">
        <f t="shared" si="4"/>
        <v>130</v>
      </c>
      <c r="P319" s="32">
        <f t="shared" si="5"/>
        <v>130</v>
      </c>
      <c r="Q319" s="22">
        <v>0.0</v>
      </c>
      <c r="R319" s="32">
        <f t="shared" si="6"/>
        <v>26</v>
      </c>
      <c r="S319" s="33" t="s">
        <v>29</v>
      </c>
      <c r="T319" s="33" t="s">
        <v>30</v>
      </c>
      <c r="U319" s="34" t="s">
        <v>175</v>
      </c>
      <c r="V319" s="35"/>
      <c r="W319" s="71"/>
      <c r="X319" s="71"/>
      <c r="Y319" s="71"/>
      <c r="Z319" s="71"/>
      <c r="AA319" s="71"/>
    </row>
    <row r="320" ht="18.75" customHeight="1">
      <c r="A320" s="8" t="s">
        <v>470</v>
      </c>
      <c r="B320" s="9" t="s">
        <v>471</v>
      </c>
      <c r="C320" s="9" t="s">
        <v>33</v>
      </c>
      <c r="D320" s="10">
        <v>0.0</v>
      </c>
      <c r="E320" s="8" t="s">
        <v>505</v>
      </c>
      <c r="F320" s="11" t="s">
        <v>26</v>
      </c>
      <c r="G320" s="12" t="s">
        <v>27</v>
      </c>
      <c r="H320" s="13">
        <v>623.61</v>
      </c>
      <c r="I320" s="14">
        <v>5.0</v>
      </c>
      <c r="J320" s="15" t="s">
        <v>38</v>
      </c>
      <c r="K320" s="16">
        <v>0.5</v>
      </c>
      <c r="L320" s="17">
        <f t="shared" si="1"/>
        <v>2.5</v>
      </c>
      <c r="M320" s="17">
        <f t="shared" si="2"/>
        <v>2.5</v>
      </c>
      <c r="N320" s="18">
        <f t="shared" si="3"/>
        <v>311.805</v>
      </c>
      <c r="O320" s="18">
        <f t="shared" si="4"/>
        <v>311.805</v>
      </c>
      <c r="P320" s="18">
        <f t="shared" si="5"/>
        <v>311.805</v>
      </c>
      <c r="Q320" s="8">
        <v>0.0</v>
      </c>
      <c r="R320" s="18">
        <f t="shared" si="6"/>
        <v>124.722</v>
      </c>
      <c r="S320" s="19" t="s">
        <v>29</v>
      </c>
      <c r="T320" s="19" t="s">
        <v>30</v>
      </c>
      <c r="U320" s="20" t="s">
        <v>117</v>
      </c>
      <c r="V320" s="37"/>
      <c r="W320" s="7"/>
      <c r="X320" s="7"/>
      <c r="Y320" s="7"/>
      <c r="Z320" s="7"/>
      <c r="AA320" s="7"/>
    </row>
    <row r="321" ht="18.75" customHeight="1">
      <c r="A321" s="22" t="s">
        <v>470</v>
      </c>
      <c r="B321" s="23" t="s">
        <v>471</v>
      </c>
      <c r="C321" s="23" t="s">
        <v>33</v>
      </c>
      <c r="D321" s="24">
        <v>0.0</v>
      </c>
      <c r="E321" s="22" t="s">
        <v>506</v>
      </c>
      <c r="F321" s="25" t="s">
        <v>26</v>
      </c>
      <c r="G321" s="26" t="s">
        <v>27</v>
      </c>
      <c r="H321" s="27">
        <v>623.61</v>
      </c>
      <c r="I321" s="28">
        <v>5.0</v>
      </c>
      <c r="J321" s="29" t="s">
        <v>38</v>
      </c>
      <c r="K321" s="30">
        <v>0.5</v>
      </c>
      <c r="L321" s="31">
        <f t="shared" si="1"/>
        <v>2.5</v>
      </c>
      <c r="M321" s="31">
        <f t="shared" si="2"/>
        <v>2.5</v>
      </c>
      <c r="N321" s="32">
        <f t="shared" si="3"/>
        <v>311.805</v>
      </c>
      <c r="O321" s="32">
        <f t="shared" si="4"/>
        <v>311.805</v>
      </c>
      <c r="P321" s="32">
        <f t="shared" si="5"/>
        <v>311.805</v>
      </c>
      <c r="Q321" s="22">
        <v>0.0</v>
      </c>
      <c r="R321" s="32">
        <f t="shared" si="6"/>
        <v>124.722</v>
      </c>
      <c r="S321" s="33" t="s">
        <v>29</v>
      </c>
      <c r="T321" s="33" t="s">
        <v>30</v>
      </c>
      <c r="U321" s="34" t="s">
        <v>117</v>
      </c>
      <c r="V321" s="35"/>
      <c r="W321" s="7"/>
      <c r="X321" s="7"/>
      <c r="Y321" s="7"/>
      <c r="Z321" s="7"/>
      <c r="AA321" s="7"/>
    </row>
    <row r="322" ht="18.75" customHeight="1">
      <c r="A322" s="8" t="s">
        <v>470</v>
      </c>
      <c r="B322" s="9" t="s">
        <v>471</v>
      </c>
      <c r="C322" s="9" t="s">
        <v>33</v>
      </c>
      <c r="D322" s="10">
        <v>0.0</v>
      </c>
      <c r="E322" s="8" t="s">
        <v>507</v>
      </c>
      <c r="F322" s="11" t="s">
        <v>26</v>
      </c>
      <c r="G322" s="12" t="s">
        <v>27</v>
      </c>
      <c r="H322" s="13">
        <v>328.8</v>
      </c>
      <c r="I322" s="14">
        <v>5.0</v>
      </c>
      <c r="J322" s="15" t="s">
        <v>38</v>
      </c>
      <c r="K322" s="16">
        <v>0.5</v>
      </c>
      <c r="L322" s="17">
        <f t="shared" si="1"/>
        <v>2.5</v>
      </c>
      <c r="M322" s="17">
        <f t="shared" si="2"/>
        <v>2.5</v>
      </c>
      <c r="N322" s="18">
        <f t="shared" si="3"/>
        <v>164.4</v>
      </c>
      <c r="O322" s="18">
        <f t="shared" si="4"/>
        <v>164.4</v>
      </c>
      <c r="P322" s="18">
        <f t="shared" si="5"/>
        <v>164.4</v>
      </c>
      <c r="Q322" s="8">
        <v>0.0</v>
      </c>
      <c r="R322" s="18">
        <f t="shared" si="6"/>
        <v>65.76</v>
      </c>
      <c r="S322" s="19" t="s">
        <v>29</v>
      </c>
      <c r="T322" s="19" t="s">
        <v>30</v>
      </c>
      <c r="U322" s="20" t="s">
        <v>344</v>
      </c>
      <c r="V322" s="37"/>
      <c r="W322" s="7"/>
      <c r="X322" s="7"/>
      <c r="Y322" s="7"/>
      <c r="Z322" s="7"/>
      <c r="AA322" s="7"/>
    </row>
    <row r="323" ht="18.75" customHeight="1">
      <c r="A323" s="22" t="s">
        <v>470</v>
      </c>
      <c r="B323" s="23" t="s">
        <v>471</v>
      </c>
      <c r="C323" s="23" t="s">
        <v>24</v>
      </c>
      <c r="D323" s="24">
        <v>0.0</v>
      </c>
      <c r="E323" s="22" t="s">
        <v>508</v>
      </c>
      <c r="F323" s="25" t="s">
        <v>26</v>
      </c>
      <c r="G323" s="26" t="s">
        <v>27</v>
      </c>
      <c r="H323" s="27">
        <v>74.64</v>
      </c>
      <c r="I323" s="28">
        <v>5.0</v>
      </c>
      <c r="J323" s="29" t="s">
        <v>54</v>
      </c>
      <c r="K323" s="30">
        <v>0.3</v>
      </c>
      <c r="L323" s="31">
        <f t="shared" si="1"/>
        <v>1.5</v>
      </c>
      <c r="M323" s="31">
        <f t="shared" si="2"/>
        <v>3.5</v>
      </c>
      <c r="N323" s="32">
        <f t="shared" si="3"/>
        <v>22.392</v>
      </c>
      <c r="O323" s="32">
        <f t="shared" si="4"/>
        <v>52.248</v>
      </c>
      <c r="P323" s="32">
        <f t="shared" si="5"/>
        <v>52.248</v>
      </c>
      <c r="Q323" s="22">
        <v>0.0</v>
      </c>
      <c r="R323" s="32">
        <f t="shared" si="6"/>
        <v>14.928</v>
      </c>
      <c r="S323" s="33" t="s">
        <v>29</v>
      </c>
      <c r="T323" s="33" t="s">
        <v>30</v>
      </c>
      <c r="U323" s="38" t="s">
        <v>509</v>
      </c>
      <c r="V323" s="35"/>
      <c r="W323" s="7"/>
      <c r="X323" s="7"/>
      <c r="Y323" s="7"/>
      <c r="Z323" s="7"/>
      <c r="AA323" s="7"/>
    </row>
    <row r="324" ht="18.75" customHeight="1">
      <c r="A324" s="8" t="s">
        <v>470</v>
      </c>
      <c r="B324" s="9" t="s">
        <v>471</v>
      </c>
      <c r="C324" s="9" t="s">
        <v>24</v>
      </c>
      <c r="D324" s="10">
        <v>0.0</v>
      </c>
      <c r="E324" s="8" t="s">
        <v>510</v>
      </c>
      <c r="F324" s="11" t="s">
        <v>26</v>
      </c>
      <c r="G324" s="12" t="s">
        <v>27</v>
      </c>
      <c r="H324" s="13">
        <v>140.28</v>
      </c>
      <c r="I324" s="14">
        <v>5.0</v>
      </c>
      <c r="J324" s="15" t="s">
        <v>28</v>
      </c>
      <c r="K324" s="16">
        <v>0.4</v>
      </c>
      <c r="L324" s="17">
        <f t="shared" si="1"/>
        <v>2</v>
      </c>
      <c r="M324" s="17">
        <f t="shared" si="2"/>
        <v>3</v>
      </c>
      <c r="N324" s="18">
        <f t="shared" si="3"/>
        <v>56.112</v>
      </c>
      <c r="O324" s="18">
        <f t="shared" si="4"/>
        <v>84.168</v>
      </c>
      <c r="P324" s="18">
        <f t="shared" si="5"/>
        <v>84.168</v>
      </c>
      <c r="Q324" s="8">
        <v>0.0</v>
      </c>
      <c r="R324" s="18">
        <f t="shared" si="6"/>
        <v>28.056</v>
      </c>
      <c r="S324" s="19" t="s">
        <v>29</v>
      </c>
      <c r="T324" s="19" t="s">
        <v>30</v>
      </c>
      <c r="U324" s="20" t="s">
        <v>180</v>
      </c>
      <c r="V324" s="37"/>
      <c r="W324" s="7"/>
      <c r="X324" s="7"/>
      <c r="Y324" s="7"/>
      <c r="Z324" s="7"/>
      <c r="AA324" s="7"/>
    </row>
    <row r="325" ht="18.75" customHeight="1">
      <c r="A325" s="22" t="s">
        <v>470</v>
      </c>
      <c r="B325" s="23" t="s">
        <v>471</v>
      </c>
      <c r="C325" s="23" t="s">
        <v>24</v>
      </c>
      <c r="D325" s="24">
        <v>0.0</v>
      </c>
      <c r="E325" s="22" t="s">
        <v>511</v>
      </c>
      <c r="F325" s="25" t="s">
        <v>26</v>
      </c>
      <c r="G325" s="26" t="s">
        <v>27</v>
      </c>
      <c r="H325" s="27">
        <v>52.73</v>
      </c>
      <c r="I325" s="28">
        <v>5.0</v>
      </c>
      <c r="J325" s="29" t="s">
        <v>28</v>
      </c>
      <c r="K325" s="30">
        <v>0.4</v>
      </c>
      <c r="L325" s="31">
        <f t="shared" si="1"/>
        <v>2</v>
      </c>
      <c r="M325" s="31">
        <f t="shared" si="2"/>
        <v>3</v>
      </c>
      <c r="N325" s="32">
        <f t="shared" si="3"/>
        <v>21.092</v>
      </c>
      <c r="O325" s="32">
        <f t="shared" si="4"/>
        <v>31.638</v>
      </c>
      <c r="P325" s="32">
        <f t="shared" si="5"/>
        <v>31.638</v>
      </c>
      <c r="Q325" s="22">
        <v>0.0</v>
      </c>
      <c r="R325" s="32">
        <f t="shared" si="6"/>
        <v>10.546</v>
      </c>
      <c r="S325" s="33" t="s">
        <v>29</v>
      </c>
      <c r="T325" s="33" t="s">
        <v>30</v>
      </c>
      <c r="U325" s="34" t="s">
        <v>182</v>
      </c>
      <c r="V325" s="35"/>
      <c r="W325" s="7"/>
      <c r="X325" s="7"/>
      <c r="Y325" s="7"/>
      <c r="Z325" s="7"/>
      <c r="AA325" s="7"/>
    </row>
    <row r="326" ht="18.75" customHeight="1">
      <c r="A326" s="8" t="s">
        <v>470</v>
      </c>
      <c r="B326" s="9" t="s">
        <v>471</v>
      </c>
      <c r="C326" s="9" t="s">
        <v>24</v>
      </c>
      <c r="D326" s="10">
        <v>0.0</v>
      </c>
      <c r="E326" s="8" t="s">
        <v>512</v>
      </c>
      <c r="F326" s="11" t="s">
        <v>26</v>
      </c>
      <c r="G326" s="12" t="s">
        <v>27</v>
      </c>
      <c r="H326" s="13">
        <v>54.15</v>
      </c>
      <c r="I326" s="14">
        <v>5.0</v>
      </c>
      <c r="J326" s="15" t="s">
        <v>54</v>
      </c>
      <c r="K326" s="16">
        <v>0.3</v>
      </c>
      <c r="L326" s="17">
        <f t="shared" si="1"/>
        <v>1.5</v>
      </c>
      <c r="M326" s="17">
        <f t="shared" si="2"/>
        <v>3.5</v>
      </c>
      <c r="N326" s="18">
        <f t="shared" si="3"/>
        <v>16.245</v>
      </c>
      <c r="O326" s="18">
        <f t="shared" si="4"/>
        <v>37.905</v>
      </c>
      <c r="P326" s="18">
        <f t="shared" si="5"/>
        <v>37.905</v>
      </c>
      <c r="Q326" s="8">
        <v>0.0</v>
      </c>
      <c r="R326" s="18">
        <f t="shared" si="6"/>
        <v>10.83</v>
      </c>
      <c r="S326" s="19" t="s">
        <v>29</v>
      </c>
      <c r="T326" s="19" t="s">
        <v>30</v>
      </c>
      <c r="U326" s="20" t="s">
        <v>513</v>
      </c>
      <c r="V326" s="37"/>
      <c r="W326" s="7"/>
      <c r="X326" s="7"/>
      <c r="Y326" s="7"/>
      <c r="Z326" s="7"/>
      <c r="AA326" s="7"/>
    </row>
    <row r="327" ht="18.75" customHeight="1">
      <c r="A327" s="22" t="s">
        <v>470</v>
      </c>
      <c r="B327" s="23" t="s">
        <v>471</v>
      </c>
      <c r="C327" s="23" t="s">
        <v>24</v>
      </c>
      <c r="D327" s="24">
        <v>0.0</v>
      </c>
      <c r="E327" s="22" t="s">
        <v>514</v>
      </c>
      <c r="F327" s="25" t="s">
        <v>26</v>
      </c>
      <c r="G327" s="26" t="s">
        <v>27</v>
      </c>
      <c r="H327" s="27">
        <v>65.08</v>
      </c>
      <c r="I327" s="28">
        <v>5.0</v>
      </c>
      <c r="J327" s="29" t="s">
        <v>54</v>
      </c>
      <c r="K327" s="30">
        <v>0.3</v>
      </c>
      <c r="L327" s="31">
        <f t="shared" si="1"/>
        <v>1.5</v>
      </c>
      <c r="M327" s="31">
        <f t="shared" si="2"/>
        <v>3.5</v>
      </c>
      <c r="N327" s="32">
        <f t="shared" si="3"/>
        <v>19.524</v>
      </c>
      <c r="O327" s="32">
        <f t="shared" si="4"/>
        <v>45.556</v>
      </c>
      <c r="P327" s="32">
        <f t="shared" si="5"/>
        <v>45.556</v>
      </c>
      <c r="Q327" s="22">
        <v>0.0</v>
      </c>
      <c r="R327" s="32">
        <f t="shared" si="6"/>
        <v>13.016</v>
      </c>
      <c r="S327" s="33" t="s">
        <v>29</v>
      </c>
      <c r="T327" s="33" t="s">
        <v>30</v>
      </c>
      <c r="U327" s="34" t="s">
        <v>515</v>
      </c>
      <c r="V327" s="35"/>
      <c r="W327" s="7"/>
      <c r="X327" s="7"/>
      <c r="Y327" s="7"/>
      <c r="Z327" s="7"/>
      <c r="AA327" s="7"/>
    </row>
    <row r="328" ht="18.75" customHeight="1">
      <c r="A328" s="8" t="s">
        <v>470</v>
      </c>
      <c r="B328" s="9" t="s">
        <v>471</v>
      </c>
      <c r="C328" s="9" t="s">
        <v>24</v>
      </c>
      <c r="D328" s="10">
        <v>0.0</v>
      </c>
      <c r="E328" s="8" t="s">
        <v>516</v>
      </c>
      <c r="F328" s="11" t="s">
        <v>26</v>
      </c>
      <c r="G328" s="12" t="s">
        <v>27</v>
      </c>
      <c r="H328" s="13">
        <v>88.83</v>
      </c>
      <c r="I328" s="14">
        <v>5.0</v>
      </c>
      <c r="J328" s="15" t="s">
        <v>54</v>
      </c>
      <c r="K328" s="16">
        <v>0.3</v>
      </c>
      <c r="L328" s="17">
        <f t="shared" si="1"/>
        <v>1.5</v>
      </c>
      <c r="M328" s="17">
        <f t="shared" si="2"/>
        <v>3.5</v>
      </c>
      <c r="N328" s="18">
        <f t="shared" si="3"/>
        <v>26.649</v>
      </c>
      <c r="O328" s="18">
        <f t="shared" si="4"/>
        <v>62.181</v>
      </c>
      <c r="P328" s="18">
        <f t="shared" si="5"/>
        <v>62.181</v>
      </c>
      <c r="Q328" s="8">
        <v>0.0</v>
      </c>
      <c r="R328" s="18">
        <f t="shared" si="6"/>
        <v>17.766</v>
      </c>
      <c r="S328" s="19" t="s">
        <v>29</v>
      </c>
      <c r="T328" s="19" t="s">
        <v>30</v>
      </c>
      <c r="U328" s="20" t="s">
        <v>517</v>
      </c>
      <c r="V328" s="37"/>
      <c r="W328" s="7"/>
      <c r="X328" s="7"/>
      <c r="Y328" s="7"/>
      <c r="Z328" s="7"/>
      <c r="AA328" s="7"/>
    </row>
    <row r="329" ht="18.75" customHeight="1">
      <c r="A329" s="22" t="s">
        <v>470</v>
      </c>
      <c r="B329" s="23" t="s">
        <v>471</v>
      </c>
      <c r="C329" s="23" t="s">
        <v>24</v>
      </c>
      <c r="D329" s="24">
        <v>0.0</v>
      </c>
      <c r="E329" s="22" t="s">
        <v>518</v>
      </c>
      <c r="F329" s="25" t="s">
        <v>26</v>
      </c>
      <c r="G329" s="26" t="s">
        <v>27</v>
      </c>
      <c r="H329" s="27">
        <v>18.95</v>
      </c>
      <c r="I329" s="28">
        <v>20.0</v>
      </c>
      <c r="J329" s="29" t="s">
        <v>28</v>
      </c>
      <c r="K329" s="30">
        <v>0.4</v>
      </c>
      <c r="L329" s="31">
        <f t="shared" si="1"/>
        <v>8</v>
      </c>
      <c r="M329" s="31">
        <f t="shared" si="2"/>
        <v>12</v>
      </c>
      <c r="N329" s="32">
        <f t="shared" si="3"/>
        <v>7.58</v>
      </c>
      <c r="O329" s="32">
        <f t="shared" si="4"/>
        <v>11.37</v>
      </c>
      <c r="P329" s="32">
        <f t="shared" si="5"/>
        <v>11.37</v>
      </c>
      <c r="Q329" s="22">
        <v>0.0</v>
      </c>
      <c r="R329" s="32">
        <f t="shared" si="6"/>
        <v>0.9475</v>
      </c>
      <c r="S329" s="33" t="s">
        <v>29</v>
      </c>
      <c r="T329" s="33" t="s">
        <v>30</v>
      </c>
      <c r="U329" s="34" t="s">
        <v>519</v>
      </c>
      <c r="V329" s="35"/>
      <c r="W329" s="7"/>
      <c r="X329" s="7"/>
      <c r="Y329" s="7"/>
      <c r="Z329" s="7"/>
      <c r="AA329" s="7"/>
    </row>
    <row r="330" ht="18.75" customHeight="1">
      <c r="A330" s="8" t="s">
        <v>470</v>
      </c>
      <c r="B330" s="9" t="s">
        <v>471</v>
      </c>
      <c r="C330" s="9" t="s">
        <v>150</v>
      </c>
      <c r="D330" s="10">
        <v>713.0</v>
      </c>
      <c r="E330" s="8" t="s">
        <v>520</v>
      </c>
      <c r="F330" s="11" t="s">
        <v>26</v>
      </c>
      <c r="G330" s="12" t="s">
        <v>27</v>
      </c>
      <c r="H330" s="13">
        <v>260.0</v>
      </c>
      <c r="I330" s="14">
        <v>5.0</v>
      </c>
      <c r="J330" s="15" t="s">
        <v>154</v>
      </c>
      <c r="K330" s="16">
        <v>0.8</v>
      </c>
      <c r="L330" s="17">
        <f t="shared" si="1"/>
        <v>4</v>
      </c>
      <c r="M330" s="17">
        <f t="shared" si="2"/>
        <v>1</v>
      </c>
      <c r="N330" s="18">
        <f t="shared" si="3"/>
        <v>208</v>
      </c>
      <c r="O330" s="18">
        <f t="shared" si="4"/>
        <v>52</v>
      </c>
      <c r="P330" s="18">
        <f t="shared" si="5"/>
        <v>52</v>
      </c>
      <c r="Q330" s="8">
        <v>0.0</v>
      </c>
      <c r="R330" s="18">
        <f t="shared" si="6"/>
        <v>52</v>
      </c>
      <c r="S330" s="19" t="s">
        <v>29</v>
      </c>
      <c r="T330" s="19" t="s">
        <v>30</v>
      </c>
      <c r="U330" s="36" t="s">
        <v>521</v>
      </c>
      <c r="V330" s="37"/>
      <c r="W330" s="7"/>
      <c r="X330" s="7"/>
      <c r="Y330" s="7"/>
      <c r="Z330" s="7"/>
      <c r="AA330" s="7"/>
    </row>
    <row r="331" ht="18.75" customHeight="1">
      <c r="A331" s="22" t="s">
        <v>470</v>
      </c>
      <c r="B331" s="23" t="s">
        <v>471</v>
      </c>
      <c r="C331" s="23" t="s">
        <v>150</v>
      </c>
      <c r="D331" s="24">
        <v>715.0</v>
      </c>
      <c r="E331" s="22" t="s">
        <v>522</v>
      </c>
      <c r="F331" s="25" t="s">
        <v>37</v>
      </c>
      <c r="G331" s="26" t="s">
        <v>27</v>
      </c>
      <c r="H331" s="27">
        <v>469.2</v>
      </c>
      <c r="I331" s="28">
        <v>10.0</v>
      </c>
      <c r="J331" s="29" t="s">
        <v>54</v>
      </c>
      <c r="K331" s="30">
        <v>0.3</v>
      </c>
      <c r="L331" s="31">
        <f t="shared" si="1"/>
        <v>3</v>
      </c>
      <c r="M331" s="31">
        <f t="shared" si="2"/>
        <v>7</v>
      </c>
      <c r="N331" s="32">
        <f t="shared" si="3"/>
        <v>140.76</v>
      </c>
      <c r="O331" s="32">
        <f t="shared" si="4"/>
        <v>328.44</v>
      </c>
      <c r="P331" s="32">
        <f t="shared" si="5"/>
        <v>328.44</v>
      </c>
      <c r="Q331" s="22">
        <v>0.0</v>
      </c>
      <c r="R331" s="32">
        <f t="shared" si="6"/>
        <v>46.92</v>
      </c>
      <c r="S331" s="33" t="s">
        <v>29</v>
      </c>
      <c r="T331" s="33" t="s">
        <v>30</v>
      </c>
      <c r="U331" s="38" t="s">
        <v>52</v>
      </c>
      <c r="V331" s="35"/>
      <c r="W331" s="7"/>
      <c r="X331" s="7"/>
      <c r="Y331" s="7"/>
      <c r="Z331" s="7"/>
      <c r="AA331" s="7"/>
    </row>
    <row r="332" ht="18.75" customHeight="1">
      <c r="A332" s="8" t="s">
        <v>470</v>
      </c>
      <c r="B332" s="9" t="s">
        <v>471</v>
      </c>
      <c r="C332" s="9" t="s">
        <v>150</v>
      </c>
      <c r="D332" s="10">
        <v>716.0</v>
      </c>
      <c r="E332" s="8" t="s">
        <v>523</v>
      </c>
      <c r="F332" s="11" t="s">
        <v>37</v>
      </c>
      <c r="G332" s="12" t="s">
        <v>27</v>
      </c>
      <c r="H332" s="13">
        <v>469.2</v>
      </c>
      <c r="I332" s="14">
        <v>10.0</v>
      </c>
      <c r="J332" s="15" t="s">
        <v>38</v>
      </c>
      <c r="K332" s="16">
        <v>0.5</v>
      </c>
      <c r="L332" s="17">
        <f t="shared" si="1"/>
        <v>5</v>
      </c>
      <c r="M332" s="17">
        <f t="shared" si="2"/>
        <v>5</v>
      </c>
      <c r="N332" s="18">
        <f t="shared" si="3"/>
        <v>234.6</v>
      </c>
      <c r="O332" s="18">
        <f t="shared" si="4"/>
        <v>234.6</v>
      </c>
      <c r="P332" s="18">
        <f t="shared" si="5"/>
        <v>234.6</v>
      </c>
      <c r="Q332" s="8">
        <v>0.0</v>
      </c>
      <c r="R332" s="18">
        <f t="shared" si="6"/>
        <v>46.92</v>
      </c>
      <c r="S332" s="19" t="s">
        <v>29</v>
      </c>
      <c r="T332" s="19" t="s">
        <v>30</v>
      </c>
      <c r="U332" s="36" t="s">
        <v>52</v>
      </c>
      <c r="V332" s="37"/>
      <c r="W332" s="7"/>
      <c r="X332" s="7"/>
      <c r="Y332" s="7"/>
      <c r="Z332" s="7"/>
      <c r="AA332" s="7"/>
    </row>
    <row r="333" ht="18.75" customHeight="1">
      <c r="A333" s="22" t="s">
        <v>470</v>
      </c>
      <c r="B333" s="23" t="s">
        <v>471</v>
      </c>
      <c r="C333" s="23" t="s">
        <v>236</v>
      </c>
      <c r="D333" s="24">
        <v>718.0</v>
      </c>
      <c r="E333" s="22" t="s">
        <v>450</v>
      </c>
      <c r="F333" s="25" t="s">
        <v>26</v>
      </c>
      <c r="G333" s="26" t="s">
        <v>27</v>
      </c>
      <c r="H333" s="27">
        <v>4899.9</v>
      </c>
      <c r="I333" s="28">
        <v>5.0</v>
      </c>
      <c r="J333" s="45" t="s">
        <v>63</v>
      </c>
      <c r="K333" s="30">
        <v>0.700000000000001</v>
      </c>
      <c r="L333" s="31">
        <f t="shared" si="1"/>
        <v>3.5</v>
      </c>
      <c r="M333" s="31">
        <f t="shared" si="2"/>
        <v>1.5</v>
      </c>
      <c r="N333" s="32">
        <f t="shared" si="3"/>
        <v>3429.93</v>
      </c>
      <c r="O333" s="32">
        <f t="shared" si="4"/>
        <v>1469.97</v>
      </c>
      <c r="P333" s="32">
        <f t="shared" si="5"/>
        <v>1469.97</v>
      </c>
      <c r="Q333" s="22">
        <v>0.0</v>
      </c>
      <c r="R333" s="32">
        <f t="shared" si="6"/>
        <v>979.98</v>
      </c>
      <c r="S333" s="33" t="s">
        <v>29</v>
      </c>
      <c r="T333" s="33" t="s">
        <v>30</v>
      </c>
      <c r="U333" s="34" t="s">
        <v>67</v>
      </c>
      <c r="V333" s="35"/>
      <c r="W333" s="7"/>
      <c r="X333" s="7"/>
      <c r="Y333" s="7"/>
      <c r="Z333" s="7"/>
      <c r="AA333" s="7"/>
    </row>
    <row r="334" ht="18.75" customHeight="1">
      <c r="A334" s="8" t="s">
        <v>470</v>
      </c>
      <c r="B334" s="9" t="s">
        <v>471</v>
      </c>
      <c r="C334" s="9" t="s">
        <v>150</v>
      </c>
      <c r="D334" s="10">
        <v>719.0</v>
      </c>
      <c r="E334" s="8" t="s">
        <v>412</v>
      </c>
      <c r="F334" s="11" t="s">
        <v>26</v>
      </c>
      <c r="G334" s="12" t="s">
        <v>27</v>
      </c>
      <c r="H334" s="13">
        <v>1351.57</v>
      </c>
      <c r="I334" s="14">
        <v>10.0</v>
      </c>
      <c r="J334" s="15" t="s">
        <v>38</v>
      </c>
      <c r="K334" s="16">
        <v>0.5</v>
      </c>
      <c r="L334" s="17">
        <f t="shared" si="1"/>
        <v>5</v>
      </c>
      <c r="M334" s="17">
        <f t="shared" si="2"/>
        <v>5</v>
      </c>
      <c r="N334" s="18">
        <f t="shared" si="3"/>
        <v>675.785</v>
      </c>
      <c r="O334" s="18">
        <f t="shared" si="4"/>
        <v>675.785</v>
      </c>
      <c r="P334" s="18">
        <f t="shared" si="5"/>
        <v>675.785</v>
      </c>
      <c r="Q334" s="8">
        <v>0.0</v>
      </c>
      <c r="R334" s="18">
        <f t="shared" si="6"/>
        <v>135.157</v>
      </c>
      <c r="S334" s="19" t="s">
        <v>29</v>
      </c>
      <c r="T334" s="19" t="s">
        <v>30</v>
      </c>
      <c r="U334" s="20" t="s">
        <v>41</v>
      </c>
      <c r="V334" s="37"/>
      <c r="W334" s="7"/>
      <c r="X334" s="7"/>
      <c r="Y334" s="7"/>
      <c r="Z334" s="7"/>
      <c r="AA334" s="7"/>
    </row>
    <row r="335" ht="18.75" customHeight="1">
      <c r="A335" s="22" t="s">
        <v>470</v>
      </c>
      <c r="B335" s="23" t="s">
        <v>471</v>
      </c>
      <c r="C335" s="23" t="s">
        <v>150</v>
      </c>
      <c r="D335" s="24">
        <v>720.0</v>
      </c>
      <c r="E335" s="22" t="s">
        <v>524</v>
      </c>
      <c r="F335" s="25" t="s">
        <v>26</v>
      </c>
      <c r="G335" s="26" t="s">
        <v>27</v>
      </c>
      <c r="H335" s="27">
        <v>1897.0</v>
      </c>
      <c r="I335" s="28">
        <v>10.0</v>
      </c>
      <c r="J335" s="29" t="s">
        <v>38</v>
      </c>
      <c r="K335" s="30">
        <v>0.5</v>
      </c>
      <c r="L335" s="31">
        <f t="shared" si="1"/>
        <v>5</v>
      </c>
      <c r="M335" s="31">
        <f t="shared" si="2"/>
        <v>5</v>
      </c>
      <c r="N335" s="32">
        <f t="shared" si="3"/>
        <v>948.5</v>
      </c>
      <c r="O335" s="32">
        <f t="shared" si="4"/>
        <v>948.5</v>
      </c>
      <c r="P335" s="32">
        <f t="shared" si="5"/>
        <v>948.5</v>
      </c>
      <c r="Q335" s="22">
        <v>0.0</v>
      </c>
      <c r="R335" s="32">
        <f t="shared" si="6"/>
        <v>189.7</v>
      </c>
      <c r="S335" s="33" t="s">
        <v>29</v>
      </c>
      <c r="T335" s="33" t="s">
        <v>30</v>
      </c>
      <c r="U335" s="34" t="s">
        <v>43</v>
      </c>
      <c r="V335" s="35"/>
      <c r="W335" s="7"/>
      <c r="X335" s="7"/>
      <c r="Y335" s="7"/>
      <c r="Z335" s="7"/>
      <c r="AA335" s="7"/>
    </row>
    <row r="336" ht="18.75" customHeight="1">
      <c r="A336" s="8" t="s">
        <v>470</v>
      </c>
      <c r="B336" s="9" t="s">
        <v>471</v>
      </c>
      <c r="C336" s="9" t="s">
        <v>150</v>
      </c>
      <c r="D336" s="10">
        <v>872.0</v>
      </c>
      <c r="E336" s="8" t="s">
        <v>525</v>
      </c>
      <c r="F336" s="11" t="s">
        <v>26</v>
      </c>
      <c r="G336" s="12" t="s">
        <v>27</v>
      </c>
      <c r="H336" s="13">
        <v>22652.48</v>
      </c>
      <c r="I336" s="14">
        <v>10.0</v>
      </c>
      <c r="J336" s="15" t="s">
        <v>38</v>
      </c>
      <c r="K336" s="16">
        <v>0.5</v>
      </c>
      <c r="L336" s="17">
        <f t="shared" si="1"/>
        <v>5</v>
      </c>
      <c r="M336" s="17">
        <f t="shared" si="2"/>
        <v>5</v>
      </c>
      <c r="N336" s="18">
        <f t="shared" si="3"/>
        <v>11326.24</v>
      </c>
      <c r="O336" s="18">
        <f t="shared" si="4"/>
        <v>11326.24</v>
      </c>
      <c r="P336" s="18">
        <f t="shared" si="5"/>
        <v>11326.24</v>
      </c>
      <c r="Q336" s="8">
        <v>0.0</v>
      </c>
      <c r="R336" s="18">
        <f t="shared" si="6"/>
        <v>2265.248</v>
      </c>
      <c r="S336" s="19" t="s">
        <v>29</v>
      </c>
      <c r="T336" s="19" t="s">
        <v>30</v>
      </c>
      <c r="U336" s="20" t="s">
        <v>50</v>
      </c>
      <c r="V336" s="37"/>
      <c r="W336" s="7"/>
      <c r="X336" s="7"/>
      <c r="Y336" s="7"/>
      <c r="Z336" s="7"/>
      <c r="AA336" s="7"/>
    </row>
    <row r="337" ht="18.75" customHeight="1">
      <c r="A337" s="22" t="s">
        <v>470</v>
      </c>
      <c r="B337" s="23" t="s">
        <v>471</v>
      </c>
      <c r="C337" s="22"/>
      <c r="D337" s="51">
        <v>874.0</v>
      </c>
      <c r="E337" s="22" t="s">
        <v>526</v>
      </c>
      <c r="F337" s="25" t="s">
        <v>37</v>
      </c>
      <c r="G337" s="26" t="s">
        <v>27</v>
      </c>
      <c r="H337" s="27">
        <v>285.0</v>
      </c>
      <c r="I337" s="28">
        <v>10.0</v>
      </c>
      <c r="J337" s="29" t="s">
        <v>38</v>
      </c>
      <c r="K337" s="30">
        <v>0.5</v>
      </c>
      <c r="L337" s="31">
        <f t="shared" si="1"/>
        <v>5</v>
      </c>
      <c r="M337" s="31">
        <f t="shared" si="2"/>
        <v>5</v>
      </c>
      <c r="N337" s="32">
        <f t="shared" si="3"/>
        <v>142.5</v>
      </c>
      <c r="O337" s="32">
        <f t="shared" si="4"/>
        <v>142.5</v>
      </c>
      <c r="P337" s="32">
        <f t="shared" si="5"/>
        <v>142.5</v>
      </c>
      <c r="Q337" s="22">
        <v>0.0</v>
      </c>
      <c r="R337" s="32">
        <f t="shared" si="6"/>
        <v>28.5</v>
      </c>
      <c r="S337" s="33" t="s">
        <v>29</v>
      </c>
      <c r="T337" s="33" t="s">
        <v>30</v>
      </c>
      <c r="U337" s="34" t="s">
        <v>527</v>
      </c>
      <c r="V337" s="35"/>
      <c r="W337" s="7"/>
      <c r="X337" s="7"/>
      <c r="Y337" s="7"/>
      <c r="Z337" s="7"/>
      <c r="AA337" s="7"/>
    </row>
    <row r="338" ht="18.75" customHeight="1">
      <c r="A338" s="8" t="s">
        <v>470</v>
      </c>
      <c r="B338" s="9" t="s">
        <v>471</v>
      </c>
      <c r="C338" s="9" t="s">
        <v>528</v>
      </c>
      <c r="D338" s="10">
        <v>876.0</v>
      </c>
      <c r="E338" s="8" t="s">
        <v>226</v>
      </c>
      <c r="F338" s="11" t="s">
        <v>37</v>
      </c>
      <c r="G338" s="12" t="s">
        <v>27</v>
      </c>
      <c r="H338" s="13">
        <v>945.0</v>
      </c>
      <c r="I338" s="14">
        <v>15.0</v>
      </c>
      <c r="J338" s="15" t="s">
        <v>38</v>
      </c>
      <c r="K338" s="16">
        <v>0.5</v>
      </c>
      <c r="L338" s="17">
        <f t="shared" si="1"/>
        <v>7.5</v>
      </c>
      <c r="M338" s="17">
        <f t="shared" si="2"/>
        <v>7.5</v>
      </c>
      <c r="N338" s="18">
        <f t="shared" si="3"/>
        <v>472.5</v>
      </c>
      <c r="O338" s="18">
        <f t="shared" si="4"/>
        <v>472.5</v>
      </c>
      <c r="P338" s="18">
        <f t="shared" si="5"/>
        <v>472.5</v>
      </c>
      <c r="Q338" s="8">
        <v>0.0</v>
      </c>
      <c r="R338" s="18">
        <f t="shared" si="6"/>
        <v>63</v>
      </c>
      <c r="S338" s="19" t="s">
        <v>29</v>
      </c>
      <c r="T338" s="19" t="s">
        <v>30</v>
      </c>
      <c r="U338" s="20" t="s">
        <v>205</v>
      </c>
      <c r="V338" s="37"/>
      <c r="W338" s="7"/>
      <c r="X338" s="7"/>
      <c r="Y338" s="7"/>
      <c r="Z338" s="7"/>
      <c r="AA338" s="7"/>
    </row>
    <row r="339" ht="18.75" customHeight="1">
      <c r="A339" s="22" t="s">
        <v>470</v>
      </c>
      <c r="B339" s="23" t="s">
        <v>471</v>
      </c>
      <c r="C339" s="23" t="s">
        <v>528</v>
      </c>
      <c r="D339" s="24">
        <v>877.0</v>
      </c>
      <c r="E339" s="22" t="s">
        <v>529</v>
      </c>
      <c r="F339" s="25" t="s">
        <v>37</v>
      </c>
      <c r="G339" s="26" t="s">
        <v>27</v>
      </c>
      <c r="H339" s="27">
        <v>945.0</v>
      </c>
      <c r="I339" s="28">
        <v>15.0</v>
      </c>
      <c r="J339" s="29" t="s">
        <v>28</v>
      </c>
      <c r="K339" s="30">
        <v>0.4</v>
      </c>
      <c r="L339" s="31">
        <f t="shared" si="1"/>
        <v>6</v>
      </c>
      <c r="M339" s="31">
        <f t="shared" si="2"/>
        <v>9</v>
      </c>
      <c r="N339" s="32">
        <f t="shared" si="3"/>
        <v>378</v>
      </c>
      <c r="O339" s="32">
        <f t="shared" si="4"/>
        <v>567</v>
      </c>
      <c r="P339" s="32">
        <f t="shared" si="5"/>
        <v>567</v>
      </c>
      <c r="Q339" s="22">
        <v>0.0</v>
      </c>
      <c r="R339" s="32">
        <f t="shared" si="6"/>
        <v>63</v>
      </c>
      <c r="S339" s="33" t="s">
        <v>29</v>
      </c>
      <c r="T339" s="33" t="s">
        <v>30</v>
      </c>
      <c r="U339" s="34" t="s">
        <v>205</v>
      </c>
      <c r="V339" s="35"/>
      <c r="W339" s="7"/>
      <c r="X339" s="7"/>
      <c r="Y339" s="7"/>
      <c r="Z339" s="7"/>
      <c r="AA339" s="7"/>
    </row>
    <row r="340" ht="18.75" customHeight="1">
      <c r="A340" s="8" t="s">
        <v>470</v>
      </c>
      <c r="B340" s="9" t="s">
        <v>471</v>
      </c>
      <c r="C340" s="9" t="s">
        <v>528</v>
      </c>
      <c r="D340" s="10">
        <v>878.0</v>
      </c>
      <c r="E340" s="8" t="s">
        <v>226</v>
      </c>
      <c r="F340" s="11" t="s">
        <v>37</v>
      </c>
      <c r="G340" s="12" t="s">
        <v>27</v>
      </c>
      <c r="H340" s="13">
        <v>945.0</v>
      </c>
      <c r="I340" s="14">
        <v>15.0</v>
      </c>
      <c r="J340" s="15" t="s">
        <v>28</v>
      </c>
      <c r="K340" s="16">
        <v>0.4</v>
      </c>
      <c r="L340" s="17">
        <f t="shared" si="1"/>
        <v>6</v>
      </c>
      <c r="M340" s="17">
        <f t="shared" si="2"/>
        <v>9</v>
      </c>
      <c r="N340" s="18">
        <f t="shared" si="3"/>
        <v>378</v>
      </c>
      <c r="O340" s="18">
        <f t="shared" si="4"/>
        <v>567</v>
      </c>
      <c r="P340" s="18">
        <f t="shared" si="5"/>
        <v>567</v>
      </c>
      <c r="Q340" s="8">
        <v>0.0</v>
      </c>
      <c r="R340" s="18">
        <f t="shared" si="6"/>
        <v>63</v>
      </c>
      <c r="S340" s="19" t="s">
        <v>29</v>
      </c>
      <c r="T340" s="19" t="s">
        <v>30</v>
      </c>
      <c r="U340" s="20" t="s">
        <v>205</v>
      </c>
      <c r="V340" s="37"/>
      <c r="W340" s="7"/>
      <c r="X340" s="7"/>
      <c r="Y340" s="7"/>
      <c r="Z340" s="7"/>
      <c r="AA340" s="7"/>
    </row>
    <row r="341" ht="18.75" customHeight="1">
      <c r="A341" s="22" t="s">
        <v>470</v>
      </c>
      <c r="B341" s="23" t="s">
        <v>471</v>
      </c>
      <c r="C341" s="23" t="s">
        <v>528</v>
      </c>
      <c r="D341" s="24">
        <v>879.0</v>
      </c>
      <c r="E341" s="22" t="s">
        <v>226</v>
      </c>
      <c r="F341" s="25" t="s">
        <v>37</v>
      </c>
      <c r="G341" s="26" t="s">
        <v>27</v>
      </c>
      <c r="H341" s="27">
        <v>945.0</v>
      </c>
      <c r="I341" s="28">
        <v>15.0</v>
      </c>
      <c r="J341" s="29" t="s">
        <v>28</v>
      </c>
      <c r="K341" s="30">
        <v>0.4</v>
      </c>
      <c r="L341" s="31">
        <f t="shared" si="1"/>
        <v>6</v>
      </c>
      <c r="M341" s="31">
        <f t="shared" si="2"/>
        <v>9</v>
      </c>
      <c r="N341" s="32">
        <f t="shared" si="3"/>
        <v>378</v>
      </c>
      <c r="O341" s="32">
        <f t="shared" si="4"/>
        <v>567</v>
      </c>
      <c r="P341" s="32">
        <f t="shared" si="5"/>
        <v>567</v>
      </c>
      <c r="Q341" s="22">
        <v>0.0</v>
      </c>
      <c r="R341" s="32">
        <f t="shared" si="6"/>
        <v>63</v>
      </c>
      <c r="S341" s="33" t="s">
        <v>29</v>
      </c>
      <c r="T341" s="33" t="s">
        <v>30</v>
      </c>
      <c r="U341" s="34" t="s">
        <v>205</v>
      </c>
      <c r="V341" s="35"/>
      <c r="W341" s="7"/>
      <c r="X341" s="7"/>
      <c r="Y341" s="7"/>
      <c r="Z341" s="7"/>
      <c r="AA341" s="7"/>
    </row>
    <row r="342" ht="18.75" customHeight="1">
      <c r="A342" s="8" t="s">
        <v>470</v>
      </c>
      <c r="B342" s="9" t="s">
        <v>471</v>
      </c>
      <c r="C342" s="9" t="s">
        <v>24</v>
      </c>
      <c r="D342" s="10">
        <v>880.0</v>
      </c>
      <c r="E342" s="8" t="s">
        <v>530</v>
      </c>
      <c r="F342" s="11" t="s">
        <v>37</v>
      </c>
      <c r="G342" s="12" t="s">
        <v>27</v>
      </c>
      <c r="H342" s="13">
        <v>1300.12</v>
      </c>
      <c r="I342" s="14">
        <v>15.0</v>
      </c>
      <c r="J342" s="15" t="s">
        <v>54</v>
      </c>
      <c r="K342" s="16">
        <v>0.3</v>
      </c>
      <c r="L342" s="17">
        <f t="shared" si="1"/>
        <v>4.5</v>
      </c>
      <c r="M342" s="17">
        <f t="shared" si="2"/>
        <v>10.5</v>
      </c>
      <c r="N342" s="18">
        <f t="shared" si="3"/>
        <v>390.036</v>
      </c>
      <c r="O342" s="18">
        <f t="shared" si="4"/>
        <v>910.084</v>
      </c>
      <c r="P342" s="18">
        <f t="shared" si="5"/>
        <v>910.084</v>
      </c>
      <c r="Q342" s="8">
        <v>0.0</v>
      </c>
      <c r="R342" s="18">
        <f t="shared" si="6"/>
        <v>86.67466667</v>
      </c>
      <c r="S342" s="19" t="s">
        <v>29</v>
      </c>
      <c r="T342" s="19" t="s">
        <v>30</v>
      </c>
      <c r="U342" s="20" t="s">
        <v>229</v>
      </c>
      <c r="V342" s="37"/>
      <c r="W342" s="7"/>
      <c r="X342" s="7"/>
      <c r="Y342" s="7"/>
      <c r="Z342" s="7"/>
      <c r="AA342" s="7"/>
    </row>
    <row r="343" ht="18.75" customHeight="1">
      <c r="A343" s="22" t="s">
        <v>470</v>
      </c>
      <c r="B343" s="23" t="s">
        <v>471</v>
      </c>
      <c r="C343" s="23" t="s">
        <v>236</v>
      </c>
      <c r="D343" s="24">
        <v>881.0</v>
      </c>
      <c r="E343" s="22" t="s">
        <v>531</v>
      </c>
      <c r="F343" s="25" t="s">
        <v>26</v>
      </c>
      <c r="G343" s="26" t="s">
        <v>27</v>
      </c>
      <c r="H343" s="27">
        <v>37.9</v>
      </c>
      <c r="I343" s="28">
        <v>5.0</v>
      </c>
      <c r="J343" s="29" t="s">
        <v>154</v>
      </c>
      <c r="K343" s="30">
        <v>0.8</v>
      </c>
      <c r="L343" s="31">
        <f t="shared" si="1"/>
        <v>4</v>
      </c>
      <c r="M343" s="31">
        <f t="shared" si="2"/>
        <v>1</v>
      </c>
      <c r="N343" s="32">
        <f t="shared" si="3"/>
        <v>30.32</v>
      </c>
      <c r="O343" s="32">
        <f t="shared" si="4"/>
        <v>7.58</v>
      </c>
      <c r="P343" s="32">
        <f t="shared" si="5"/>
        <v>7.58</v>
      </c>
      <c r="Q343" s="22">
        <v>0.0</v>
      </c>
      <c r="R343" s="32">
        <f t="shared" si="6"/>
        <v>7.58</v>
      </c>
      <c r="S343" s="33" t="s">
        <v>29</v>
      </c>
      <c r="T343" s="33" t="s">
        <v>30</v>
      </c>
      <c r="U343" s="34" t="s">
        <v>302</v>
      </c>
      <c r="V343" s="35"/>
      <c r="W343" s="7"/>
      <c r="X343" s="7"/>
      <c r="Y343" s="7"/>
      <c r="Z343" s="7"/>
      <c r="AA343" s="7"/>
    </row>
    <row r="344" ht="18.75" customHeight="1">
      <c r="A344" s="8" t="s">
        <v>470</v>
      </c>
      <c r="B344" s="9" t="s">
        <v>471</v>
      </c>
      <c r="C344" s="9" t="s">
        <v>195</v>
      </c>
      <c r="D344" s="10">
        <v>884.0</v>
      </c>
      <c r="E344" s="8" t="s">
        <v>532</v>
      </c>
      <c r="F344" s="11" t="s">
        <v>37</v>
      </c>
      <c r="G344" s="12" t="s">
        <v>27</v>
      </c>
      <c r="H344" s="13">
        <v>417.6</v>
      </c>
      <c r="I344" s="14">
        <v>10.0</v>
      </c>
      <c r="J344" s="15" t="s">
        <v>28</v>
      </c>
      <c r="K344" s="16">
        <v>0.4</v>
      </c>
      <c r="L344" s="17">
        <f t="shared" si="1"/>
        <v>4</v>
      </c>
      <c r="M344" s="17">
        <f t="shared" si="2"/>
        <v>6</v>
      </c>
      <c r="N344" s="18">
        <f t="shared" si="3"/>
        <v>167.04</v>
      </c>
      <c r="O344" s="18">
        <f t="shared" si="4"/>
        <v>250.56</v>
      </c>
      <c r="P344" s="18">
        <f t="shared" si="5"/>
        <v>250.56</v>
      </c>
      <c r="Q344" s="8">
        <v>0.0</v>
      </c>
      <c r="R344" s="18">
        <f t="shared" si="6"/>
        <v>41.76</v>
      </c>
      <c r="S344" s="19" t="s">
        <v>29</v>
      </c>
      <c r="T344" s="19" t="s">
        <v>30</v>
      </c>
      <c r="U344" s="20" t="s">
        <v>533</v>
      </c>
      <c r="V344" s="37"/>
      <c r="W344" s="7"/>
      <c r="X344" s="7"/>
      <c r="Y344" s="7"/>
      <c r="Z344" s="7"/>
      <c r="AA344" s="7"/>
    </row>
    <row r="345" ht="18.75" customHeight="1">
      <c r="A345" s="22" t="s">
        <v>470</v>
      </c>
      <c r="B345" s="23" t="s">
        <v>471</v>
      </c>
      <c r="C345" s="23" t="s">
        <v>195</v>
      </c>
      <c r="D345" s="24">
        <v>885.0</v>
      </c>
      <c r="E345" s="22" t="s">
        <v>532</v>
      </c>
      <c r="F345" s="25" t="s">
        <v>37</v>
      </c>
      <c r="G345" s="26" t="s">
        <v>27</v>
      </c>
      <c r="H345" s="27">
        <v>417.6</v>
      </c>
      <c r="I345" s="28">
        <v>10.0</v>
      </c>
      <c r="J345" s="29" t="s">
        <v>28</v>
      </c>
      <c r="K345" s="30">
        <v>0.4</v>
      </c>
      <c r="L345" s="31">
        <f t="shared" si="1"/>
        <v>4</v>
      </c>
      <c r="M345" s="31">
        <f t="shared" si="2"/>
        <v>6</v>
      </c>
      <c r="N345" s="32">
        <f t="shared" si="3"/>
        <v>167.04</v>
      </c>
      <c r="O345" s="32">
        <f t="shared" si="4"/>
        <v>250.56</v>
      </c>
      <c r="P345" s="32">
        <f t="shared" si="5"/>
        <v>250.56</v>
      </c>
      <c r="Q345" s="22">
        <v>0.0</v>
      </c>
      <c r="R345" s="32">
        <f t="shared" si="6"/>
        <v>41.76</v>
      </c>
      <c r="S345" s="33" t="s">
        <v>29</v>
      </c>
      <c r="T345" s="33" t="s">
        <v>30</v>
      </c>
      <c r="U345" s="34" t="s">
        <v>533</v>
      </c>
      <c r="V345" s="35"/>
      <c r="W345" s="7"/>
      <c r="X345" s="7"/>
      <c r="Y345" s="7"/>
      <c r="Z345" s="7"/>
      <c r="AA345" s="7"/>
    </row>
    <row r="346" ht="18.75" customHeight="1">
      <c r="A346" s="8" t="s">
        <v>470</v>
      </c>
      <c r="B346" s="9" t="s">
        <v>471</v>
      </c>
      <c r="C346" s="9" t="s">
        <v>230</v>
      </c>
      <c r="D346" s="10">
        <v>886.0</v>
      </c>
      <c r="E346" s="8" t="s">
        <v>201</v>
      </c>
      <c r="F346" s="11" t="s">
        <v>202</v>
      </c>
      <c r="G346" s="12" t="s">
        <v>27</v>
      </c>
      <c r="H346" s="13">
        <v>764.99</v>
      </c>
      <c r="I346" s="14">
        <v>5.0</v>
      </c>
      <c r="J346" s="15" t="s">
        <v>38</v>
      </c>
      <c r="K346" s="16">
        <v>0.5</v>
      </c>
      <c r="L346" s="17">
        <f t="shared" si="1"/>
        <v>2.5</v>
      </c>
      <c r="M346" s="17">
        <f t="shared" si="2"/>
        <v>2.5</v>
      </c>
      <c r="N346" s="18">
        <f t="shared" si="3"/>
        <v>382.495</v>
      </c>
      <c r="O346" s="18">
        <f t="shared" si="4"/>
        <v>382.495</v>
      </c>
      <c r="P346" s="18">
        <f t="shared" si="5"/>
        <v>382.495</v>
      </c>
      <c r="Q346" s="8">
        <v>0.0</v>
      </c>
      <c r="R346" s="18">
        <f t="shared" si="6"/>
        <v>152.998</v>
      </c>
      <c r="S346" s="19" t="s">
        <v>29</v>
      </c>
      <c r="T346" s="19" t="s">
        <v>30</v>
      </c>
      <c r="U346" s="20" t="s">
        <v>203</v>
      </c>
      <c r="V346" s="37"/>
      <c r="W346" s="7"/>
      <c r="X346" s="7"/>
      <c r="Y346" s="7"/>
      <c r="Z346" s="7"/>
      <c r="AA346" s="7"/>
    </row>
    <row r="347" ht="18.75" customHeight="1">
      <c r="A347" s="22" t="s">
        <v>470</v>
      </c>
      <c r="B347" s="23" t="s">
        <v>471</v>
      </c>
      <c r="C347" s="23" t="s">
        <v>24</v>
      </c>
      <c r="D347" s="24">
        <v>889.0</v>
      </c>
      <c r="E347" s="22" t="s">
        <v>238</v>
      </c>
      <c r="F347" s="25" t="s">
        <v>26</v>
      </c>
      <c r="G347" s="26" t="s">
        <v>27</v>
      </c>
      <c r="H347" s="56">
        <v>840.42</v>
      </c>
      <c r="I347" s="28">
        <v>10.0</v>
      </c>
      <c r="J347" s="29" t="s">
        <v>38</v>
      </c>
      <c r="K347" s="30">
        <v>0.5</v>
      </c>
      <c r="L347" s="31">
        <f t="shared" si="1"/>
        <v>5</v>
      </c>
      <c r="M347" s="31">
        <f t="shared" si="2"/>
        <v>5</v>
      </c>
      <c r="N347" s="32">
        <f t="shared" si="3"/>
        <v>420.21</v>
      </c>
      <c r="O347" s="32">
        <f t="shared" si="4"/>
        <v>420.21</v>
      </c>
      <c r="P347" s="32">
        <f t="shared" si="5"/>
        <v>420.21</v>
      </c>
      <c r="Q347" s="22">
        <v>0.0</v>
      </c>
      <c r="R347" s="32">
        <f t="shared" si="6"/>
        <v>84.042</v>
      </c>
      <c r="S347" s="33" t="s">
        <v>29</v>
      </c>
      <c r="T347" s="33" t="s">
        <v>30</v>
      </c>
      <c r="U347" s="34" t="s">
        <v>102</v>
      </c>
      <c r="V347" s="35"/>
      <c r="W347" s="7"/>
      <c r="X347" s="7"/>
      <c r="Y347" s="7"/>
      <c r="Z347" s="7"/>
      <c r="AA347" s="7"/>
    </row>
    <row r="348" ht="18.75" customHeight="1">
      <c r="A348" s="8" t="s">
        <v>470</v>
      </c>
      <c r="B348" s="9" t="s">
        <v>471</v>
      </c>
      <c r="C348" s="9" t="s">
        <v>199</v>
      </c>
      <c r="D348" s="10">
        <v>890.0</v>
      </c>
      <c r="E348" s="8" t="s">
        <v>239</v>
      </c>
      <c r="F348" s="11" t="s">
        <v>26</v>
      </c>
      <c r="G348" s="12" t="s">
        <v>27</v>
      </c>
      <c r="H348" s="55">
        <v>1260.63</v>
      </c>
      <c r="I348" s="14">
        <v>10.0</v>
      </c>
      <c r="J348" s="15" t="s">
        <v>38</v>
      </c>
      <c r="K348" s="16">
        <v>0.5</v>
      </c>
      <c r="L348" s="17">
        <f t="shared" si="1"/>
        <v>5</v>
      </c>
      <c r="M348" s="17">
        <f t="shared" si="2"/>
        <v>5</v>
      </c>
      <c r="N348" s="18">
        <f t="shared" si="3"/>
        <v>630.315</v>
      </c>
      <c r="O348" s="18">
        <f t="shared" si="4"/>
        <v>630.315</v>
      </c>
      <c r="P348" s="18">
        <f t="shared" si="5"/>
        <v>630.315</v>
      </c>
      <c r="Q348" s="8">
        <v>0.0</v>
      </c>
      <c r="R348" s="18">
        <f t="shared" si="6"/>
        <v>126.063</v>
      </c>
      <c r="S348" s="19" t="s">
        <v>29</v>
      </c>
      <c r="T348" s="19" t="s">
        <v>30</v>
      </c>
      <c r="U348" s="20" t="s">
        <v>102</v>
      </c>
      <c r="V348" s="37"/>
      <c r="W348" s="7"/>
      <c r="X348" s="7"/>
      <c r="Y348" s="7"/>
      <c r="Z348" s="7"/>
      <c r="AA348" s="7"/>
    </row>
    <row r="349" ht="18.75" customHeight="1">
      <c r="A349" s="22" t="s">
        <v>470</v>
      </c>
      <c r="B349" s="23" t="s">
        <v>471</v>
      </c>
      <c r="C349" s="23" t="s">
        <v>195</v>
      </c>
      <c r="D349" s="24">
        <v>895.0</v>
      </c>
      <c r="E349" s="22" t="s">
        <v>238</v>
      </c>
      <c r="F349" s="25" t="s">
        <v>26</v>
      </c>
      <c r="G349" s="26" t="s">
        <v>27</v>
      </c>
      <c r="H349" s="56">
        <v>840.42</v>
      </c>
      <c r="I349" s="28">
        <v>10.0</v>
      </c>
      <c r="J349" s="41" t="s">
        <v>63</v>
      </c>
      <c r="K349" s="30">
        <v>0.700000000000001</v>
      </c>
      <c r="L349" s="31">
        <f t="shared" si="1"/>
        <v>7</v>
      </c>
      <c r="M349" s="31">
        <f t="shared" si="2"/>
        <v>3</v>
      </c>
      <c r="N349" s="32">
        <f t="shared" si="3"/>
        <v>588.294</v>
      </c>
      <c r="O349" s="32">
        <f t="shared" si="4"/>
        <v>252.126</v>
      </c>
      <c r="P349" s="32">
        <f t="shared" si="5"/>
        <v>252.126</v>
      </c>
      <c r="Q349" s="22">
        <v>0.0</v>
      </c>
      <c r="R349" s="32">
        <f t="shared" si="6"/>
        <v>84.042</v>
      </c>
      <c r="S349" s="33" t="s">
        <v>29</v>
      </c>
      <c r="T349" s="33" t="s">
        <v>30</v>
      </c>
      <c r="U349" s="34" t="s">
        <v>102</v>
      </c>
      <c r="V349" s="35"/>
      <c r="W349" s="7"/>
      <c r="X349" s="7"/>
      <c r="Y349" s="7"/>
      <c r="Z349" s="7"/>
      <c r="AA349" s="7"/>
    </row>
    <row r="350" ht="18.75" customHeight="1">
      <c r="A350" s="8" t="s">
        <v>470</v>
      </c>
      <c r="B350" s="9" t="s">
        <v>471</v>
      </c>
      <c r="C350" s="9" t="s">
        <v>195</v>
      </c>
      <c r="D350" s="10">
        <v>896.0</v>
      </c>
      <c r="E350" s="8" t="s">
        <v>239</v>
      </c>
      <c r="F350" s="11" t="s">
        <v>26</v>
      </c>
      <c r="G350" s="12" t="s">
        <v>27</v>
      </c>
      <c r="H350" s="55">
        <v>1260.63</v>
      </c>
      <c r="I350" s="14">
        <v>10.0</v>
      </c>
      <c r="J350" s="15" t="s">
        <v>38</v>
      </c>
      <c r="K350" s="16">
        <v>0.5</v>
      </c>
      <c r="L350" s="17">
        <f t="shared" si="1"/>
        <v>5</v>
      </c>
      <c r="M350" s="17">
        <f t="shared" si="2"/>
        <v>5</v>
      </c>
      <c r="N350" s="18">
        <f t="shared" si="3"/>
        <v>630.315</v>
      </c>
      <c r="O350" s="18">
        <f t="shared" si="4"/>
        <v>630.315</v>
      </c>
      <c r="P350" s="18">
        <f t="shared" si="5"/>
        <v>630.315</v>
      </c>
      <c r="Q350" s="8">
        <v>0.0</v>
      </c>
      <c r="R350" s="18">
        <f t="shared" si="6"/>
        <v>126.063</v>
      </c>
      <c r="S350" s="19" t="s">
        <v>29</v>
      </c>
      <c r="T350" s="19" t="s">
        <v>30</v>
      </c>
      <c r="U350" s="20" t="s">
        <v>102</v>
      </c>
      <c r="V350" s="37"/>
      <c r="W350" s="7"/>
      <c r="X350" s="7"/>
      <c r="Y350" s="7"/>
      <c r="Z350" s="7"/>
      <c r="AA350" s="7"/>
    </row>
    <row r="351" ht="18.75" customHeight="1">
      <c r="A351" s="22" t="s">
        <v>470</v>
      </c>
      <c r="B351" s="23" t="s">
        <v>471</v>
      </c>
      <c r="C351" s="23" t="s">
        <v>236</v>
      </c>
      <c r="D351" s="24">
        <v>897.0</v>
      </c>
      <c r="E351" s="22" t="s">
        <v>238</v>
      </c>
      <c r="F351" s="25" t="s">
        <v>26</v>
      </c>
      <c r="G351" s="26" t="s">
        <v>27</v>
      </c>
      <c r="H351" s="56">
        <v>840.42</v>
      </c>
      <c r="I351" s="28">
        <v>10.0</v>
      </c>
      <c r="J351" s="45" t="s">
        <v>63</v>
      </c>
      <c r="K351" s="42">
        <v>0.700000000000001</v>
      </c>
      <c r="L351" s="31">
        <f t="shared" si="1"/>
        <v>7</v>
      </c>
      <c r="M351" s="31">
        <f t="shared" si="2"/>
        <v>3</v>
      </c>
      <c r="N351" s="32">
        <f t="shared" si="3"/>
        <v>588.294</v>
      </c>
      <c r="O351" s="32">
        <f t="shared" si="4"/>
        <v>252.126</v>
      </c>
      <c r="P351" s="32">
        <f t="shared" si="5"/>
        <v>252.126</v>
      </c>
      <c r="Q351" s="22">
        <v>0.0</v>
      </c>
      <c r="R351" s="32">
        <f t="shared" si="6"/>
        <v>84.042</v>
      </c>
      <c r="S351" s="33" t="s">
        <v>29</v>
      </c>
      <c r="T351" s="33" t="s">
        <v>30</v>
      </c>
      <c r="U351" s="34" t="s">
        <v>102</v>
      </c>
      <c r="V351" s="35"/>
      <c r="W351" s="7"/>
      <c r="X351" s="7"/>
      <c r="Y351" s="7"/>
      <c r="Z351" s="7"/>
      <c r="AA351" s="7"/>
    </row>
    <row r="352" ht="18.75" customHeight="1">
      <c r="A352" s="8" t="s">
        <v>470</v>
      </c>
      <c r="B352" s="9" t="s">
        <v>471</v>
      </c>
      <c r="C352" s="9" t="s">
        <v>534</v>
      </c>
      <c r="D352" s="10">
        <v>898.0</v>
      </c>
      <c r="E352" s="8" t="s">
        <v>239</v>
      </c>
      <c r="F352" s="11" t="s">
        <v>26</v>
      </c>
      <c r="G352" s="12" t="s">
        <v>27</v>
      </c>
      <c r="H352" s="55">
        <v>1260.63</v>
      </c>
      <c r="I352" s="14">
        <v>10.0</v>
      </c>
      <c r="J352" s="48" t="s">
        <v>63</v>
      </c>
      <c r="K352" s="16">
        <v>0.700000000000001</v>
      </c>
      <c r="L352" s="17">
        <f t="shared" si="1"/>
        <v>7</v>
      </c>
      <c r="M352" s="17">
        <f t="shared" si="2"/>
        <v>3</v>
      </c>
      <c r="N352" s="18">
        <f t="shared" si="3"/>
        <v>882.441</v>
      </c>
      <c r="O352" s="18">
        <f t="shared" si="4"/>
        <v>378.189</v>
      </c>
      <c r="P352" s="18">
        <f t="shared" si="5"/>
        <v>378.189</v>
      </c>
      <c r="Q352" s="8">
        <v>0.0</v>
      </c>
      <c r="R352" s="18">
        <f t="shared" si="6"/>
        <v>126.063</v>
      </c>
      <c r="S352" s="19" t="s">
        <v>29</v>
      </c>
      <c r="T352" s="19" t="s">
        <v>30</v>
      </c>
      <c r="U352" s="20" t="s">
        <v>102</v>
      </c>
      <c r="V352" s="37"/>
      <c r="W352" s="7"/>
      <c r="X352" s="7"/>
      <c r="Y352" s="7"/>
      <c r="Z352" s="7"/>
      <c r="AA352" s="7"/>
    </row>
    <row r="353" ht="18.75" customHeight="1">
      <c r="A353" s="22" t="s">
        <v>470</v>
      </c>
      <c r="B353" s="23" t="s">
        <v>471</v>
      </c>
      <c r="C353" s="23" t="s">
        <v>150</v>
      </c>
      <c r="D353" s="24">
        <v>902.0</v>
      </c>
      <c r="E353" s="22" t="s">
        <v>445</v>
      </c>
      <c r="F353" s="25" t="s">
        <v>26</v>
      </c>
      <c r="G353" s="26" t="s">
        <v>27</v>
      </c>
      <c r="H353" s="27">
        <v>15638.9</v>
      </c>
      <c r="I353" s="28">
        <v>10.0</v>
      </c>
      <c r="J353" s="29" t="s">
        <v>38</v>
      </c>
      <c r="K353" s="30">
        <v>0.5</v>
      </c>
      <c r="L353" s="31">
        <f t="shared" si="1"/>
        <v>5</v>
      </c>
      <c r="M353" s="31">
        <f t="shared" si="2"/>
        <v>5</v>
      </c>
      <c r="N353" s="32">
        <f t="shared" si="3"/>
        <v>7819.45</v>
      </c>
      <c r="O353" s="32">
        <f t="shared" si="4"/>
        <v>7819.45</v>
      </c>
      <c r="P353" s="32">
        <f t="shared" si="5"/>
        <v>7819.45</v>
      </c>
      <c r="Q353" s="22">
        <v>0.0</v>
      </c>
      <c r="R353" s="32">
        <f t="shared" si="6"/>
        <v>1563.89</v>
      </c>
      <c r="S353" s="33" t="s">
        <v>29</v>
      </c>
      <c r="T353" s="33" t="s">
        <v>30</v>
      </c>
      <c r="U353" s="34" t="s">
        <v>35</v>
      </c>
      <c r="V353" s="35"/>
      <c r="W353" s="7"/>
      <c r="X353" s="7"/>
      <c r="Y353" s="7"/>
      <c r="Z353" s="7"/>
      <c r="AA353" s="7"/>
    </row>
    <row r="354" ht="18.75" customHeight="1">
      <c r="A354" s="8" t="s">
        <v>470</v>
      </c>
      <c r="B354" s="9" t="s">
        <v>471</v>
      </c>
      <c r="C354" s="8" t="s">
        <v>33</v>
      </c>
      <c r="D354" s="50">
        <v>907.0</v>
      </c>
      <c r="E354" s="8" t="s">
        <v>412</v>
      </c>
      <c r="F354" s="11" t="s">
        <v>26</v>
      </c>
      <c r="G354" s="12" t="s">
        <v>27</v>
      </c>
      <c r="H354" s="13">
        <v>1351.57</v>
      </c>
      <c r="I354" s="14">
        <v>10.0</v>
      </c>
      <c r="J354" s="15" t="s">
        <v>38</v>
      </c>
      <c r="K354" s="16">
        <v>0.5</v>
      </c>
      <c r="L354" s="17">
        <f t="shared" si="1"/>
        <v>5</v>
      </c>
      <c r="M354" s="17">
        <f t="shared" si="2"/>
        <v>5</v>
      </c>
      <c r="N354" s="18">
        <f t="shared" si="3"/>
        <v>675.785</v>
      </c>
      <c r="O354" s="18">
        <f t="shared" si="4"/>
        <v>675.785</v>
      </c>
      <c r="P354" s="18">
        <f t="shared" si="5"/>
        <v>675.785</v>
      </c>
      <c r="Q354" s="8">
        <v>0.0</v>
      </c>
      <c r="R354" s="18">
        <f t="shared" si="6"/>
        <v>135.157</v>
      </c>
      <c r="S354" s="19" t="s">
        <v>29</v>
      </c>
      <c r="T354" s="19" t="s">
        <v>30</v>
      </c>
      <c r="U354" s="20" t="s">
        <v>41</v>
      </c>
      <c r="V354" s="37"/>
      <c r="W354" s="7"/>
      <c r="X354" s="7"/>
      <c r="Y354" s="7"/>
      <c r="Z354" s="7"/>
      <c r="AA354" s="7"/>
    </row>
    <row r="355" ht="18.75" customHeight="1">
      <c r="A355" s="22" t="s">
        <v>470</v>
      </c>
      <c r="B355" s="23" t="s">
        <v>471</v>
      </c>
      <c r="C355" s="22" t="s">
        <v>33</v>
      </c>
      <c r="D355" s="51">
        <v>908.0</v>
      </c>
      <c r="E355" s="22" t="s">
        <v>535</v>
      </c>
      <c r="F355" s="25" t="s">
        <v>26</v>
      </c>
      <c r="G355" s="26" t="s">
        <v>27</v>
      </c>
      <c r="H355" s="27">
        <v>1897.0</v>
      </c>
      <c r="I355" s="28">
        <v>10.0</v>
      </c>
      <c r="J355" s="29" t="s">
        <v>81</v>
      </c>
      <c r="K355" s="30">
        <v>0.15</v>
      </c>
      <c r="L355" s="31">
        <f t="shared" si="1"/>
        <v>1.5</v>
      </c>
      <c r="M355" s="31">
        <f t="shared" si="2"/>
        <v>8.5</v>
      </c>
      <c r="N355" s="32">
        <f t="shared" si="3"/>
        <v>284.55</v>
      </c>
      <c r="O355" s="32">
        <f t="shared" si="4"/>
        <v>1612.45</v>
      </c>
      <c r="P355" s="32">
        <f t="shared" si="5"/>
        <v>1612.45</v>
      </c>
      <c r="Q355" s="22">
        <v>0.0</v>
      </c>
      <c r="R355" s="32">
        <f t="shared" si="6"/>
        <v>189.7</v>
      </c>
      <c r="S355" s="33" t="s">
        <v>29</v>
      </c>
      <c r="T355" s="33" t="s">
        <v>30</v>
      </c>
      <c r="U355" s="34" t="s">
        <v>43</v>
      </c>
      <c r="V355" s="35"/>
      <c r="W355" s="7"/>
      <c r="X355" s="7"/>
      <c r="Y355" s="7"/>
      <c r="Z355" s="7"/>
      <c r="AA355" s="7"/>
    </row>
    <row r="356" ht="18.75" customHeight="1">
      <c r="A356" s="8" t="s">
        <v>470</v>
      </c>
      <c r="B356" s="9" t="s">
        <v>471</v>
      </c>
      <c r="C356" s="8" t="s">
        <v>33</v>
      </c>
      <c r="D356" s="50">
        <v>909.0</v>
      </c>
      <c r="E356" s="8" t="s">
        <v>536</v>
      </c>
      <c r="F356" s="11" t="s">
        <v>26</v>
      </c>
      <c r="G356" s="12" t="s">
        <v>27</v>
      </c>
      <c r="H356" s="13">
        <v>2338.0</v>
      </c>
      <c r="I356" s="14">
        <v>10.0</v>
      </c>
      <c r="J356" s="15" t="s">
        <v>38</v>
      </c>
      <c r="K356" s="16">
        <v>0.5</v>
      </c>
      <c r="L356" s="17">
        <f t="shared" si="1"/>
        <v>5</v>
      </c>
      <c r="M356" s="17">
        <f t="shared" si="2"/>
        <v>5</v>
      </c>
      <c r="N356" s="18">
        <f t="shared" si="3"/>
        <v>1169</v>
      </c>
      <c r="O356" s="18">
        <f t="shared" si="4"/>
        <v>1169</v>
      </c>
      <c r="P356" s="18">
        <f t="shared" si="5"/>
        <v>1169</v>
      </c>
      <c r="Q356" s="8">
        <v>0.0</v>
      </c>
      <c r="R356" s="18">
        <f t="shared" si="6"/>
        <v>233.8</v>
      </c>
      <c r="S356" s="19" t="s">
        <v>29</v>
      </c>
      <c r="T356" s="19" t="s">
        <v>30</v>
      </c>
      <c r="U356" s="36" t="s">
        <v>45</v>
      </c>
      <c r="V356" s="37"/>
      <c r="W356" s="7"/>
      <c r="X356" s="7"/>
      <c r="Y356" s="7"/>
      <c r="Z356" s="7"/>
      <c r="AA356" s="7"/>
    </row>
    <row r="357" ht="18.75" customHeight="1">
      <c r="A357" s="22" t="s">
        <v>470</v>
      </c>
      <c r="B357" s="23" t="s">
        <v>471</v>
      </c>
      <c r="C357" s="22" t="s">
        <v>33</v>
      </c>
      <c r="D357" s="51">
        <v>910.0</v>
      </c>
      <c r="E357" s="22" t="s">
        <v>537</v>
      </c>
      <c r="F357" s="25" t="s">
        <v>26</v>
      </c>
      <c r="G357" s="26" t="s">
        <v>27</v>
      </c>
      <c r="H357" s="27">
        <v>22652.48</v>
      </c>
      <c r="I357" s="28">
        <v>10.0</v>
      </c>
      <c r="J357" s="29" t="s">
        <v>38</v>
      </c>
      <c r="K357" s="30">
        <v>0.5</v>
      </c>
      <c r="L357" s="31">
        <f t="shared" si="1"/>
        <v>5</v>
      </c>
      <c r="M357" s="31">
        <f t="shared" si="2"/>
        <v>5</v>
      </c>
      <c r="N357" s="32">
        <f t="shared" si="3"/>
        <v>11326.24</v>
      </c>
      <c r="O357" s="32">
        <f t="shared" si="4"/>
        <v>11326.24</v>
      </c>
      <c r="P357" s="32">
        <f t="shared" si="5"/>
        <v>11326.24</v>
      </c>
      <c r="Q357" s="22">
        <v>0.0</v>
      </c>
      <c r="R357" s="32">
        <f t="shared" si="6"/>
        <v>2265.248</v>
      </c>
      <c r="S357" s="33" t="s">
        <v>29</v>
      </c>
      <c r="T357" s="33" t="s">
        <v>30</v>
      </c>
      <c r="U357" s="34" t="s">
        <v>50</v>
      </c>
      <c r="V357" s="35"/>
      <c r="W357" s="7"/>
      <c r="X357" s="7"/>
      <c r="Y357" s="7"/>
      <c r="Z357" s="7"/>
      <c r="AA357" s="7"/>
    </row>
    <row r="358" ht="18.75" customHeight="1">
      <c r="A358" s="8" t="s">
        <v>470</v>
      </c>
      <c r="B358" s="9" t="s">
        <v>471</v>
      </c>
      <c r="C358" s="8" t="s">
        <v>33</v>
      </c>
      <c r="D358" s="50">
        <v>911.0</v>
      </c>
      <c r="E358" s="8" t="s">
        <v>538</v>
      </c>
      <c r="F358" s="11" t="s">
        <v>37</v>
      </c>
      <c r="G358" s="12" t="s">
        <v>27</v>
      </c>
      <c r="H358" s="13">
        <v>469.2</v>
      </c>
      <c r="I358" s="14">
        <v>10.0</v>
      </c>
      <c r="J358" s="15" t="s">
        <v>38</v>
      </c>
      <c r="K358" s="16">
        <v>0.5</v>
      </c>
      <c r="L358" s="17">
        <f t="shared" si="1"/>
        <v>5</v>
      </c>
      <c r="M358" s="17">
        <f t="shared" si="2"/>
        <v>5</v>
      </c>
      <c r="N358" s="18">
        <f t="shared" si="3"/>
        <v>234.6</v>
      </c>
      <c r="O358" s="18">
        <f t="shared" si="4"/>
        <v>234.6</v>
      </c>
      <c r="P358" s="18">
        <f t="shared" si="5"/>
        <v>234.6</v>
      </c>
      <c r="Q358" s="8">
        <v>0.0</v>
      </c>
      <c r="R358" s="18">
        <f t="shared" si="6"/>
        <v>46.92</v>
      </c>
      <c r="S358" s="19" t="s">
        <v>29</v>
      </c>
      <c r="T358" s="19" t="s">
        <v>30</v>
      </c>
      <c r="U358" s="36" t="s">
        <v>52</v>
      </c>
      <c r="V358" s="37"/>
      <c r="W358" s="7"/>
      <c r="X358" s="7"/>
      <c r="Y358" s="7"/>
      <c r="Z358" s="7"/>
      <c r="AA358" s="7"/>
    </row>
    <row r="359" ht="18.75" customHeight="1">
      <c r="A359" s="22" t="s">
        <v>470</v>
      </c>
      <c r="B359" s="23" t="s">
        <v>471</v>
      </c>
      <c r="C359" s="22" t="s">
        <v>33</v>
      </c>
      <c r="D359" s="51">
        <v>912.0</v>
      </c>
      <c r="E359" s="22" t="s">
        <v>538</v>
      </c>
      <c r="F359" s="25" t="s">
        <v>37</v>
      </c>
      <c r="G359" s="26" t="s">
        <v>27</v>
      </c>
      <c r="H359" s="27">
        <v>469.2</v>
      </c>
      <c r="I359" s="28">
        <v>10.0</v>
      </c>
      <c r="J359" s="29" t="s">
        <v>38</v>
      </c>
      <c r="K359" s="30">
        <v>0.5</v>
      </c>
      <c r="L359" s="31">
        <f t="shared" si="1"/>
        <v>5</v>
      </c>
      <c r="M359" s="31">
        <f t="shared" si="2"/>
        <v>5</v>
      </c>
      <c r="N359" s="32">
        <f t="shared" si="3"/>
        <v>234.6</v>
      </c>
      <c r="O359" s="32">
        <f t="shared" si="4"/>
        <v>234.6</v>
      </c>
      <c r="P359" s="32">
        <f t="shared" si="5"/>
        <v>234.6</v>
      </c>
      <c r="Q359" s="22">
        <v>0.0</v>
      </c>
      <c r="R359" s="32">
        <f t="shared" si="6"/>
        <v>46.92</v>
      </c>
      <c r="S359" s="33" t="s">
        <v>29</v>
      </c>
      <c r="T359" s="33" t="s">
        <v>30</v>
      </c>
      <c r="U359" s="38" t="s">
        <v>52</v>
      </c>
      <c r="V359" s="35"/>
      <c r="W359" s="7"/>
      <c r="X359" s="7"/>
      <c r="Y359" s="7"/>
      <c r="Z359" s="7"/>
      <c r="AA359" s="7"/>
    </row>
    <row r="360" ht="18.75" customHeight="1">
      <c r="A360" s="8" t="s">
        <v>470</v>
      </c>
      <c r="B360" s="9" t="s">
        <v>471</v>
      </c>
      <c r="C360" s="9" t="s">
        <v>539</v>
      </c>
      <c r="D360" s="10">
        <v>914.0</v>
      </c>
      <c r="E360" s="8" t="s">
        <v>540</v>
      </c>
      <c r="F360" s="11" t="s">
        <v>26</v>
      </c>
      <c r="G360" s="12" t="s">
        <v>27</v>
      </c>
      <c r="H360" s="13">
        <v>2219.0</v>
      </c>
      <c r="I360" s="14">
        <v>10.0</v>
      </c>
      <c r="J360" s="48" t="s">
        <v>63</v>
      </c>
      <c r="K360" s="16">
        <v>0.700000000000002</v>
      </c>
      <c r="L360" s="17">
        <f t="shared" si="1"/>
        <v>7</v>
      </c>
      <c r="M360" s="17">
        <f t="shared" si="2"/>
        <v>3</v>
      </c>
      <c r="N360" s="18">
        <f t="shared" si="3"/>
        <v>1553.3</v>
      </c>
      <c r="O360" s="18">
        <f t="shared" si="4"/>
        <v>665.7</v>
      </c>
      <c r="P360" s="18">
        <f t="shared" si="5"/>
        <v>665.7</v>
      </c>
      <c r="Q360" s="8">
        <v>0.0</v>
      </c>
      <c r="R360" s="18">
        <f t="shared" si="6"/>
        <v>221.9</v>
      </c>
      <c r="S360" s="19" t="s">
        <v>29</v>
      </c>
      <c r="T360" s="19" t="s">
        <v>30</v>
      </c>
      <c r="U360" s="20" t="s">
        <v>418</v>
      </c>
      <c r="V360" s="37"/>
      <c r="W360" s="7"/>
      <c r="X360" s="7"/>
      <c r="Y360" s="7"/>
      <c r="Z360" s="7"/>
      <c r="AA360" s="7"/>
    </row>
    <row r="361" ht="18.75" customHeight="1">
      <c r="A361" s="22" t="s">
        <v>470</v>
      </c>
      <c r="B361" s="23" t="s">
        <v>471</v>
      </c>
      <c r="C361" s="22" t="s">
        <v>33</v>
      </c>
      <c r="D361" s="51">
        <v>916.0</v>
      </c>
      <c r="E361" s="22" t="s">
        <v>541</v>
      </c>
      <c r="F361" s="25" t="s">
        <v>26</v>
      </c>
      <c r="G361" s="26" t="s">
        <v>27</v>
      </c>
      <c r="H361" s="27">
        <v>235.03</v>
      </c>
      <c r="I361" s="28">
        <v>10.0</v>
      </c>
      <c r="J361" s="41" t="s">
        <v>63</v>
      </c>
      <c r="K361" s="42">
        <v>0.700000000000002</v>
      </c>
      <c r="L361" s="31">
        <f t="shared" si="1"/>
        <v>7</v>
      </c>
      <c r="M361" s="31">
        <f t="shared" si="2"/>
        <v>3</v>
      </c>
      <c r="N361" s="32">
        <f t="shared" si="3"/>
        <v>164.521</v>
      </c>
      <c r="O361" s="32">
        <f t="shared" si="4"/>
        <v>70.509</v>
      </c>
      <c r="P361" s="32">
        <f t="shared" si="5"/>
        <v>70.509</v>
      </c>
      <c r="Q361" s="22">
        <v>0.0</v>
      </c>
      <c r="R361" s="32">
        <f t="shared" si="6"/>
        <v>23.503</v>
      </c>
      <c r="S361" s="33" t="s">
        <v>29</v>
      </c>
      <c r="T361" s="33" t="s">
        <v>30</v>
      </c>
      <c r="U361" s="34" t="s">
        <v>96</v>
      </c>
      <c r="V361" s="35"/>
      <c r="W361" s="7"/>
      <c r="X361" s="7"/>
      <c r="Y361" s="7"/>
      <c r="Z361" s="7"/>
      <c r="AA361" s="7"/>
    </row>
    <row r="362" ht="18.75" customHeight="1">
      <c r="A362" s="8" t="s">
        <v>470</v>
      </c>
      <c r="B362" s="9" t="s">
        <v>471</v>
      </c>
      <c r="C362" s="8" t="s">
        <v>542</v>
      </c>
      <c r="D362" s="50">
        <v>917.0</v>
      </c>
      <c r="E362" s="8" t="s">
        <v>543</v>
      </c>
      <c r="F362" s="11" t="s">
        <v>37</v>
      </c>
      <c r="G362" s="12" t="s">
        <v>27</v>
      </c>
      <c r="H362" s="13">
        <v>101.86</v>
      </c>
      <c r="I362" s="14">
        <v>10.0</v>
      </c>
      <c r="J362" s="15" t="s">
        <v>38</v>
      </c>
      <c r="K362" s="16">
        <v>0.5</v>
      </c>
      <c r="L362" s="17">
        <f t="shared" si="1"/>
        <v>5</v>
      </c>
      <c r="M362" s="17">
        <f t="shared" si="2"/>
        <v>5</v>
      </c>
      <c r="N362" s="18">
        <f t="shared" si="3"/>
        <v>50.93</v>
      </c>
      <c r="O362" s="18">
        <f t="shared" si="4"/>
        <v>50.93</v>
      </c>
      <c r="P362" s="18">
        <f t="shared" si="5"/>
        <v>50.93</v>
      </c>
      <c r="Q362" s="8">
        <v>0.0</v>
      </c>
      <c r="R362" s="18">
        <f t="shared" si="6"/>
        <v>10.186</v>
      </c>
      <c r="S362" s="19" t="s">
        <v>29</v>
      </c>
      <c r="T362" s="19" t="s">
        <v>30</v>
      </c>
      <c r="U362" s="36" t="s">
        <v>544</v>
      </c>
      <c r="V362" s="37"/>
      <c r="W362" s="7"/>
      <c r="X362" s="7"/>
      <c r="Y362" s="7"/>
      <c r="Z362" s="7"/>
      <c r="AA362" s="7"/>
    </row>
    <row r="363" ht="18.75" customHeight="1">
      <c r="A363" s="22" t="s">
        <v>470</v>
      </c>
      <c r="B363" s="23" t="s">
        <v>471</v>
      </c>
      <c r="C363" s="23" t="s">
        <v>24</v>
      </c>
      <c r="D363" s="24">
        <v>920.0</v>
      </c>
      <c r="E363" s="22" t="s">
        <v>545</v>
      </c>
      <c r="F363" s="25" t="s">
        <v>37</v>
      </c>
      <c r="G363" s="26" t="s">
        <v>27</v>
      </c>
      <c r="H363" s="27">
        <v>549.97</v>
      </c>
      <c r="I363" s="28">
        <v>10.0</v>
      </c>
      <c r="J363" s="45" t="s">
        <v>63</v>
      </c>
      <c r="K363" s="42">
        <v>0.700000000000002</v>
      </c>
      <c r="L363" s="31">
        <f t="shared" si="1"/>
        <v>7</v>
      </c>
      <c r="M363" s="31">
        <f t="shared" si="2"/>
        <v>3</v>
      </c>
      <c r="N363" s="32">
        <f t="shared" si="3"/>
        <v>384.979</v>
      </c>
      <c r="O363" s="32">
        <f t="shared" si="4"/>
        <v>164.991</v>
      </c>
      <c r="P363" s="32">
        <f t="shared" si="5"/>
        <v>164.991</v>
      </c>
      <c r="Q363" s="22">
        <v>0.0</v>
      </c>
      <c r="R363" s="32">
        <f t="shared" si="6"/>
        <v>54.997</v>
      </c>
      <c r="S363" s="33" t="s">
        <v>29</v>
      </c>
      <c r="T363" s="33" t="s">
        <v>30</v>
      </c>
      <c r="U363" s="38" t="s">
        <v>546</v>
      </c>
      <c r="V363" s="35"/>
      <c r="W363" s="7"/>
      <c r="X363" s="7"/>
      <c r="Y363" s="7"/>
      <c r="Z363" s="7"/>
      <c r="AA363" s="7"/>
    </row>
    <row r="364" ht="18.75" customHeight="1">
      <c r="A364" s="8" t="s">
        <v>470</v>
      </c>
      <c r="B364" s="9" t="s">
        <v>471</v>
      </c>
      <c r="C364" s="9" t="s">
        <v>189</v>
      </c>
      <c r="D364" s="10">
        <v>927.0</v>
      </c>
      <c r="E364" s="8" t="s">
        <v>547</v>
      </c>
      <c r="F364" s="11" t="s">
        <v>37</v>
      </c>
      <c r="G364" s="12" t="s">
        <v>27</v>
      </c>
      <c r="H364" s="13">
        <v>332.91</v>
      </c>
      <c r="I364" s="14">
        <v>10.0</v>
      </c>
      <c r="J364" s="48" t="s">
        <v>63</v>
      </c>
      <c r="K364" s="16">
        <v>0.700000000000002</v>
      </c>
      <c r="L364" s="17">
        <f t="shared" si="1"/>
        <v>7</v>
      </c>
      <c r="M364" s="17">
        <f t="shared" si="2"/>
        <v>3</v>
      </c>
      <c r="N364" s="18">
        <f t="shared" si="3"/>
        <v>233.037</v>
      </c>
      <c r="O364" s="18">
        <f t="shared" si="4"/>
        <v>99.873</v>
      </c>
      <c r="P364" s="18">
        <f t="shared" si="5"/>
        <v>99.873</v>
      </c>
      <c r="Q364" s="8">
        <v>0.0</v>
      </c>
      <c r="R364" s="18">
        <f t="shared" si="6"/>
        <v>33.291</v>
      </c>
      <c r="S364" s="19" t="s">
        <v>29</v>
      </c>
      <c r="T364" s="19" t="s">
        <v>30</v>
      </c>
      <c r="U364" s="20" t="s">
        <v>223</v>
      </c>
      <c r="V364" s="37"/>
      <c r="W364" s="7"/>
      <c r="X364" s="7"/>
      <c r="Y364" s="7"/>
      <c r="Z364" s="7"/>
      <c r="AA364" s="7"/>
    </row>
    <row r="365" ht="18.75" customHeight="1">
      <c r="A365" s="22" t="s">
        <v>470</v>
      </c>
      <c r="B365" s="23" t="s">
        <v>471</v>
      </c>
      <c r="C365" s="23" t="s">
        <v>539</v>
      </c>
      <c r="D365" s="24">
        <v>928.0</v>
      </c>
      <c r="E365" s="22" t="s">
        <v>547</v>
      </c>
      <c r="F365" s="25" t="s">
        <v>37</v>
      </c>
      <c r="G365" s="26" t="s">
        <v>27</v>
      </c>
      <c r="H365" s="27">
        <v>332.91</v>
      </c>
      <c r="I365" s="28">
        <v>10.0</v>
      </c>
      <c r="J365" s="45" t="s">
        <v>63</v>
      </c>
      <c r="K365" s="30">
        <v>0.700000000000002</v>
      </c>
      <c r="L365" s="31">
        <f t="shared" si="1"/>
        <v>7</v>
      </c>
      <c r="M365" s="31">
        <f t="shared" si="2"/>
        <v>3</v>
      </c>
      <c r="N365" s="32">
        <f t="shared" si="3"/>
        <v>233.037</v>
      </c>
      <c r="O365" s="32">
        <f t="shared" si="4"/>
        <v>99.873</v>
      </c>
      <c r="P365" s="32">
        <f t="shared" si="5"/>
        <v>99.873</v>
      </c>
      <c r="Q365" s="22">
        <v>0.0</v>
      </c>
      <c r="R365" s="32">
        <f t="shared" si="6"/>
        <v>33.291</v>
      </c>
      <c r="S365" s="33" t="s">
        <v>29</v>
      </c>
      <c r="T365" s="33" t="s">
        <v>30</v>
      </c>
      <c r="U365" s="34" t="s">
        <v>223</v>
      </c>
      <c r="V365" s="35"/>
      <c r="W365" s="7"/>
      <c r="X365" s="7"/>
      <c r="Y365" s="7"/>
      <c r="Z365" s="7"/>
      <c r="AA365" s="7"/>
    </row>
    <row r="366" ht="18.75" customHeight="1">
      <c r="A366" s="8" t="s">
        <v>470</v>
      </c>
      <c r="B366" s="9" t="s">
        <v>471</v>
      </c>
      <c r="C366" s="9" t="s">
        <v>199</v>
      </c>
      <c r="D366" s="10">
        <v>933.0</v>
      </c>
      <c r="E366" s="8" t="s">
        <v>548</v>
      </c>
      <c r="F366" s="11" t="s">
        <v>37</v>
      </c>
      <c r="G366" s="12" t="s">
        <v>27</v>
      </c>
      <c r="H366" s="13">
        <v>945.0</v>
      </c>
      <c r="I366" s="14">
        <v>15.0</v>
      </c>
      <c r="J366" s="15" t="s">
        <v>54</v>
      </c>
      <c r="K366" s="16">
        <v>0.3</v>
      </c>
      <c r="L366" s="17">
        <f t="shared" si="1"/>
        <v>4.5</v>
      </c>
      <c r="M366" s="17">
        <f t="shared" si="2"/>
        <v>10.5</v>
      </c>
      <c r="N366" s="18">
        <f t="shared" si="3"/>
        <v>283.5</v>
      </c>
      <c r="O366" s="18">
        <f t="shared" si="4"/>
        <v>661.5</v>
      </c>
      <c r="P366" s="18">
        <f t="shared" si="5"/>
        <v>661.5</v>
      </c>
      <c r="Q366" s="8">
        <v>0.0</v>
      </c>
      <c r="R366" s="18">
        <f t="shared" si="6"/>
        <v>63</v>
      </c>
      <c r="S366" s="19" t="s">
        <v>29</v>
      </c>
      <c r="T366" s="19" t="s">
        <v>30</v>
      </c>
      <c r="U366" s="20" t="s">
        <v>205</v>
      </c>
      <c r="V366" s="37"/>
      <c r="W366" s="49"/>
      <c r="X366" s="49"/>
      <c r="Y366" s="49"/>
      <c r="Z366" s="49"/>
      <c r="AA366" s="49"/>
    </row>
    <row r="367" ht="18.75" customHeight="1">
      <c r="A367" s="22" t="s">
        <v>470</v>
      </c>
      <c r="B367" s="23" t="s">
        <v>471</v>
      </c>
      <c r="C367" s="23" t="s">
        <v>199</v>
      </c>
      <c r="D367" s="24">
        <v>934.0</v>
      </c>
      <c r="E367" s="22" t="s">
        <v>549</v>
      </c>
      <c r="F367" s="25" t="s">
        <v>37</v>
      </c>
      <c r="G367" s="26" t="s">
        <v>27</v>
      </c>
      <c r="H367" s="27">
        <v>1300.12</v>
      </c>
      <c r="I367" s="28">
        <v>15.0</v>
      </c>
      <c r="J367" s="29" t="s">
        <v>38</v>
      </c>
      <c r="K367" s="30">
        <v>0.5</v>
      </c>
      <c r="L367" s="31">
        <f t="shared" si="1"/>
        <v>7.5</v>
      </c>
      <c r="M367" s="31">
        <f t="shared" si="2"/>
        <v>7.5</v>
      </c>
      <c r="N367" s="32">
        <f t="shared" si="3"/>
        <v>650.06</v>
      </c>
      <c r="O367" s="32">
        <f t="shared" si="4"/>
        <v>650.06</v>
      </c>
      <c r="P367" s="32">
        <f t="shared" si="5"/>
        <v>650.06</v>
      </c>
      <c r="Q367" s="22">
        <v>0.0</v>
      </c>
      <c r="R367" s="32">
        <f t="shared" si="6"/>
        <v>86.67466667</v>
      </c>
      <c r="S367" s="33" t="s">
        <v>29</v>
      </c>
      <c r="T367" s="33" t="s">
        <v>30</v>
      </c>
      <c r="U367" s="34" t="s">
        <v>229</v>
      </c>
      <c r="V367" s="35"/>
      <c r="W367" s="7"/>
      <c r="X367" s="7"/>
      <c r="Y367" s="7"/>
      <c r="Z367" s="7"/>
      <c r="AA367" s="7"/>
    </row>
    <row r="368" ht="18.75" customHeight="1">
      <c r="A368" s="8" t="s">
        <v>470</v>
      </c>
      <c r="B368" s="9" t="s">
        <v>471</v>
      </c>
      <c r="C368" s="9" t="s">
        <v>539</v>
      </c>
      <c r="D368" s="10">
        <v>939.0</v>
      </c>
      <c r="E368" s="8" t="s">
        <v>238</v>
      </c>
      <c r="F368" s="11" t="s">
        <v>26</v>
      </c>
      <c r="G368" s="12" t="s">
        <v>27</v>
      </c>
      <c r="H368" s="55">
        <v>840.42</v>
      </c>
      <c r="I368" s="14">
        <v>10.0</v>
      </c>
      <c r="J368" s="48" t="s">
        <v>63</v>
      </c>
      <c r="K368" s="16">
        <v>0.700000000000002</v>
      </c>
      <c r="L368" s="17">
        <f t="shared" si="1"/>
        <v>7</v>
      </c>
      <c r="M368" s="17">
        <f t="shared" si="2"/>
        <v>3</v>
      </c>
      <c r="N368" s="18">
        <f t="shared" si="3"/>
        <v>588.294</v>
      </c>
      <c r="O368" s="18">
        <f t="shared" si="4"/>
        <v>252.126</v>
      </c>
      <c r="P368" s="18">
        <f t="shared" si="5"/>
        <v>252.126</v>
      </c>
      <c r="Q368" s="8">
        <v>0.0</v>
      </c>
      <c r="R368" s="18">
        <f t="shared" si="6"/>
        <v>84.042</v>
      </c>
      <c r="S368" s="19" t="s">
        <v>29</v>
      </c>
      <c r="T368" s="19" t="s">
        <v>30</v>
      </c>
      <c r="U368" s="20" t="s">
        <v>102</v>
      </c>
      <c r="V368" s="37"/>
      <c r="W368" s="7"/>
      <c r="X368" s="7"/>
      <c r="Y368" s="7"/>
      <c r="Z368" s="7"/>
      <c r="AA368" s="7"/>
    </row>
    <row r="369" ht="18.75" customHeight="1">
      <c r="A369" s="22" t="s">
        <v>470</v>
      </c>
      <c r="B369" s="23" t="s">
        <v>471</v>
      </c>
      <c r="C369" s="23" t="s">
        <v>24</v>
      </c>
      <c r="D369" s="24">
        <v>940.0</v>
      </c>
      <c r="E369" s="22" t="s">
        <v>239</v>
      </c>
      <c r="F369" s="25" t="s">
        <v>26</v>
      </c>
      <c r="G369" s="26" t="s">
        <v>27</v>
      </c>
      <c r="H369" s="56">
        <v>1260.63</v>
      </c>
      <c r="I369" s="28">
        <v>10.0</v>
      </c>
      <c r="J369" s="29" t="s">
        <v>38</v>
      </c>
      <c r="K369" s="30">
        <v>0.5</v>
      </c>
      <c r="L369" s="31">
        <f t="shared" si="1"/>
        <v>5</v>
      </c>
      <c r="M369" s="31">
        <f t="shared" si="2"/>
        <v>5</v>
      </c>
      <c r="N369" s="32">
        <f t="shared" si="3"/>
        <v>630.315</v>
      </c>
      <c r="O369" s="32">
        <f t="shared" si="4"/>
        <v>630.315</v>
      </c>
      <c r="P369" s="32">
        <f t="shared" si="5"/>
        <v>630.315</v>
      </c>
      <c r="Q369" s="22">
        <v>0.0</v>
      </c>
      <c r="R369" s="32">
        <f t="shared" si="6"/>
        <v>126.063</v>
      </c>
      <c r="S369" s="33" t="s">
        <v>29</v>
      </c>
      <c r="T369" s="33" t="s">
        <v>30</v>
      </c>
      <c r="U369" s="34" t="s">
        <v>102</v>
      </c>
      <c r="V369" s="35"/>
      <c r="W369" s="7"/>
      <c r="X369" s="7"/>
      <c r="Y369" s="7"/>
      <c r="Z369" s="7"/>
      <c r="AA369" s="7"/>
    </row>
    <row r="370" ht="18.75" customHeight="1">
      <c r="A370" s="8" t="s">
        <v>470</v>
      </c>
      <c r="B370" s="9" t="s">
        <v>471</v>
      </c>
      <c r="C370" s="9" t="s">
        <v>195</v>
      </c>
      <c r="D370" s="10">
        <v>942.0</v>
      </c>
      <c r="E370" s="8" t="s">
        <v>532</v>
      </c>
      <c r="F370" s="11" t="s">
        <v>37</v>
      </c>
      <c r="G370" s="12" t="s">
        <v>27</v>
      </c>
      <c r="H370" s="13">
        <v>417.6</v>
      </c>
      <c r="I370" s="14">
        <v>10.0</v>
      </c>
      <c r="J370" s="15" t="s">
        <v>28</v>
      </c>
      <c r="K370" s="16">
        <v>0.4</v>
      </c>
      <c r="L370" s="17">
        <f t="shared" si="1"/>
        <v>4</v>
      </c>
      <c r="M370" s="17">
        <f t="shared" si="2"/>
        <v>6</v>
      </c>
      <c r="N370" s="18">
        <f t="shared" si="3"/>
        <v>167.04</v>
      </c>
      <c r="O370" s="18">
        <f t="shared" si="4"/>
        <v>250.56</v>
      </c>
      <c r="P370" s="18">
        <f t="shared" si="5"/>
        <v>250.56</v>
      </c>
      <c r="Q370" s="8">
        <v>0.0</v>
      </c>
      <c r="R370" s="18">
        <f t="shared" si="6"/>
        <v>41.76</v>
      </c>
      <c r="S370" s="19" t="s">
        <v>29</v>
      </c>
      <c r="T370" s="19" t="s">
        <v>30</v>
      </c>
      <c r="U370" s="20" t="s">
        <v>533</v>
      </c>
      <c r="V370" s="37"/>
      <c r="W370" s="7"/>
      <c r="X370" s="7"/>
      <c r="Y370" s="7"/>
      <c r="Z370" s="7"/>
      <c r="AA370" s="7"/>
    </row>
    <row r="371" ht="18.75" customHeight="1">
      <c r="A371" s="22" t="s">
        <v>470</v>
      </c>
      <c r="B371" s="23" t="s">
        <v>471</v>
      </c>
      <c r="C371" s="23" t="s">
        <v>199</v>
      </c>
      <c r="D371" s="24">
        <v>955.0</v>
      </c>
      <c r="E371" s="22" t="s">
        <v>550</v>
      </c>
      <c r="F371" s="25" t="s">
        <v>37</v>
      </c>
      <c r="G371" s="26" t="s">
        <v>27</v>
      </c>
      <c r="H371" s="56">
        <v>840.42</v>
      </c>
      <c r="I371" s="28">
        <v>5.0</v>
      </c>
      <c r="J371" s="45" t="s">
        <v>63</v>
      </c>
      <c r="K371" s="30">
        <v>0.700000000000002</v>
      </c>
      <c r="L371" s="31">
        <f t="shared" si="1"/>
        <v>3.5</v>
      </c>
      <c r="M371" s="31">
        <f t="shared" si="2"/>
        <v>1.5</v>
      </c>
      <c r="N371" s="32">
        <f t="shared" si="3"/>
        <v>588.294</v>
      </c>
      <c r="O371" s="32">
        <f t="shared" si="4"/>
        <v>252.126</v>
      </c>
      <c r="P371" s="32">
        <f t="shared" si="5"/>
        <v>252.126</v>
      </c>
      <c r="Q371" s="22">
        <v>0.0</v>
      </c>
      <c r="R371" s="32">
        <f t="shared" si="6"/>
        <v>168.084</v>
      </c>
      <c r="S371" s="33" t="s">
        <v>29</v>
      </c>
      <c r="T371" s="33" t="s">
        <v>30</v>
      </c>
      <c r="U371" s="34" t="s">
        <v>102</v>
      </c>
      <c r="V371" s="35"/>
      <c r="W371" s="7"/>
      <c r="X371" s="7"/>
      <c r="Y371" s="7"/>
      <c r="Z371" s="7"/>
      <c r="AA371" s="7"/>
    </row>
    <row r="372" ht="18.75" customHeight="1">
      <c r="A372" s="8" t="s">
        <v>470</v>
      </c>
      <c r="B372" s="9" t="s">
        <v>471</v>
      </c>
      <c r="C372" s="9" t="s">
        <v>539</v>
      </c>
      <c r="D372" s="10">
        <v>956.0</v>
      </c>
      <c r="E372" s="8" t="s">
        <v>239</v>
      </c>
      <c r="F372" s="11" t="s">
        <v>26</v>
      </c>
      <c r="G372" s="12" t="s">
        <v>27</v>
      </c>
      <c r="H372" s="55">
        <v>1260.63</v>
      </c>
      <c r="I372" s="14">
        <v>10.0</v>
      </c>
      <c r="J372" s="15" t="s">
        <v>38</v>
      </c>
      <c r="K372" s="16">
        <v>0.5</v>
      </c>
      <c r="L372" s="17">
        <f t="shared" si="1"/>
        <v>5</v>
      </c>
      <c r="M372" s="17">
        <f t="shared" si="2"/>
        <v>5</v>
      </c>
      <c r="N372" s="18">
        <f t="shared" si="3"/>
        <v>630.315</v>
      </c>
      <c r="O372" s="18">
        <f t="shared" si="4"/>
        <v>630.315</v>
      </c>
      <c r="P372" s="18">
        <f t="shared" si="5"/>
        <v>630.315</v>
      </c>
      <c r="Q372" s="8">
        <v>0.0</v>
      </c>
      <c r="R372" s="18">
        <f t="shared" si="6"/>
        <v>126.063</v>
      </c>
      <c r="S372" s="19" t="s">
        <v>29</v>
      </c>
      <c r="T372" s="19" t="s">
        <v>30</v>
      </c>
      <c r="U372" s="20" t="s">
        <v>102</v>
      </c>
      <c r="V372" s="37"/>
      <c r="W372" s="7"/>
      <c r="X372" s="7"/>
      <c r="Y372" s="7"/>
      <c r="Z372" s="7"/>
      <c r="AA372" s="7"/>
    </row>
    <row r="373" ht="18.75" customHeight="1">
      <c r="A373" s="22" t="s">
        <v>470</v>
      </c>
      <c r="B373" s="23" t="s">
        <v>471</v>
      </c>
      <c r="C373" s="23" t="s">
        <v>24</v>
      </c>
      <c r="D373" s="24">
        <v>963.0</v>
      </c>
      <c r="E373" s="22" t="s">
        <v>551</v>
      </c>
      <c r="F373" s="25" t="s">
        <v>37</v>
      </c>
      <c r="G373" s="26" t="s">
        <v>27</v>
      </c>
      <c r="H373" s="27">
        <v>549.97</v>
      </c>
      <c r="I373" s="28">
        <v>10.0</v>
      </c>
      <c r="J373" s="45" t="s">
        <v>63</v>
      </c>
      <c r="K373" s="30">
        <v>0.700000000000002</v>
      </c>
      <c r="L373" s="31">
        <f t="shared" si="1"/>
        <v>7</v>
      </c>
      <c r="M373" s="31">
        <f t="shared" si="2"/>
        <v>3</v>
      </c>
      <c r="N373" s="32">
        <f t="shared" si="3"/>
        <v>384.979</v>
      </c>
      <c r="O373" s="32">
        <f t="shared" si="4"/>
        <v>164.991</v>
      </c>
      <c r="P373" s="32">
        <f t="shared" si="5"/>
        <v>164.991</v>
      </c>
      <c r="Q373" s="22">
        <v>0.0</v>
      </c>
      <c r="R373" s="32">
        <f t="shared" si="6"/>
        <v>54.997</v>
      </c>
      <c r="S373" s="33" t="s">
        <v>29</v>
      </c>
      <c r="T373" s="33" t="s">
        <v>30</v>
      </c>
      <c r="U373" s="38" t="s">
        <v>546</v>
      </c>
      <c r="V373" s="35"/>
      <c r="W373" s="7"/>
      <c r="X373" s="7"/>
      <c r="Y373" s="7"/>
      <c r="Z373" s="7"/>
      <c r="AA373" s="7"/>
    </row>
    <row r="374" ht="18.75" customHeight="1">
      <c r="A374" s="8" t="s">
        <v>470</v>
      </c>
      <c r="B374" s="9" t="s">
        <v>471</v>
      </c>
      <c r="C374" s="9" t="s">
        <v>195</v>
      </c>
      <c r="D374" s="10">
        <v>964.0</v>
      </c>
      <c r="E374" s="8" t="s">
        <v>552</v>
      </c>
      <c r="F374" s="11" t="s">
        <v>37</v>
      </c>
      <c r="G374" s="12" t="s">
        <v>27</v>
      </c>
      <c r="H374" s="13">
        <v>285.0</v>
      </c>
      <c r="I374" s="14">
        <v>10.0</v>
      </c>
      <c r="J374" s="15" t="s">
        <v>154</v>
      </c>
      <c r="K374" s="16">
        <v>0.8</v>
      </c>
      <c r="L374" s="17">
        <f t="shared" si="1"/>
        <v>8</v>
      </c>
      <c r="M374" s="17">
        <f t="shared" si="2"/>
        <v>2</v>
      </c>
      <c r="N374" s="18">
        <f t="shared" si="3"/>
        <v>228</v>
      </c>
      <c r="O374" s="18">
        <f t="shared" si="4"/>
        <v>57</v>
      </c>
      <c r="P374" s="18">
        <f t="shared" si="5"/>
        <v>57</v>
      </c>
      <c r="Q374" s="8">
        <v>0.0</v>
      </c>
      <c r="R374" s="18">
        <f t="shared" si="6"/>
        <v>28.5</v>
      </c>
      <c r="S374" s="19" t="s">
        <v>29</v>
      </c>
      <c r="T374" s="19" t="s">
        <v>30</v>
      </c>
      <c r="U374" s="20" t="s">
        <v>456</v>
      </c>
      <c r="V374" s="37"/>
      <c r="W374" s="7"/>
      <c r="X374" s="7"/>
      <c r="Y374" s="7"/>
      <c r="Z374" s="7"/>
      <c r="AA374" s="7"/>
    </row>
    <row r="375" ht="18.75" customHeight="1">
      <c r="A375" s="22" t="s">
        <v>470</v>
      </c>
      <c r="B375" s="23" t="s">
        <v>471</v>
      </c>
      <c r="C375" s="23" t="s">
        <v>195</v>
      </c>
      <c r="D375" s="24">
        <v>967.0</v>
      </c>
      <c r="E375" s="22" t="s">
        <v>553</v>
      </c>
      <c r="F375" s="25" t="s">
        <v>26</v>
      </c>
      <c r="G375" s="26" t="s">
        <v>27</v>
      </c>
      <c r="H375" s="27">
        <v>1749.0</v>
      </c>
      <c r="I375" s="28">
        <v>10.0</v>
      </c>
      <c r="J375" s="29" t="s">
        <v>28</v>
      </c>
      <c r="K375" s="30">
        <v>0.4</v>
      </c>
      <c r="L375" s="31">
        <f t="shared" si="1"/>
        <v>4</v>
      </c>
      <c r="M375" s="31">
        <f t="shared" si="2"/>
        <v>6</v>
      </c>
      <c r="N375" s="32">
        <f t="shared" si="3"/>
        <v>699.6</v>
      </c>
      <c r="O375" s="32">
        <f t="shared" si="4"/>
        <v>1049.4</v>
      </c>
      <c r="P375" s="32">
        <f t="shared" si="5"/>
        <v>1049.4</v>
      </c>
      <c r="Q375" s="22">
        <v>0.0</v>
      </c>
      <c r="R375" s="32">
        <f t="shared" si="6"/>
        <v>174.9</v>
      </c>
      <c r="S375" s="33" t="s">
        <v>29</v>
      </c>
      <c r="T375" s="33" t="s">
        <v>30</v>
      </c>
      <c r="U375" s="34" t="s">
        <v>255</v>
      </c>
      <c r="V375" s="35"/>
      <c r="W375" s="7"/>
      <c r="X375" s="7"/>
      <c r="Y375" s="7"/>
      <c r="Z375" s="7"/>
      <c r="AA375" s="7"/>
    </row>
    <row r="376" ht="18.75" customHeight="1">
      <c r="A376" s="8" t="s">
        <v>470</v>
      </c>
      <c r="B376" s="9" t="s">
        <v>471</v>
      </c>
      <c r="C376" s="9" t="s">
        <v>195</v>
      </c>
      <c r="D376" s="10">
        <v>968.0</v>
      </c>
      <c r="E376" s="8" t="s">
        <v>554</v>
      </c>
      <c r="F376" s="11" t="s">
        <v>37</v>
      </c>
      <c r="G376" s="12" t="s">
        <v>27</v>
      </c>
      <c r="H376" s="13">
        <v>531.0</v>
      </c>
      <c r="I376" s="14">
        <v>15.0</v>
      </c>
      <c r="J376" s="15" t="s">
        <v>154</v>
      </c>
      <c r="K376" s="16">
        <v>0.8</v>
      </c>
      <c r="L376" s="17">
        <f t="shared" si="1"/>
        <v>12</v>
      </c>
      <c r="M376" s="17">
        <f t="shared" si="2"/>
        <v>3</v>
      </c>
      <c r="N376" s="18">
        <f t="shared" si="3"/>
        <v>424.8</v>
      </c>
      <c r="O376" s="18">
        <f t="shared" si="4"/>
        <v>106.2</v>
      </c>
      <c r="P376" s="18">
        <f t="shared" si="5"/>
        <v>106.2</v>
      </c>
      <c r="Q376" s="8">
        <v>0.0</v>
      </c>
      <c r="R376" s="18">
        <f t="shared" si="6"/>
        <v>35.4</v>
      </c>
      <c r="S376" s="19" t="s">
        <v>29</v>
      </c>
      <c r="T376" s="19" t="s">
        <v>30</v>
      </c>
      <c r="U376" s="36" t="s">
        <v>555</v>
      </c>
      <c r="V376" s="37"/>
      <c r="W376" s="7"/>
      <c r="X376" s="7"/>
      <c r="Y376" s="7"/>
      <c r="Z376" s="7"/>
      <c r="AA376" s="7"/>
    </row>
    <row r="377" ht="18.75" customHeight="1">
      <c r="A377" s="22" t="s">
        <v>470</v>
      </c>
      <c r="B377" s="23" t="s">
        <v>471</v>
      </c>
      <c r="C377" s="23" t="s">
        <v>195</v>
      </c>
      <c r="D377" s="24">
        <v>970.0</v>
      </c>
      <c r="E377" s="22" t="s">
        <v>556</v>
      </c>
      <c r="F377" s="25" t="s">
        <v>37</v>
      </c>
      <c r="G377" s="26" t="s">
        <v>27</v>
      </c>
      <c r="H377" s="27">
        <v>500.0</v>
      </c>
      <c r="I377" s="28">
        <v>10.0</v>
      </c>
      <c r="J377" s="29" t="s">
        <v>38</v>
      </c>
      <c r="K377" s="30">
        <v>0.5</v>
      </c>
      <c r="L377" s="31">
        <f t="shared" si="1"/>
        <v>5</v>
      </c>
      <c r="M377" s="31">
        <f t="shared" si="2"/>
        <v>5</v>
      </c>
      <c r="N377" s="32">
        <f t="shared" si="3"/>
        <v>250</v>
      </c>
      <c r="O377" s="32">
        <f t="shared" si="4"/>
        <v>250</v>
      </c>
      <c r="P377" s="32">
        <f t="shared" si="5"/>
        <v>250</v>
      </c>
      <c r="Q377" s="22">
        <v>0.0</v>
      </c>
      <c r="R377" s="32">
        <f t="shared" si="6"/>
        <v>50</v>
      </c>
      <c r="S377" s="33" t="s">
        <v>29</v>
      </c>
      <c r="T377" s="33" t="s">
        <v>30</v>
      </c>
      <c r="U377" s="34" t="s">
        <v>257</v>
      </c>
      <c r="V377" s="35"/>
      <c r="W377" s="7"/>
      <c r="X377" s="7"/>
      <c r="Y377" s="7"/>
      <c r="Z377" s="7"/>
      <c r="AA377" s="7"/>
    </row>
    <row r="378" ht="18.75" customHeight="1">
      <c r="A378" s="8" t="s">
        <v>470</v>
      </c>
      <c r="B378" s="9" t="s">
        <v>471</v>
      </c>
      <c r="C378" s="9" t="s">
        <v>195</v>
      </c>
      <c r="D378" s="10">
        <v>971.0</v>
      </c>
      <c r="E378" s="8" t="s">
        <v>557</v>
      </c>
      <c r="F378" s="11" t="s">
        <v>37</v>
      </c>
      <c r="G378" s="12" t="s">
        <v>27</v>
      </c>
      <c r="H378" s="13">
        <v>285.0</v>
      </c>
      <c r="I378" s="14">
        <v>10.0</v>
      </c>
      <c r="J378" s="15" t="s">
        <v>38</v>
      </c>
      <c r="K378" s="16">
        <v>0.5</v>
      </c>
      <c r="L378" s="17">
        <f t="shared" si="1"/>
        <v>5</v>
      </c>
      <c r="M378" s="17">
        <f t="shared" si="2"/>
        <v>5</v>
      </c>
      <c r="N378" s="18">
        <f t="shared" si="3"/>
        <v>142.5</v>
      </c>
      <c r="O378" s="18">
        <f t="shared" si="4"/>
        <v>142.5</v>
      </c>
      <c r="P378" s="18">
        <f t="shared" si="5"/>
        <v>142.5</v>
      </c>
      <c r="Q378" s="8">
        <v>0.0</v>
      </c>
      <c r="R378" s="18">
        <f t="shared" si="6"/>
        <v>28.5</v>
      </c>
      <c r="S378" s="19" t="s">
        <v>29</v>
      </c>
      <c r="T378" s="19" t="s">
        <v>30</v>
      </c>
      <c r="U378" s="20" t="s">
        <v>527</v>
      </c>
      <c r="V378" s="37"/>
      <c r="W378" s="7"/>
      <c r="X378" s="7"/>
      <c r="Y378" s="7"/>
      <c r="Z378" s="7"/>
      <c r="AA378" s="7"/>
    </row>
    <row r="379" ht="18.75" customHeight="1">
      <c r="A379" s="22" t="s">
        <v>470</v>
      </c>
      <c r="B379" s="23" t="s">
        <v>471</v>
      </c>
      <c r="C379" s="23" t="s">
        <v>195</v>
      </c>
      <c r="D379" s="24">
        <v>973.0</v>
      </c>
      <c r="E379" s="22" t="s">
        <v>228</v>
      </c>
      <c r="F379" s="25" t="s">
        <v>37</v>
      </c>
      <c r="G379" s="26" t="s">
        <v>27</v>
      </c>
      <c r="H379" s="27">
        <v>1300.12</v>
      </c>
      <c r="I379" s="28">
        <v>15.0</v>
      </c>
      <c r="J379" s="29" t="s">
        <v>54</v>
      </c>
      <c r="K379" s="30">
        <v>0.3</v>
      </c>
      <c r="L379" s="31">
        <f t="shared" si="1"/>
        <v>4.5</v>
      </c>
      <c r="M379" s="31">
        <f t="shared" si="2"/>
        <v>10.5</v>
      </c>
      <c r="N379" s="32">
        <f t="shared" si="3"/>
        <v>390.036</v>
      </c>
      <c r="O379" s="32">
        <f t="shared" si="4"/>
        <v>910.084</v>
      </c>
      <c r="P379" s="32">
        <f t="shared" si="5"/>
        <v>910.084</v>
      </c>
      <c r="Q379" s="22">
        <v>0.0</v>
      </c>
      <c r="R379" s="32">
        <f t="shared" si="6"/>
        <v>86.67466667</v>
      </c>
      <c r="S379" s="33" t="s">
        <v>29</v>
      </c>
      <c r="T379" s="33" t="s">
        <v>30</v>
      </c>
      <c r="U379" s="34" t="s">
        <v>229</v>
      </c>
      <c r="V379" s="35"/>
      <c r="W379" s="7"/>
      <c r="X379" s="7"/>
      <c r="Y379" s="7"/>
      <c r="Z379" s="7"/>
      <c r="AA379" s="7"/>
    </row>
    <row r="380" ht="18.75" customHeight="1">
      <c r="A380" s="8" t="s">
        <v>470</v>
      </c>
      <c r="B380" s="9" t="s">
        <v>471</v>
      </c>
      <c r="C380" s="9" t="s">
        <v>195</v>
      </c>
      <c r="D380" s="10">
        <v>979.0</v>
      </c>
      <c r="E380" s="8" t="s">
        <v>558</v>
      </c>
      <c r="F380" s="11" t="s">
        <v>26</v>
      </c>
      <c r="G380" s="12" t="s">
        <v>27</v>
      </c>
      <c r="H380" s="13">
        <v>834.05</v>
      </c>
      <c r="I380" s="14">
        <v>10.0</v>
      </c>
      <c r="J380" s="48" t="s">
        <v>63</v>
      </c>
      <c r="K380" s="16">
        <v>0.700000000000002</v>
      </c>
      <c r="L380" s="17">
        <f t="shared" si="1"/>
        <v>7</v>
      </c>
      <c r="M380" s="17">
        <f t="shared" si="2"/>
        <v>3</v>
      </c>
      <c r="N380" s="18">
        <f t="shared" si="3"/>
        <v>583.835</v>
      </c>
      <c r="O380" s="18">
        <f t="shared" si="4"/>
        <v>250.215</v>
      </c>
      <c r="P380" s="18">
        <f t="shared" si="5"/>
        <v>250.215</v>
      </c>
      <c r="Q380" s="8">
        <v>0.0</v>
      </c>
      <c r="R380" s="18">
        <f t="shared" si="6"/>
        <v>83.405</v>
      </c>
      <c r="S380" s="19" t="s">
        <v>29</v>
      </c>
      <c r="T380" s="19" t="s">
        <v>30</v>
      </c>
      <c r="U380" s="36" t="s">
        <v>559</v>
      </c>
      <c r="V380" s="37"/>
      <c r="W380" s="7"/>
      <c r="X380" s="7"/>
      <c r="Y380" s="7"/>
      <c r="Z380" s="7"/>
      <c r="AA380" s="7"/>
    </row>
    <row r="381" ht="18.75" customHeight="1">
      <c r="A381" s="22" t="s">
        <v>470</v>
      </c>
      <c r="B381" s="23" t="s">
        <v>471</v>
      </c>
      <c r="C381" s="23" t="s">
        <v>195</v>
      </c>
      <c r="D381" s="24">
        <v>980.0</v>
      </c>
      <c r="E381" s="22" t="s">
        <v>560</v>
      </c>
      <c r="F381" s="25" t="s">
        <v>26</v>
      </c>
      <c r="G381" s="26" t="s">
        <v>27</v>
      </c>
      <c r="H381" s="27">
        <v>471.75</v>
      </c>
      <c r="I381" s="28">
        <v>10.0</v>
      </c>
      <c r="J381" s="29" t="s">
        <v>38</v>
      </c>
      <c r="K381" s="30">
        <v>0.5</v>
      </c>
      <c r="L381" s="31">
        <f t="shared" si="1"/>
        <v>5</v>
      </c>
      <c r="M381" s="31">
        <f t="shared" si="2"/>
        <v>5</v>
      </c>
      <c r="N381" s="32">
        <f t="shared" si="3"/>
        <v>235.875</v>
      </c>
      <c r="O381" s="32">
        <f t="shared" si="4"/>
        <v>235.875</v>
      </c>
      <c r="P381" s="32">
        <f t="shared" si="5"/>
        <v>235.875</v>
      </c>
      <c r="Q381" s="22">
        <v>0.0</v>
      </c>
      <c r="R381" s="32">
        <f t="shared" si="6"/>
        <v>47.175</v>
      </c>
      <c r="S381" s="33" t="s">
        <v>29</v>
      </c>
      <c r="T381" s="33" t="s">
        <v>30</v>
      </c>
      <c r="U381" s="38" t="s">
        <v>370</v>
      </c>
      <c r="V381" s="35"/>
      <c r="W381" s="7"/>
      <c r="X381" s="7"/>
      <c r="Y381" s="7"/>
      <c r="Z381" s="7"/>
      <c r="AA381" s="7"/>
    </row>
    <row r="382" ht="18.75" customHeight="1">
      <c r="A382" s="8" t="s">
        <v>470</v>
      </c>
      <c r="B382" s="9" t="s">
        <v>471</v>
      </c>
      <c r="C382" s="9" t="s">
        <v>195</v>
      </c>
      <c r="D382" s="10">
        <v>981.0</v>
      </c>
      <c r="E382" s="8" t="s">
        <v>532</v>
      </c>
      <c r="F382" s="11" t="s">
        <v>37</v>
      </c>
      <c r="G382" s="12" t="s">
        <v>27</v>
      </c>
      <c r="H382" s="13">
        <v>417.6</v>
      </c>
      <c r="I382" s="14">
        <v>10.0</v>
      </c>
      <c r="J382" s="15" t="s">
        <v>38</v>
      </c>
      <c r="K382" s="16">
        <v>0.5</v>
      </c>
      <c r="L382" s="17">
        <f t="shared" si="1"/>
        <v>5</v>
      </c>
      <c r="M382" s="17">
        <f t="shared" si="2"/>
        <v>5</v>
      </c>
      <c r="N382" s="18">
        <f t="shared" si="3"/>
        <v>208.8</v>
      </c>
      <c r="O382" s="18">
        <f t="shared" si="4"/>
        <v>208.8</v>
      </c>
      <c r="P382" s="18">
        <f t="shared" si="5"/>
        <v>208.8</v>
      </c>
      <c r="Q382" s="8">
        <v>0.0</v>
      </c>
      <c r="R382" s="18">
        <f t="shared" si="6"/>
        <v>41.76</v>
      </c>
      <c r="S382" s="19" t="s">
        <v>29</v>
      </c>
      <c r="T382" s="19" t="s">
        <v>30</v>
      </c>
      <c r="U382" s="20" t="s">
        <v>533</v>
      </c>
      <c r="V382" s="37"/>
      <c r="W382" s="7"/>
      <c r="X382" s="7"/>
      <c r="Y382" s="7"/>
      <c r="Z382" s="7"/>
      <c r="AA382" s="7"/>
    </row>
    <row r="383" ht="18.75" customHeight="1">
      <c r="A383" s="22" t="s">
        <v>470</v>
      </c>
      <c r="B383" s="23" t="s">
        <v>471</v>
      </c>
      <c r="C383" s="23" t="s">
        <v>24</v>
      </c>
      <c r="D383" s="24">
        <v>982.0</v>
      </c>
      <c r="E383" s="22" t="s">
        <v>561</v>
      </c>
      <c r="F383" s="25" t="s">
        <v>37</v>
      </c>
      <c r="G383" s="26" t="s">
        <v>27</v>
      </c>
      <c r="H383" s="27">
        <v>529.0</v>
      </c>
      <c r="I383" s="28">
        <v>10.0</v>
      </c>
      <c r="J383" s="29" t="s">
        <v>54</v>
      </c>
      <c r="K383" s="30">
        <v>0.3</v>
      </c>
      <c r="L383" s="31">
        <f t="shared" si="1"/>
        <v>3</v>
      </c>
      <c r="M383" s="31">
        <f t="shared" si="2"/>
        <v>7</v>
      </c>
      <c r="N383" s="32">
        <f t="shared" si="3"/>
        <v>158.7</v>
      </c>
      <c r="O383" s="32">
        <f t="shared" si="4"/>
        <v>370.3</v>
      </c>
      <c r="P383" s="32">
        <f t="shared" si="5"/>
        <v>370.3</v>
      </c>
      <c r="Q383" s="22">
        <v>0.0</v>
      </c>
      <c r="R383" s="32">
        <f t="shared" si="6"/>
        <v>52.9</v>
      </c>
      <c r="S383" s="33" t="s">
        <v>29</v>
      </c>
      <c r="T383" s="33" t="s">
        <v>30</v>
      </c>
      <c r="U383" s="34" t="s">
        <v>275</v>
      </c>
      <c r="V383" s="35"/>
      <c r="W383" s="7"/>
      <c r="X383" s="7"/>
      <c r="Y383" s="7"/>
      <c r="Z383" s="7"/>
      <c r="AA383" s="7"/>
    </row>
    <row r="384" ht="18.75" customHeight="1">
      <c r="A384" s="8" t="s">
        <v>470</v>
      </c>
      <c r="B384" s="9" t="s">
        <v>471</v>
      </c>
      <c r="C384" s="9" t="s">
        <v>24</v>
      </c>
      <c r="D384" s="10">
        <v>984.0</v>
      </c>
      <c r="E384" s="8" t="s">
        <v>562</v>
      </c>
      <c r="F384" s="11" t="s">
        <v>37</v>
      </c>
      <c r="G384" s="12" t="s">
        <v>27</v>
      </c>
      <c r="H384" s="13">
        <v>1800.0</v>
      </c>
      <c r="I384" s="14">
        <v>10.0</v>
      </c>
      <c r="J384" s="15" t="s">
        <v>38</v>
      </c>
      <c r="K384" s="16">
        <v>0.5</v>
      </c>
      <c r="L384" s="17">
        <f t="shared" si="1"/>
        <v>5</v>
      </c>
      <c r="M384" s="17">
        <f t="shared" si="2"/>
        <v>5</v>
      </c>
      <c r="N384" s="18">
        <f t="shared" si="3"/>
        <v>900</v>
      </c>
      <c r="O384" s="18">
        <f t="shared" si="4"/>
        <v>900</v>
      </c>
      <c r="P384" s="18">
        <f t="shared" si="5"/>
        <v>900</v>
      </c>
      <c r="Q384" s="8">
        <v>0.0</v>
      </c>
      <c r="R384" s="18">
        <f t="shared" si="6"/>
        <v>180</v>
      </c>
      <c r="S384" s="19" t="s">
        <v>29</v>
      </c>
      <c r="T384" s="19" t="s">
        <v>30</v>
      </c>
      <c r="U384" s="36" t="s">
        <v>563</v>
      </c>
      <c r="V384" s="37"/>
      <c r="W384" s="7"/>
      <c r="X384" s="7"/>
      <c r="Y384" s="7"/>
      <c r="Z384" s="7"/>
      <c r="AA384" s="7"/>
    </row>
    <row r="385" ht="18.75" customHeight="1">
      <c r="A385" s="22" t="s">
        <v>470</v>
      </c>
      <c r="B385" s="23" t="s">
        <v>471</v>
      </c>
      <c r="C385" s="23" t="s">
        <v>24</v>
      </c>
      <c r="D385" s="24">
        <v>985.0</v>
      </c>
      <c r="E385" s="22" t="s">
        <v>564</v>
      </c>
      <c r="F385" s="25" t="s">
        <v>26</v>
      </c>
      <c r="G385" s="26" t="s">
        <v>27</v>
      </c>
      <c r="H385" s="27">
        <v>798.0</v>
      </c>
      <c r="I385" s="28">
        <v>5.0</v>
      </c>
      <c r="J385" s="29" t="s">
        <v>54</v>
      </c>
      <c r="K385" s="30">
        <v>0.3</v>
      </c>
      <c r="L385" s="31">
        <f t="shared" si="1"/>
        <v>1.5</v>
      </c>
      <c r="M385" s="31">
        <f t="shared" si="2"/>
        <v>3.5</v>
      </c>
      <c r="N385" s="32">
        <f t="shared" si="3"/>
        <v>239.4</v>
      </c>
      <c r="O385" s="32">
        <f t="shared" si="4"/>
        <v>558.6</v>
      </c>
      <c r="P385" s="32">
        <f t="shared" si="5"/>
        <v>558.6</v>
      </c>
      <c r="Q385" s="22">
        <v>0.0</v>
      </c>
      <c r="R385" s="32">
        <f t="shared" si="6"/>
        <v>159.6</v>
      </c>
      <c r="S385" s="33" t="s">
        <v>29</v>
      </c>
      <c r="T385" s="33" t="s">
        <v>30</v>
      </c>
      <c r="U385" s="34" t="s">
        <v>111</v>
      </c>
      <c r="V385" s="35"/>
      <c r="W385" s="7"/>
      <c r="X385" s="7"/>
      <c r="Y385" s="7"/>
      <c r="Z385" s="7"/>
      <c r="AA385" s="7"/>
    </row>
    <row r="386" ht="18.75" customHeight="1">
      <c r="A386" s="8" t="s">
        <v>470</v>
      </c>
      <c r="B386" s="9" t="s">
        <v>471</v>
      </c>
      <c r="C386" s="9" t="s">
        <v>24</v>
      </c>
      <c r="D386" s="10">
        <v>988.0</v>
      </c>
      <c r="E386" s="8" t="s">
        <v>565</v>
      </c>
      <c r="F386" s="11" t="s">
        <v>37</v>
      </c>
      <c r="G386" s="12" t="s">
        <v>27</v>
      </c>
      <c r="H386" s="13">
        <v>332.91</v>
      </c>
      <c r="I386" s="14">
        <v>10.0</v>
      </c>
      <c r="J386" s="15" t="s">
        <v>28</v>
      </c>
      <c r="K386" s="16">
        <v>0.4</v>
      </c>
      <c r="L386" s="17">
        <f t="shared" si="1"/>
        <v>4</v>
      </c>
      <c r="M386" s="17">
        <f t="shared" si="2"/>
        <v>6</v>
      </c>
      <c r="N386" s="18">
        <f t="shared" si="3"/>
        <v>133.164</v>
      </c>
      <c r="O386" s="18">
        <f t="shared" si="4"/>
        <v>199.746</v>
      </c>
      <c r="P386" s="18">
        <f t="shared" si="5"/>
        <v>199.746</v>
      </c>
      <c r="Q386" s="8">
        <v>0.0</v>
      </c>
      <c r="R386" s="18">
        <f t="shared" si="6"/>
        <v>33.291</v>
      </c>
      <c r="S386" s="19" t="s">
        <v>29</v>
      </c>
      <c r="T386" s="19" t="s">
        <v>30</v>
      </c>
      <c r="U386" s="20" t="s">
        <v>298</v>
      </c>
      <c r="V386" s="37"/>
      <c r="W386" s="7"/>
      <c r="X386" s="7"/>
      <c r="Y386" s="7"/>
      <c r="Z386" s="7"/>
      <c r="AA386" s="7"/>
    </row>
    <row r="387" ht="18.75" customHeight="1">
      <c r="A387" s="22" t="s">
        <v>470</v>
      </c>
      <c r="B387" s="23" t="s">
        <v>471</v>
      </c>
      <c r="C387" s="23" t="s">
        <v>24</v>
      </c>
      <c r="D387" s="24">
        <v>989.0</v>
      </c>
      <c r="E387" s="22" t="s">
        <v>566</v>
      </c>
      <c r="F387" s="25" t="s">
        <v>26</v>
      </c>
      <c r="G387" s="26" t="s">
        <v>27</v>
      </c>
      <c r="H387" s="27">
        <v>3104.1</v>
      </c>
      <c r="I387" s="28">
        <v>10.0</v>
      </c>
      <c r="J387" s="29" t="s">
        <v>38</v>
      </c>
      <c r="K387" s="30">
        <v>0.5</v>
      </c>
      <c r="L387" s="31">
        <f t="shared" si="1"/>
        <v>5</v>
      </c>
      <c r="M387" s="31">
        <f t="shared" si="2"/>
        <v>5</v>
      </c>
      <c r="N387" s="32">
        <f t="shared" si="3"/>
        <v>1552.05</v>
      </c>
      <c r="O387" s="32">
        <f t="shared" si="4"/>
        <v>1552.05</v>
      </c>
      <c r="P387" s="32">
        <f t="shared" si="5"/>
        <v>1552.05</v>
      </c>
      <c r="Q387" s="22">
        <v>0.0</v>
      </c>
      <c r="R387" s="32">
        <f t="shared" si="6"/>
        <v>310.41</v>
      </c>
      <c r="S387" s="33" t="s">
        <v>29</v>
      </c>
      <c r="T387" s="33" t="s">
        <v>30</v>
      </c>
      <c r="U387" s="34" t="s">
        <v>31</v>
      </c>
      <c r="V387" s="35"/>
      <c r="W387" s="7"/>
      <c r="X387" s="7"/>
      <c r="Y387" s="7"/>
      <c r="Z387" s="7"/>
      <c r="AA387" s="7"/>
    </row>
    <row r="388" ht="18.75" customHeight="1">
      <c r="A388" s="8" t="s">
        <v>470</v>
      </c>
      <c r="B388" s="9" t="s">
        <v>471</v>
      </c>
      <c r="C388" s="9" t="s">
        <v>24</v>
      </c>
      <c r="D388" s="10">
        <v>991.0</v>
      </c>
      <c r="E388" s="8" t="s">
        <v>567</v>
      </c>
      <c r="F388" s="11" t="s">
        <v>26</v>
      </c>
      <c r="G388" s="12" t="s">
        <v>27</v>
      </c>
      <c r="H388" s="13">
        <v>238.95</v>
      </c>
      <c r="I388" s="14">
        <v>5.0</v>
      </c>
      <c r="J388" s="15" t="s">
        <v>38</v>
      </c>
      <c r="K388" s="16">
        <v>0.5</v>
      </c>
      <c r="L388" s="17">
        <f t="shared" si="1"/>
        <v>2.5</v>
      </c>
      <c r="M388" s="17">
        <f t="shared" si="2"/>
        <v>2.5</v>
      </c>
      <c r="N388" s="18">
        <f t="shared" si="3"/>
        <v>119.475</v>
      </c>
      <c r="O388" s="18">
        <f t="shared" si="4"/>
        <v>119.475</v>
      </c>
      <c r="P388" s="18">
        <f t="shared" si="5"/>
        <v>119.475</v>
      </c>
      <c r="Q388" s="8">
        <v>0.0</v>
      </c>
      <c r="R388" s="18">
        <f t="shared" si="6"/>
        <v>47.79</v>
      </c>
      <c r="S388" s="19" t="s">
        <v>29</v>
      </c>
      <c r="T388" s="19" t="s">
        <v>30</v>
      </c>
      <c r="U388" s="20" t="s">
        <v>108</v>
      </c>
      <c r="V388" s="37"/>
      <c r="W388" s="7"/>
      <c r="X388" s="7"/>
      <c r="Y388" s="7"/>
      <c r="Z388" s="7"/>
      <c r="AA388" s="7"/>
    </row>
    <row r="389" ht="18.75" customHeight="1">
      <c r="A389" s="22" t="s">
        <v>470</v>
      </c>
      <c r="B389" s="23" t="s">
        <v>471</v>
      </c>
      <c r="C389" s="23" t="s">
        <v>24</v>
      </c>
      <c r="D389" s="24">
        <v>992.0</v>
      </c>
      <c r="E389" s="22" t="s">
        <v>568</v>
      </c>
      <c r="F389" s="25" t="s">
        <v>26</v>
      </c>
      <c r="G389" s="26" t="s">
        <v>27</v>
      </c>
      <c r="H389" s="27">
        <v>238.95</v>
      </c>
      <c r="I389" s="28">
        <v>5.0</v>
      </c>
      <c r="J389" s="29" t="s">
        <v>38</v>
      </c>
      <c r="K389" s="30">
        <v>0.5</v>
      </c>
      <c r="L389" s="31">
        <f t="shared" si="1"/>
        <v>2.5</v>
      </c>
      <c r="M389" s="31">
        <f t="shared" si="2"/>
        <v>2.5</v>
      </c>
      <c r="N389" s="32">
        <f t="shared" si="3"/>
        <v>119.475</v>
      </c>
      <c r="O389" s="32">
        <f t="shared" si="4"/>
        <v>119.475</v>
      </c>
      <c r="P389" s="32">
        <f t="shared" si="5"/>
        <v>119.475</v>
      </c>
      <c r="Q389" s="22">
        <v>0.0</v>
      </c>
      <c r="R389" s="32">
        <f t="shared" si="6"/>
        <v>47.79</v>
      </c>
      <c r="S389" s="33" t="s">
        <v>29</v>
      </c>
      <c r="T389" s="33" t="s">
        <v>30</v>
      </c>
      <c r="U389" s="34" t="s">
        <v>108</v>
      </c>
      <c r="V389" s="35"/>
      <c r="W389" s="7"/>
      <c r="X389" s="7"/>
      <c r="Y389" s="7"/>
      <c r="Z389" s="7"/>
      <c r="AA389" s="7"/>
    </row>
    <row r="390" ht="18.75" customHeight="1">
      <c r="A390" s="8" t="s">
        <v>470</v>
      </c>
      <c r="B390" s="9" t="s">
        <v>471</v>
      </c>
      <c r="C390" s="9" t="s">
        <v>24</v>
      </c>
      <c r="D390" s="10">
        <v>993.0</v>
      </c>
      <c r="E390" s="8" t="s">
        <v>569</v>
      </c>
      <c r="F390" s="11" t="s">
        <v>26</v>
      </c>
      <c r="G390" s="12" t="s">
        <v>27</v>
      </c>
      <c r="H390" s="13">
        <v>154.99</v>
      </c>
      <c r="I390" s="14">
        <v>5.0</v>
      </c>
      <c r="J390" s="15" t="s">
        <v>28</v>
      </c>
      <c r="K390" s="16">
        <v>0.4</v>
      </c>
      <c r="L390" s="17">
        <f t="shared" si="1"/>
        <v>2</v>
      </c>
      <c r="M390" s="17">
        <f t="shared" si="2"/>
        <v>3</v>
      </c>
      <c r="N390" s="18">
        <f t="shared" si="3"/>
        <v>61.996</v>
      </c>
      <c r="O390" s="18">
        <f t="shared" si="4"/>
        <v>92.994</v>
      </c>
      <c r="P390" s="18">
        <f t="shared" si="5"/>
        <v>92.994</v>
      </c>
      <c r="Q390" s="8">
        <v>0.0</v>
      </c>
      <c r="R390" s="18">
        <f t="shared" si="6"/>
        <v>30.998</v>
      </c>
      <c r="S390" s="19" t="s">
        <v>29</v>
      </c>
      <c r="T390" s="19" t="s">
        <v>30</v>
      </c>
      <c r="U390" s="20" t="s">
        <v>243</v>
      </c>
      <c r="V390" s="37"/>
      <c r="W390" s="7"/>
      <c r="X390" s="7"/>
      <c r="Y390" s="7"/>
      <c r="Z390" s="7"/>
      <c r="AA390" s="7"/>
    </row>
    <row r="391" ht="18.75" customHeight="1">
      <c r="A391" s="22" t="s">
        <v>470</v>
      </c>
      <c r="B391" s="23" t="s">
        <v>471</v>
      </c>
      <c r="C391" s="23" t="s">
        <v>24</v>
      </c>
      <c r="D391" s="24">
        <v>994.0</v>
      </c>
      <c r="E391" s="22" t="s">
        <v>570</v>
      </c>
      <c r="F391" s="25" t="s">
        <v>26</v>
      </c>
      <c r="G391" s="26" t="s">
        <v>27</v>
      </c>
      <c r="H391" s="27">
        <v>159.9</v>
      </c>
      <c r="I391" s="28">
        <v>5.0</v>
      </c>
      <c r="J391" s="41" t="s">
        <v>63</v>
      </c>
      <c r="K391" s="30">
        <v>0.700000000000002</v>
      </c>
      <c r="L391" s="31">
        <f t="shared" si="1"/>
        <v>3.5</v>
      </c>
      <c r="M391" s="31">
        <f t="shared" si="2"/>
        <v>1.5</v>
      </c>
      <c r="N391" s="32">
        <f t="shared" si="3"/>
        <v>111.93</v>
      </c>
      <c r="O391" s="32">
        <f t="shared" si="4"/>
        <v>47.97</v>
      </c>
      <c r="P391" s="32">
        <f t="shared" si="5"/>
        <v>47.97</v>
      </c>
      <c r="Q391" s="22">
        <v>0.0</v>
      </c>
      <c r="R391" s="32">
        <f t="shared" si="6"/>
        <v>31.98</v>
      </c>
      <c r="S391" s="33" t="s">
        <v>29</v>
      </c>
      <c r="T391" s="33" t="s">
        <v>30</v>
      </c>
      <c r="U391" s="34" t="s">
        <v>245</v>
      </c>
      <c r="V391" s="35"/>
      <c r="W391" s="7"/>
      <c r="X391" s="7"/>
      <c r="Y391" s="7"/>
      <c r="Z391" s="7"/>
      <c r="AA391" s="7"/>
    </row>
    <row r="392" ht="18.75" customHeight="1">
      <c r="A392" s="8" t="s">
        <v>470</v>
      </c>
      <c r="B392" s="9" t="s">
        <v>471</v>
      </c>
      <c r="C392" s="8" t="s">
        <v>24</v>
      </c>
      <c r="D392" s="50">
        <v>995.0</v>
      </c>
      <c r="E392" s="8" t="s">
        <v>571</v>
      </c>
      <c r="F392" s="11" t="s">
        <v>26</v>
      </c>
      <c r="G392" s="12" t="s">
        <v>27</v>
      </c>
      <c r="H392" s="13">
        <v>378.64</v>
      </c>
      <c r="I392" s="14">
        <v>5.0</v>
      </c>
      <c r="J392" s="15" t="s">
        <v>38</v>
      </c>
      <c r="K392" s="16">
        <v>0.5</v>
      </c>
      <c r="L392" s="17">
        <f t="shared" si="1"/>
        <v>2.5</v>
      </c>
      <c r="M392" s="17">
        <f t="shared" si="2"/>
        <v>2.5</v>
      </c>
      <c r="N392" s="18">
        <f t="shared" si="3"/>
        <v>189.32</v>
      </c>
      <c r="O392" s="18">
        <f t="shared" si="4"/>
        <v>189.32</v>
      </c>
      <c r="P392" s="18">
        <f t="shared" si="5"/>
        <v>189.32</v>
      </c>
      <c r="Q392" s="8">
        <v>0.0</v>
      </c>
      <c r="R392" s="18">
        <f t="shared" si="6"/>
        <v>75.728</v>
      </c>
      <c r="S392" s="19" t="s">
        <v>29</v>
      </c>
      <c r="T392" s="19" t="s">
        <v>30</v>
      </c>
      <c r="U392" s="36" t="s">
        <v>572</v>
      </c>
      <c r="V392" s="37"/>
      <c r="W392" s="7"/>
      <c r="X392" s="7"/>
      <c r="Y392" s="7"/>
      <c r="Z392" s="7"/>
      <c r="AA392" s="7"/>
    </row>
    <row r="393" ht="18.75" customHeight="1">
      <c r="A393" s="22" t="s">
        <v>470</v>
      </c>
      <c r="B393" s="23" t="s">
        <v>471</v>
      </c>
      <c r="C393" s="23" t="s">
        <v>24</v>
      </c>
      <c r="D393" s="24">
        <v>996.0</v>
      </c>
      <c r="E393" s="22" t="s">
        <v>573</v>
      </c>
      <c r="F393" s="25" t="s">
        <v>37</v>
      </c>
      <c r="G393" s="26" t="s">
        <v>27</v>
      </c>
      <c r="H393" s="27">
        <v>410.0</v>
      </c>
      <c r="I393" s="28">
        <v>10.0</v>
      </c>
      <c r="J393" s="29" t="s">
        <v>38</v>
      </c>
      <c r="K393" s="30">
        <v>0.5</v>
      </c>
      <c r="L393" s="31">
        <f t="shared" si="1"/>
        <v>5</v>
      </c>
      <c r="M393" s="31">
        <f t="shared" si="2"/>
        <v>5</v>
      </c>
      <c r="N393" s="32">
        <f t="shared" si="3"/>
        <v>205</v>
      </c>
      <c r="O393" s="32">
        <f t="shared" si="4"/>
        <v>205</v>
      </c>
      <c r="P393" s="32">
        <f t="shared" si="5"/>
        <v>205</v>
      </c>
      <c r="Q393" s="22">
        <v>0.0</v>
      </c>
      <c r="R393" s="32">
        <f t="shared" si="6"/>
        <v>41</v>
      </c>
      <c r="S393" s="33" t="s">
        <v>29</v>
      </c>
      <c r="T393" s="33" t="s">
        <v>30</v>
      </c>
      <c r="U393" s="38" t="s">
        <v>39</v>
      </c>
      <c r="V393" s="35"/>
      <c r="W393" s="7"/>
      <c r="X393" s="7"/>
      <c r="Y393" s="7"/>
      <c r="Z393" s="7"/>
      <c r="AA393" s="7"/>
    </row>
    <row r="394" ht="18.75" customHeight="1">
      <c r="A394" s="8" t="s">
        <v>470</v>
      </c>
      <c r="B394" s="9" t="s">
        <v>471</v>
      </c>
      <c r="C394" s="9" t="s">
        <v>24</v>
      </c>
      <c r="D394" s="10">
        <v>997.0</v>
      </c>
      <c r="E394" s="8" t="s">
        <v>574</v>
      </c>
      <c r="F394" s="11" t="s">
        <v>26</v>
      </c>
      <c r="G394" s="12" t="s">
        <v>27</v>
      </c>
      <c r="H394" s="13">
        <v>1586.97</v>
      </c>
      <c r="I394" s="14">
        <v>10.0</v>
      </c>
      <c r="J394" s="15" t="s">
        <v>54</v>
      </c>
      <c r="K394" s="16">
        <v>0.3</v>
      </c>
      <c r="L394" s="17">
        <f t="shared" si="1"/>
        <v>3</v>
      </c>
      <c r="M394" s="17">
        <f t="shared" si="2"/>
        <v>7</v>
      </c>
      <c r="N394" s="18">
        <f t="shared" si="3"/>
        <v>476.091</v>
      </c>
      <c r="O394" s="18">
        <f t="shared" si="4"/>
        <v>1110.879</v>
      </c>
      <c r="P394" s="18">
        <f t="shared" si="5"/>
        <v>1110.879</v>
      </c>
      <c r="Q394" s="8">
        <v>0.0</v>
      </c>
      <c r="R394" s="18">
        <f t="shared" si="6"/>
        <v>158.697</v>
      </c>
      <c r="S394" s="19" t="s">
        <v>29</v>
      </c>
      <c r="T394" s="19" t="s">
        <v>30</v>
      </c>
      <c r="U394" s="20" t="s">
        <v>575</v>
      </c>
      <c r="V394" s="37"/>
      <c r="W394" s="7"/>
      <c r="X394" s="7"/>
      <c r="Y394" s="7"/>
      <c r="Z394" s="7"/>
      <c r="AA394" s="7"/>
    </row>
    <row r="395" ht="18.75" customHeight="1">
      <c r="A395" s="22" t="s">
        <v>470</v>
      </c>
      <c r="B395" s="23" t="s">
        <v>471</v>
      </c>
      <c r="C395" s="23" t="s">
        <v>24</v>
      </c>
      <c r="D395" s="24">
        <v>998.0</v>
      </c>
      <c r="E395" s="22" t="s">
        <v>576</v>
      </c>
      <c r="F395" s="25" t="s">
        <v>26</v>
      </c>
      <c r="G395" s="26" t="s">
        <v>27</v>
      </c>
      <c r="H395" s="27">
        <v>199.0</v>
      </c>
      <c r="I395" s="28">
        <v>10.0</v>
      </c>
      <c r="J395" s="29" t="s">
        <v>154</v>
      </c>
      <c r="K395" s="30">
        <v>0.8</v>
      </c>
      <c r="L395" s="31">
        <f t="shared" si="1"/>
        <v>8</v>
      </c>
      <c r="M395" s="31">
        <f t="shared" si="2"/>
        <v>2</v>
      </c>
      <c r="N395" s="32">
        <f t="shared" si="3"/>
        <v>159.2</v>
      </c>
      <c r="O395" s="32">
        <f t="shared" si="4"/>
        <v>39.8</v>
      </c>
      <c r="P395" s="32">
        <f t="shared" si="5"/>
        <v>39.8</v>
      </c>
      <c r="Q395" s="22">
        <v>0.0</v>
      </c>
      <c r="R395" s="32">
        <f t="shared" si="6"/>
        <v>19.9</v>
      </c>
      <c r="S395" s="33" t="s">
        <v>29</v>
      </c>
      <c r="T395" s="33" t="s">
        <v>30</v>
      </c>
      <c r="U395" s="34" t="s">
        <v>266</v>
      </c>
      <c r="V395" s="35"/>
      <c r="W395" s="7"/>
      <c r="X395" s="7"/>
      <c r="Y395" s="7"/>
      <c r="Z395" s="7"/>
      <c r="AA395" s="7"/>
    </row>
    <row r="396" ht="18.75" customHeight="1">
      <c r="A396" s="8" t="s">
        <v>470</v>
      </c>
      <c r="B396" s="9" t="s">
        <v>471</v>
      </c>
      <c r="C396" s="9" t="s">
        <v>24</v>
      </c>
      <c r="D396" s="10">
        <v>999.0</v>
      </c>
      <c r="E396" s="8" t="s">
        <v>561</v>
      </c>
      <c r="F396" s="11" t="s">
        <v>37</v>
      </c>
      <c r="G396" s="12" t="s">
        <v>27</v>
      </c>
      <c r="H396" s="13">
        <v>529.0</v>
      </c>
      <c r="I396" s="14">
        <v>10.0</v>
      </c>
      <c r="J396" s="15" t="s">
        <v>54</v>
      </c>
      <c r="K396" s="16">
        <v>0.3</v>
      </c>
      <c r="L396" s="17">
        <f t="shared" si="1"/>
        <v>3</v>
      </c>
      <c r="M396" s="17">
        <f t="shared" si="2"/>
        <v>7</v>
      </c>
      <c r="N396" s="18">
        <f t="shared" si="3"/>
        <v>158.7</v>
      </c>
      <c r="O396" s="18">
        <f t="shared" si="4"/>
        <v>370.3</v>
      </c>
      <c r="P396" s="18">
        <f t="shared" si="5"/>
        <v>370.3</v>
      </c>
      <c r="Q396" s="8">
        <v>0.0</v>
      </c>
      <c r="R396" s="18">
        <f t="shared" si="6"/>
        <v>52.9</v>
      </c>
      <c r="S396" s="19" t="s">
        <v>29</v>
      </c>
      <c r="T396" s="19" t="s">
        <v>30</v>
      </c>
      <c r="U396" s="20" t="s">
        <v>275</v>
      </c>
      <c r="V396" s="37"/>
      <c r="W396" s="7"/>
      <c r="X396" s="7"/>
      <c r="Y396" s="7"/>
      <c r="Z396" s="7"/>
      <c r="AA396" s="7"/>
    </row>
    <row r="397" ht="18.75" customHeight="1">
      <c r="A397" s="22" t="s">
        <v>470</v>
      </c>
      <c r="B397" s="23" t="s">
        <v>471</v>
      </c>
      <c r="C397" s="23" t="s">
        <v>24</v>
      </c>
      <c r="D397" s="24">
        <v>1000.0</v>
      </c>
      <c r="E397" s="22" t="s">
        <v>577</v>
      </c>
      <c r="F397" s="25" t="s">
        <v>26</v>
      </c>
      <c r="G397" s="26" t="s">
        <v>27</v>
      </c>
      <c r="H397" s="27">
        <v>1478.0</v>
      </c>
      <c r="I397" s="28">
        <v>5.0</v>
      </c>
      <c r="J397" s="45" t="s">
        <v>63</v>
      </c>
      <c r="K397" s="42">
        <v>0.700000000000002</v>
      </c>
      <c r="L397" s="31">
        <f t="shared" si="1"/>
        <v>3.5</v>
      </c>
      <c r="M397" s="31">
        <f t="shared" si="2"/>
        <v>1.5</v>
      </c>
      <c r="N397" s="32">
        <f t="shared" si="3"/>
        <v>1034.6</v>
      </c>
      <c r="O397" s="32">
        <f t="shared" si="4"/>
        <v>443.4</v>
      </c>
      <c r="P397" s="32">
        <f t="shared" si="5"/>
        <v>443.4</v>
      </c>
      <c r="Q397" s="22">
        <v>0.0</v>
      </c>
      <c r="R397" s="32">
        <f t="shared" si="6"/>
        <v>295.6</v>
      </c>
      <c r="S397" s="33" t="s">
        <v>29</v>
      </c>
      <c r="T397" s="33" t="s">
        <v>30</v>
      </c>
      <c r="U397" s="34" t="s">
        <v>264</v>
      </c>
      <c r="V397" s="35"/>
      <c r="W397" s="7"/>
      <c r="X397" s="7"/>
      <c r="Y397" s="7"/>
      <c r="Z397" s="7"/>
      <c r="AA397" s="7"/>
    </row>
    <row r="398" ht="18.75" customHeight="1">
      <c r="A398" s="8" t="s">
        <v>470</v>
      </c>
      <c r="B398" s="9" t="s">
        <v>471</v>
      </c>
      <c r="C398" s="9" t="s">
        <v>24</v>
      </c>
      <c r="D398" s="10">
        <v>1001.0</v>
      </c>
      <c r="E398" s="8" t="s">
        <v>561</v>
      </c>
      <c r="F398" s="11" t="s">
        <v>37</v>
      </c>
      <c r="G398" s="12" t="s">
        <v>27</v>
      </c>
      <c r="H398" s="13">
        <v>529.0</v>
      </c>
      <c r="I398" s="14">
        <v>10.0</v>
      </c>
      <c r="J398" s="15" t="s">
        <v>54</v>
      </c>
      <c r="K398" s="16">
        <v>0.3</v>
      </c>
      <c r="L398" s="17">
        <f t="shared" si="1"/>
        <v>3</v>
      </c>
      <c r="M398" s="17">
        <f t="shared" si="2"/>
        <v>7</v>
      </c>
      <c r="N398" s="18">
        <f t="shared" si="3"/>
        <v>158.7</v>
      </c>
      <c r="O398" s="18">
        <f t="shared" si="4"/>
        <v>370.3</v>
      </c>
      <c r="P398" s="18">
        <f t="shared" si="5"/>
        <v>370.3</v>
      </c>
      <c r="Q398" s="8">
        <v>0.0</v>
      </c>
      <c r="R398" s="18">
        <f t="shared" si="6"/>
        <v>52.9</v>
      </c>
      <c r="S398" s="19" t="s">
        <v>29</v>
      </c>
      <c r="T398" s="19" t="s">
        <v>30</v>
      </c>
      <c r="U398" s="20" t="s">
        <v>275</v>
      </c>
      <c r="V398" s="37"/>
      <c r="W398" s="7"/>
      <c r="X398" s="7"/>
      <c r="Y398" s="7"/>
      <c r="Z398" s="7"/>
      <c r="AA398" s="7"/>
    </row>
    <row r="399" ht="18.75" customHeight="1">
      <c r="A399" s="22" t="s">
        <v>470</v>
      </c>
      <c r="B399" s="23" t="s">
        <v>471</v>
      </c>
      <c r="C399" s="23" t="s">
        <v>24</v>
      </c>
      <c r="D399" s="24">
        <v>1002.0</v>
      </c>
      <c r="E399" s="22" t="s">
        <v>578</v>
      </c>
      <c r="F399" s="25" t="s">
        <v>26</v>
      </c>
      <c r="G399" s="26" t="s">
        <v>27</v>
      </c>
      <c r="H399" s="27">
        <v>2563.29</v>
      </c>
      <c r="I399" s="28">
        <v>5.0</v>
      </c>
      <c r="J399" s="29" t="s">
        <v>154</v>
      </c>
      <c r="K399" s="30">
        <v>0.8</v>
      </c>
      <c r="L399" s="31">
        <f t="shared" si="1"/>
        <v>4</v>
      </c>
      <c r="M399" s="31">
        <f t="shared" si="2"/>
        <v>1</v>
      </c>
      <c r="N399" s="32">
        <f t="shared" si="3"/>
        <v>2050.632</v>
      </c>
      <c r="O399" s="32">
        <f t="shared" si="4"/>
        <v>512.658</v>
      </c>
      <c r="P399" s="32">
        <f t="shared" si="5"/>
        <v>512.658</v>
      </c>
      <c r="Q399" s="22">
        <v>0.0</v>
      </c>
      <c r="R399" s="32">
        <f t="shared" si="6"/>
        <v>512.658</v>
      </c>
      <c r="S399" s="33" t="s">
        <v>29</v>
      </c>
      <c r="T399" s="33" t="s">
        <v>30</v>
      </c>
      <c r="U399" s="34" t="s">
        <v>260</v>
      </c>
      <c r="V399" s="35"/>
      <c r="W399" s="7"/>
      <c r="X399" s="7"/>
      <c r="Y399" s="7"/>
      <c r="Z399" s="7"/>
      <c r="AA399" s="7"/>
    </row>
    <row r="400" ht="18.75" customHeight="1">
      <c r="A400" s="8" t="s">
        <v>470</v>
      </c>
      <c r="B400" s="9" t="s">
        <v>471</v>
      </c>
      <c r="C400" s="9" t="s">
        <v>24</v>
      </c>
      <c r="D400" s="10">
        <v>1003.0</v>
      </c>
      <c r="E400" s="8" t="s">
        <v>579</v>
      </c>
      <c r="F400" s="11" t="s">
        <v>37</v>
      </c>
      <c r="G400" s="12" t="s">
        <v>27</v>
      </c>
      <c r="H400" s="13">
        <v>410.0</v>
      </c>
      <c r="I400" s="14">
        <v>10.0</v>
      </c>
      <c r="J400" s="15" t="s">
        <v>28</v>
      </c>
      <c r="K400" s="16">
        <v>0.4</v>
      </c>
      <c r="L400" s="17">
        <f t="shared" si="1"/>
        <v>4</v>
      </c>
      <c r="M400" s="17">
        <f t="shared" si="2"/>
        <v>6</v>
      </c>
      <c r="N400" s="18">
        <f t="shared" si="3"/>
        <v>164</v>
      </c>
      <c r="O400" s="18">
        <f t="shared" si="4"/>
        <v>246</v>
      </c>
      <c r="P400" s="18">
        <f t="shared" si="5"/>
        <v>246</v>
      </c>
      <c r="Q400" s="8">
        <v>0.0</v>
      </c>
      <c r="R400" s="18">
        <f t="shared" si="6"/>
        <v>41</v>
      </c>
      <c r="S400" s="19" t="s">
        <v>29</v>
      </c>
      <c r="T400" s="19" t="s">
        <v>30</v>
      </c>
      <c r="U400" s="36" t="s">
        <v>39</v>
      </c>
      <c r="V400" s="37"/>
      <c r="W400" s="7"/>
      <c r="X400" s="7"/>
      <c r="Y400" s="7"/>
      <c r="Z400" s="7"/>
      <c r="AA400" s="7"/>
    </row>
    <row r="401" ht="18.75" customHeight="1">
      <c r="A401" s="22" t="s">
        <v>470</v>
      </c>
      <c r="B401" s="23" t="s">
        <v>471</v>
      </c>
      <c r="C401" s="23" t="s">
        <v>24</v>
      </c>
      <c r="D401" s="24">
        <v>1004.0</v>
      </c>
      <c r="E401" s="22" t="s">
        <v>579</v>
      </c>
      <c r="F401" s="25" t="s">
        <v>37</v>
      </c>
      <c r="G401" s="26" t="s">
        <v>27</v>
      </c>
      <c r="H401" s="27">
        <v>410.0</v>
      </c>
      <c r="I401" s="28">
        <v>10.0</v>
      </c>
      <c r="J401" s="29" t="s">
        <v>38</v>
      </c>
      <c r="K401" s="30">
        <v>0.5</v>
      </c>
      <c r="L401" s="31">
        <f t="shared" si="1"/>
        <v>5</v>
      </c>
      <c r="M401" s="31">
        <f t="shared" si="2"/>
        <v>5</v>
      </c>
      <c r="N401" s="32">
        <f t="shared" si="3"/>
        <v>205</v>
      </c>
      <c r="O401" s="32">
        <f t="shared" si="4"/>
        <v>205</v>
      </c>
      <c r="P401" s="32">
        <f t="shared" si="5"/>
        <v>205</v>
      </c>
      <c r="Q401" s="22">
        <v>0.0</v>
      </c>
      <c r="R401" s="32">
        <f t="shared" si="6"/>
        <v>41</v>
      </c>
      <c r="S401" s="33" t="s">
        <v>29</v>
      </c>
      <c r="T401" s="33" t="s">
        <v>30</v>
      </c>
      <c r="U401" s="38" t="s">
        <v>39</v>
      </c>
      <c r="V401" s="35"/>
      <c r="W401" s="7"/>
      <c r="X401" s="7"/>
      <c r="Y401" s="7"/>
      <c r="Z401" s="7"/>
      <c r="AA401" s="7"/>
    </row>
    <row r="402" ht="18.75" customHeight="1">
      <c r="A402" s="8" t="s">
        <v>470</v>
      </c>
      <c r="B402" s="9" t="s">
        <v>471</v>
      </c>
      <c r="C402" s="9" t="s">
        <v>24</v>
      </c>
      <c r="D402" s="10">
        <v>1005.0</v>
      </c>
      <c r="E402" s="8" t="s">
        <v>580</v>
      </c>
      <c r="F402" s="11" t="s">
        <v>26</v>
      </c>
      <c r="G402" s="12" t="s">
        <v>27</v>
      </c>
      <c r="H402" s="13">
        <v>235.03</v>
      </c>
      <c r="I402" s="14">
        <v>10.0</v>
      </c>
      <c r="J402" s="15" t="s">
        <v>28</v>
      </c>
      <c r="K402" s="16">
        <v>0.4</v>
      </c>
      <c r="L402" s="17">
        <f t="shared" si="1"/>
        <v>4</v>
      </c>
      <c r="M402" s="17">
        <f t="shared" si="2"/>
        <v>6</v>
      </c>
      <c r="N402" s="18">
        <f t="shared" si="3"/>
        <v>94.012</v>
      </c>
      <c r="O402" s="18">
        <f t="shared" si="4"/>
        <v>141.018</v>
      </c>
      <c r="P402" s="18">
        <f t="shared" si="5"/>
        <v>141.018</v>
      </c>
      <c r="Q402" s="8">
        <v>0.0</v>
      </c>
      <c r="R402" s="18">
        <f t="shared" si="6"/>
        <v>23.503</v>
      </c>
      <c r="S402" s="19" t="s">
        <v>29</v>
      </c>
      <c r="T402" s="19" t="s">
        <v>30</v>
      </c>
      <c r="U402" s="20" t="s">
        <v>96</v>
      </c>
      <c r="V402" s="37"/>
      <c r="W402" s="7"/>
      <c r="X402" s="7"/>
      <c r="Y402" s="7"/>
      <c r="Z402" s="7"/>
      <c r="AA402" s="7"/>
    </row>
    <row r="403" ht="18.75" customHeight="1">
      <c r="A403" s="22" t="s">
        <v>470</v>
      </c>
      <c r="B403" s="23" t="s">
        <v>471</v>
      </c>
      <c r="C403" s="23" t="s">
        <v>24</v>
      </c>
      <c r="D403" s="24">
        <v>1006.0</v>
      </c>
      <c r="E403" s="22" t="s">
        <v>581</v>
      </c>
      <c r="F403" s="25" t="s">
        <v>26</v>
      </c>
      <c r="G403" s="26" t="s">
        <v>27</v>
      </c>
      <c r="H403" s="27">
        <v>2990.0</v>
      </c>
      <c r="I403" s="28">
        <v>10.0</v>
      </c>
      <c r="J403" s="29" t="s">
        <v>54</v>
      </c>
      <c r="K403" s="30">
        <v>0.3</v>
      </c>
      <c r="L403" s="31">
        <f t="shared" si="1"/>
        <v>3</v>
      </c>
      <c r="M403" s="31">
        <f t="shared" si="2"/>
        <v>7</v>
      </c>
      <c r="N403" s="32">
        <f t="shared" si="3"/>
        <v>897</v>
      </c>
      <c r="O403" s="32">
        <f t="shared" si="4"/>
        <v>2093</v>
      </c>
      <c r="P403" s="32">
        <f t="shared" si="5"/>
        <v>2093</v>
      </c>
      <c r="Q403" s="22">
        <v>0.0</v>
      </c>
      <c r="R403" s="32">
        <f t="shared" si="6"/>
        <v>299</v>
      </c>
      <c r="S403" s="33" t="s">
        <v>29</v>
      </c>
      <c r="T403" s="33" t="s">
        <v>30</v>
      </c>
      <c r="U403" s="38" t="s">
        <v>582</v>
      </c>
      <c r="V403" s="35"/>
      <c r="W403" s="7"/>
      <c r="X403" s="7"/>
      <c r="Y403" s="7"/>
      <c r="Z403" s="7"/>
      <c r="AA403" s="7"/>
    </row>
    <row r="404" ht="18.75" customHeight="1">
      <c r="A404" s="8" t="s">
        <v>470</v>
      </c>
      <c r="B404" s="9" t="s">
        <v>471</v>
      </c>
      <c r="C404" s="9" t="s">
        <v>24</v>
      </c>
      <c r="D404" s="10">
        <v>1007.0</v>
      </c>
      <c r="E404" s="8" t="s">
        <v>583</v>
      </c>
      <c r="F404" s="11" t="s">
        <v>26</v>
      </c>
      <c r="G404" s="12" t="s">
        <v>27</v>
      </c>
      <c r="H404" s="13">
        <v>387.0</v>
      </c>
      <c r="I404" s="14">
        <v>20.0</v>
      </c>
      <c r="J404" s="15" t="s">
        <v>54</v>
      </c>
      <c r="K404" s="16">
        <v>0.3</v>
      </c>
      <c r="L404" s="17">
        <f t="shared" si="1"/>
        <v>6</v>
      </c>
      <c r="M404" s="17">
        <f t="shared" si="2"/>
        <v>14</v>
      </c>
      <c r="N404" s="18">
        <f t="shared" si="3"/>
        <v>116.1</v>
      </c>
      <c r="O404" s="18">
        <f t="shared" si="4"/>
        <v>270.9</v>
      </c>
      <c r="P404" s="18">
        <f t="shared" si="5"/>
        <v>270.9</v>
      </c>
      <c r="Q404" s="8">
        <v>0.0</v>
      </c>
      <c r="R404" s="18">
        <f t="shared" si="6"/>
        <v>19.35</v>
      </c>
      <c r="S404" s="19" t="s">
        <v>29</v>
      </c>
      <c r="T404" s="19" t="s">
        <v>30</v>
      </c>
      <c r="U404" s="36" t="s">
        <v>584</v>
      </c>
      <c r="V404" s="37"/>
      <c r="W404" s="7"/>
      <c r="X404" s="7"/>
      <c r="Y404" s="7"/>
      <c r="Z404" s="7"/>
      <c r="AA404" s="7"/>
    </row>
    <row r="405" ht="18.75" customHeight="1">
      <c r="A405" s="22" t="s">
        <v>470</v>
      </c>
      <c r="B405" s="23" t="s">
        <v>471</v>
      </c>
      <c r="C405" s="23" t="s">
        <v>24</v>
      </c>
      <c r="D405" s="24">
        <v>1008.0</v>
      </c>
      <c r="E405" s="22" t="s">
        <v>585</v>
      </c>
      <c r="F405" s="25" t="s">
        <v>26</v>
      </c>
      <c r="G405" s="26" t="s">
        <v>27</v>
      </c>
      <c r="H405" s="27">
        <v>359.9</v>
      </c>
      <c r="I405" s="28">
        <v>5.0</v>
      </c>
      <c r="J405" s="29" t="s">
        <v>38</v>
      </c>
      <c r="K405" s="30">
        <v>0.5</v>
      </c>
      <c r="L405" s="31">
        <f t="shared" si="1"/>
        <v>2.5</v>
      </c>
      <c r="M405" s="31">
        <f t="shared" si="2"/>
        <v>2.5</v>
      </c>
      <c r="N405" s="32">
        <f t="shared" si="3"/>
        <v>179.95</v>
      </c>
      <c r="O405" s="32">
        <f t="shared" si="4"/>
        <v>179.95</v>
      </c>
      <c r="P405" s="32">
        <f t="shared" si="5"/>
        <v>179.95</v>
      </c>
      <c r="Q405" s="22">
        <v>0.0</v>
      </c>
      <c r="R405" s="32">
        <f t="shared" si="6"/>
        <v>71.98</v>
      </c>
      <c r="S405" s="33" t="s">
        <v>29</v>
      </c>
      <c r="T405" s="33" t="s">
        <v>30</v>
      </c>
      <c r="U405" s="34" t="s">
        <v>104</v>
      </c>
      <c r="V405" s="35"/>
      <c r="W405" s="7"/>
      <c r="X405" s="7"/>
      <c r="Y405" s="7"/>
      <c r="Z405" s="7"/>
      <c r="AA405" s="7"/>
    </row>
    <row r="406" ht="18.75" customHeight="1">
      <c r="A406" s="8" t="s">
        <v>470</v>
      </c>
      <c r="B406" s="9" t="s">
        <v>471</v>
      </c>
      <c r="C406" s="9" t="s">
        <v>24</v>
      </c>
      <c r="D406" s="10">
        <v>1009.0</v>
      </c>
      <c r="E406" s="8" t="s">
        <v>586</v>
      </c>
      <c r="F406" s="11" t="s">
        <v>26</v>
      </c>
      <c r="G406" s="12" t="s">
        <v>27</v>
      </c>
      <c r="H406" s="13">
        <v>1749.0</v>
      </c>
      <c r="I406" s="14">
        <v>10.0</v>
      </c>
      <c r="J406" s="48" t="s">
        <v>63</v>
      </c>
      <c r="K406" s="16">
        <v>0.700000000000002</v>
      </c>
      <c r="L406" s="17">
        <f t="shared" si="1"/>
        <v>7</v>
      </c>
      <c r="M406" s="17">
        <f t="shared" si="2"/>
        <v>3</v>
      </c>
      <c r="N406" s="18">
        <f t="shared" si="3"/>
        <v>1224.3</v>
      </c>
      <c r="O406" s="18">
        <f t="shared" si="4"/>
        <v>524.7</v>
      </c>
      <c r="P406" s="18">
        <f t="shared" si="5"/>
        <v>524.7</v>
      </c>
      <c r="Q406" s="8">
        <v>0.0</v>
      </c>
      <c r="R406" s="18">
        <f t="shared" si="6"/>
        <v>174.9</v>
      </c>
      <c r="S406" s="19" t="s">
        <v>29</v>
      </c>
      <c r="T406" s="19" t="s">
        <v>30</v>
      </c>
      <c r="U406" s="20" t="s">
        <v>255</v>
      </c>
      <c r="V406" s="37"/>
      <c r="W406" s="7"/>
      <c r="X406" s="7"/>
      <c r="Y406" s="7"/>
      <c r="Z406" s="7"/>
      <c r="AA406" s="7"/>
    </row>
    <row r="407" ht="18.75" customHeight="1">
      <c r="A407" s="22" t="s">
        <v>470</v>
      </c>
      <c r="B407" s="23" t="s">
        <v>471</v>
      </c>
      <c r="C407" s="23" t="s">
        <v>528</v>
      </c>
      <c r="D407" s="24">
        <v>1010.0</v>
      </c>
      <c r="E407" s="22" t="s">
        <v>587</v>
      </c>
      <c r="F407" s="25" t="s">
        <v>37</v>
      </c>
      <c r="G407" s="26" t="s">
        <v>27</v>
      </c>
      <c r="H407" s="27">
        <v>945.0</v>
      </c>
      <c r="I407" s="28">
        <v>15.0</v>
      </c>
      <c r="J407" s="29" t="s">
        <v>54</v>
      </c>
      <c r="K407" s="30">
        <v>0.3</v>
      </c>
      <c r="L407" s="31">
        <f t="shared" si="1"/>
        <v>4.5</v>
      </c>
      <c r="M407" s="31">
        <f t="shared" si="2"/>
        <v>10.5</v>
      </c>
      <c r="N407" s="32">
        <f t="shared" si="3"/>
        <v>283.5</v>
      </c>
      <c r="O407" s="32">
        <f t="shared" si="4"/>
        <v>661.5</v>
      </c>
      <c r="P407" s="32">
        <f t="shared" si="5"/>
        <v>661.5</v>
      </c>
      <c r="Q407" s="22">
        <v>0.0</v>
      </c>
      <c r="R407" s="32">
        <f t="shared" si="6"/>
        <v>63</v>
      </c>
      <c r="S407" s="33" t="s">
        <v>29</v>
      </c>
      <c r="T407" s="33" t="s">
        <v>30</v>
      </c>
      <c r="U407" s="34" t="s">
        <v>205</v>
      </c>
      <c r="V407" s="35"/>
      <c r="W407" s="7"/>
      <c r="X407" s="7"/>
      <c r="Y407" s="7"/>
      <c r="Z407" s="7"/>
      <c r="AA407" s="7"/>
    </row>
    <row r="408" ht="18.75" customHeight="1">
      <c r="A408" s="8" t="s">
        <v>470</v>
      </c>
      <c r="B408" s="9" t="s">
        <v>471</v>
      </c>
      <c r="C408" s="9" t="s">
        <v>588</v>
      </c>
      <c r="D408" s="10">
        <v>1011.0</v>
      </c>
      <c r="E408" s="8" t="s">
        <v>589</v>
      </c>
      <c r="F408" s="11" t="s">
        <v>37</v>
      </c>
      <c r="G408" s="12" t="s">
        <v>27</v>
      </c>
      <c r="H408" s="13">
        <v>1300.12</v>
      </c>
      <c r="I408" s="14">
        <v>15.0</v>
      </c>
      <c r="J408" s="15" t="s">
        <v>54</v>
      </c>
      <c r="K408" s="16">
        <v>0.3</v>
      </c>
      <c r="L408" s="17">
        <f t="shared" si="1"/>
        <v>4.5</v>
      </c>
      <c r="M408" s="17">
        <f t="shared" si="2"/>
        <v>10.5</v>
      </c>
      <c r="N408" s="18">
        <f t="shared" si="3"/>
        <v>390.036</v>
      </c>
      <c r="O408" s="18">
        <f t="shared" si="4"/>
        <v>910.084</v>
      </c>
      <c r="P408" s="18">
        <f t="shared" si="5"/>
        <v>910.084</v>
      </c>
      <c r="Q408" s="8">
        <v>0.0</v>
      </c>
      <c r="R408" s="18">
        <f t="shared" si="6"/>
        <v>86.67466667</v>
      </c>
      <c r="S408" s="19" t="s">
        <v>29</v>
      </c>
      <c r="T408" s="19" t="s">
        <v>30</v>
      </c>
      <c r="U408" s="20" t="s">
        <v>229</v>
      </c>
      <c r="V408" s="37"/>
      <c r="W408" s="7"/>
      <c r="X408" s="7"/>
      <c r="Y408" s="7"/>
      <c r="Z408" s="7"/>
      <c r="AA408" s="7"/>
    </row>
    <row r="409" ht="18.75" customHeight="1">
      <c r="A409" s="22" t="s">
        <v>470</v>
      </c>
      <c r="B409" s="23" t="s">
        <v>471</v>
      </c>
      <c r="C409" s="23" t="s">
        <v>24</v>
      </c>
      <c r="D409" s="24">
        <v>1012.0</v>
      </c>
      <c r="E409" s="22" t="s">
        <v>590</v>
      </c>
      <c r="F409" s="25" t="s">
        <v>26</v>
      </c>
      <c r="G409" s="26" t="s">
        <v>27</v>
      </c>
      <c r="H409" s="27">
        <v>1586.97</v>
      </c>
      <c r="I409" s="28">
        <v>10.0</v>
      </c>
      <c r="J409" s="29" t="s">
        <v>54</v>
      </c>
      <c r="K409" s="30">
        <v>0.3</v>
      </c>
      <c r="L409" s="31">
        <f t="shared" si="1"/>
        <v>3</v>
      </c>
      <c r="M409" s="31">
        <f t="shared" si="2"/>
        <v>7</v>
      </c>
      <c r="N409" s="32">
        <f t="shared" si="3"/>
        <v>476.091</v>
      </c>
      <c r="O409" s="32">
        <f t="shared" si="4"/>
        <v>1110.879</v>
      </c>
      <c r="P409" s="32">
        <f t="shared" si="5"/>
        <v>1110.879</v>
      </c>
      <c r="Q409" s="22">
        <v>0.0</v>
      </c>
      <c r="R409" s="32">
        <f t="shared" si="6"/>
        <v>158.697</v>
      </c>
      <c r="S409" s="33" t="s">
        <v>29</v>
      </c>
      <c r="T409" s="33" t="s">
        <v>30</v>
      </c>
      <c r="U409" s="34" t="s">
        <v>575</v>
      </c>
      <c r="V409" s="35"/>
      <c r="W409" s="7"/>
      <c r="X409" s="7"/>
      <c r="Y409" s="7"/>
      <c r="Z409" s="7"/>
      <c r="AA409" s="7"/>
    </row>
    <row r="410" ht="18.75" customHeight="1">
      <c r="A410" s="8" t="s">
        <v>470</v>
      </c>
      <c r="B410" s="9" t="s">
        <v>471</v>
      </c>
      <c r="C410" s="9" t="s">
        <v>24</v>
      </c>
      <c r="D410" s="10">
        <v>1013.0</v>
      </c>
      <c r="E410" s="8" t="s">
        <v>291</v>
      </c>
      <c r="F410" s="11" t="s">
        <v>26</v>
      </c>
      <c r="G410" s="12" t="s">
        <v>27</v>
      </c>
      <c r="H410" s="13">
        <v>450.0</v>
      </c>
      <c r="I410" s="14">
        <v>5.0</v>
      </c>
      <c r="J410" s="15" t="s">
        <v>38</v>
      </c>
      <c r="K410" s="16">
        <v>0.5</v>
      </c>
      <c r="L410" s="17">
        <f t="shared" si="1"/>
        <v>2.5</v>
      </c>
      <c r="M410" s="17">
        <f t="shared" si="2"/>
        <v>2.5</v>
      </c>
      <c r="N410" s="18">
        <f t="shared" si="3"/>
        <v>225</v>
      </c>
      <c r="O410" s="18">
        <f t="shared" si="4"/>
        <v>225</v>
      </c>
      <c r="P410" s="18">
        <f t="shared" si="5"/>
        <v>225</v>
      </c>
      <c r="Q410" s="8">
        <v>0.0</v>
      </c>
      <c r="R410" s="18">
        <f t="shared" si="6"/>
        <v>90</v>
      </c>
      <c r="S410" s="19" t="s">
        <v>29</v>
      </c>
      <c r="T410" s="19" t="s">
        <v>30</v>
      </c>
      <c r="U410" s="20" t="s">
        <v>292</v>
      </c>
      <c r="V410" s="37"/>
      <c r="W410" s="7"/>
      <c r="X410" s="7"/>
      <c r="Y410" s="7"/>
      <c r="Z410" s="7"/>
      <c r="AA410" s="7"/>
    </row>
    <row r="411" ht="18.75" customHeight="1">
      <c r="A411" s="22" t="s">
        <v>470</v>
      </c>
      <c r="B411" s="23" t="s">
        <v>471</v>
      </c>
      <c r="C411" s="23" t="s">
        <v>199</v>
      </c>
      <c r="D411" s="24">
        <v>1715.0</v>
      </c>
      <c r="E411" s="22" t="s">
        <v>591</v>
      </c>
      <c r="F411" s="25" t="s">
        <v>202</v>
      </c>
      <c r="G411" s="26" t="s">
        <v>27</v>
      </c>
      <c r="H411" s="27">
        <v>205.0</v>
      </c>
      <c r="I411" s="28">
        <v>5.0</v>
      </c>
      <c r="J411" s="29" t="s">
        <v>38</v>
      </c>
      <c r="K411" s="30">
        <v>0.5</v>
      </c>
      <c r="L411" s="31">
        <f t="shared" si="1"/>
        <v>2.5</v>
      </c>
      <c r="M411" s="31">
        <f t="shared" si="2"/>
        <v>2.5</v>
      </c>
      <c r="N411" s="32">
        <f t="shared" si="3"/>
        <v>102.5</v>
      </c>
      <c r="O411" s="32">
        <f t="shared" si="4"/>
        <v>102.5</v>
      </c>
      <c r="P411" s="32">
        <f t="shared" si="5"/>
        <v>102.5</v>
      </c>
      <c r="Q411" s="22">
        <v>0.0</v>
      </c>
      <c r="R411" s="32">
        <f t="shared" si="6"/>
        <v>41</v>
      </c>
      <c r="S411" s="33" t="s">
        <v>29</v>
      </c>
      <c r="T411" s="33" t="s">
        <v>30</v>
      </c>
      <c r="U411" s="34" t="s">
        <v>216</v>
      </c>
      <c r="V411" s="35"/>
      <c r="W411" s="7"/>
      <c r="X411" s="7"/>
      <c r="Y411" s="7"/>
      <c r="Z411" s="7"/>
      <c r="AA411" s="7"/>
    </row>
    <row r="412" ht="18.75" customHeight="1">
      <c r="A412" s="8" t="s">
        <v>470</v>
      </c>
      <c r="B412" s="9" t="s">
        <v>471</v>
      </c>
      <c r="C412" s="9" t="s">
        <v>199</v>
      </c>
      <c r="D412" s="10">
        <v>1716.0</v>
      </c>
      <c r="E412" s="8" t="s">
        <v>592</v>
      </c>
      <c r="F412" s="11" t="s">
        <v>202</v>
      </c>
      <c r="G412" s="12" t="s">
        <v>27</v>
      </c>
      <c r="H412" s="13">
        <v>764.99</v>
      </c>
      <c r="I412" s="14">
        <v>5.0</v>
      </c>
      <c r="J412" s="15" t="s">
        <v>38</v>
      </c>
      <c r="K412" s="16">
        <v>0.5</v>
      </c>
      <c r="L412" s="17">
        <f t="shared" si="1"/>
        <v>2.5</v>
      </c>
      <c r="M412" s="17">
        <f t="shared" si="2"/>
        <v>2.5</v>
      </c>
      <c r="N412" s="18">
        <f t="shared" si="3"/>
        <v>382.495</v>
      </c>
      <c r="O412" s="18">
        <f t="shared" si="4"/>
        <v>382.495</v>
      </c>
      <c r="P412" s="18">
        <f t="shared" si="5"/>
        <v>382.495</v>
      </c>
      <c r="Q412" s="8">
        <v>0.0</v>
      </c>
      <c r="R412" s="18">
        <f t="shared" si="6"/>
        <v>152.998</v>
      </c>
      <c r="S412" s="19" t="s">
        <v>29</v>
      </c>
      <c r="T412" s="19" t="s">
        <v>30</v>
      </c>
      <c r="U412" s="20" t="s">
        <v>203</v>
      </c>
      <c r="V412" s="37"/>
      <c r="W412" s="7"/>
      <c r="X412" s="7"/>
      <c r="Y412" s="7"/>
      <c r="Z412" s="7"/>
      <c r="AA412" s="7"/>
    </row>
    <row r="413" ht="18.75" customHeight="1">
      <c r="A413" s="22" t="s">
        <v>470</v>
      </c>
      <c r="B413" s="23" t="s">
        <v>471</v>
      </c>
      <c r="C413" s="23" t="s">
        <v>199</v>
      </c>
      <c r="D413" s="24">
        <v>1717.0</v>
      </c>
      <c r="E413" s="22" t="s">
        <v>593</v>
      </c>
      <c r="F413" s="25" t="s">
        <v>26</v>
      </c>
      <c r="G413" s="26" t="s">
        <v>27</v>
      </c>
      <c r="H413" s="27">
        <v>143.57</v>
      </c>
      <c r="I413" s="28">
        <v>5.0</v>
      </c>
      <c r="J413" s="29" t="s">
        <v>38</v>
      </c>
      <c r="K413" s="30">
        <v>0.5</v>
      </c>
      <c r="L413" s="31">
        <f t="shared" si="1"/>
        <v>2.5</v>
      </c>
      <c r="M413" s="31">
        <f t="shared" si="2"/>
        <v>2.5</v>
      </c>
      <c r="N413" s="32">
        <f t="shared" si="3"/>
        <v>71.785</v>
      </c>
      <c r="O413" s="32">
        <f t="shared" si="4"/>
        <v>71.785</v>
      </c>
      <c r="P413" s="32">
        <f t="shared" si="5"/>
        <v>71.785</v>
      </c>
      <c r="Q413" s="22">
        <v>0.0</v>
      </c>
      <c r="R413" s="32">
        <f t="shared" si="6"/>
        <v>28.714</v>
      </c>
      <c r="S413" s="33" t="s">
        <v>29</v>
      </c>
      <c r="T413" s="33" t="s">
        <v>30</v>
      </c>
      <c r="U413" s="34" t="s">
        <v>335</v>
      </c>
      <c r="V413" s="35"/>
      <c r="W413" s="7"/>
      <c r="X413" s="7"/>
      <c r="Y413" s="7"/>
      <c r="Z413" s="7"/>
      <c r="AA413" s="7"/>
    </row>
    <row r="414" ht="18.75" customHeight="1">
      <c r="A414" s="8" t="s">
        <v>470</v>
      </c>
      <c r="B414" s="9" t="s">
        <v>471</v>
      </c>
      <c r="C414" s="9" t="s">
        <v>145</v>
      </c>
      <c r="D414" s="10">
        <v>1958.0</v>
      </c>
      <c r="E414" s="8" t="s">
        <v>594</v>
      </c>
      <c r="F414" s="11" t="s">
        <v>128</v>
      </c>
      <c r="G414" s="12" t="s">
        <v>27</v>
      </c>
      <c r="H414" s="13">
        <v>1669.0</v>
      </c>
      <c r="I414" s="14">
        <v>5.0</v>
      </c>
      <c r="J414" s="15" t="s">
        <v>38</v>
      </c>
      <c r="K414" s="16">
        <v>0.5</v>
      </c>
      <c r="L414" s="17">
        <f t="shared" si="1"/>
        <v>2.5</v>
      </c>
      <c r="M414" s="17">
        <f t="shared" si="2"/>
        <v>2.5</v>
      </c>
      <c r="N414" s="18">
        <f t="shared" si="3"/>
        <v>834.5</v>
      </c>
      <c r="O414" s="18">
        <f t="shared" si="4"/>
        <v>834.5</v>
      </c>
      <c r="P414" s="18">
        <f t="shared" si="5"/>
        <v>834.5</v>
      </c>
      <c r="Q414" s="8">
        <v>0.0</v>
      </c>
      <c r="R414" s="18">
        <f t="shared" si="6"/>
        <v>333.8</v>
      </c>
      <c r="S414" s="19" t="s">
        <v>29</v>
      </c>
      <c r="T414" s="19" t="s">
        <v>30</v>
      </c>
      <c r="U414" s="20" t="s">
        <v>129</v>
      </c>
      <c r="V414" s="37"/>
      <c r="W414" s="7"/>
      <c r="X414" s="7"/>
      <c r="Y414" s="7"/>
      <c r="Z414" s="7"/>
      <c r="AA414" s="7"/>
    </row>
    <row r="415" ht="18.75" customHeight="1">
      <c r="A415" s="22" t="s">
        <v>470</v>
      </c>
      <c r="B415" s="23" t="s">
        <v>471</v>
      </c>
      <c r="C415" s="23" t="s">
        <v>145</v>
      </c>
      <c r="D415" s="24">
        <v>1959.0</v>
      </c>
      <c r="E415" s="22" t="s">
        <v>595</v>
      </c>
      <c r="F415" s="25" t="s">
        <v>26</v>
      </c>
      <c r="G415" s="26" t="s">
        <v>27</v>
      </c>
      <c r="H415" s="56">
        <v>1260.63</v>
      </c>
      <c r="I415" s="28">
        <v>10.0</v>
      </c>
      <c r="J415" s="29" t="s">
        <v>38</v>
      </c>
      <c r="K415" s="30">
        <v>0.5</v>
      </c>
      <c r="L415" s="31">
        <f t="shared" si="1"/>
        <v>5</v>
      </c>
      <c r="M415" s="31">
        <f t="shared" si="2"/>
        <v>5</v>
      </c>
      <c r="N415" s="32">
        <f t="shared" si="3"/>
        <v>630.315</v>
      </c>
      <c r="O415" s="32">
        <f t="shared" si="4"/>
        <v>630.315</v>
      </c>
      <c r="P415" s="32">
        <f t="shared" si="5"/>
        <v>630.315</v>
      </c>
      <c r="Q415" s="22">
        <v>0.0</v>
      </c>
      <c r="R415" s="32">
        <f t="shared" si="6"/>
        <v>126.063</v>
      </c>
      <c r="S415" s="33" t="s">
        <v>29</v>
      </c>
      <c r="T415" s="33" t="s">
        <v>30</v>
      </c>
      <c r="U415" s="34" t="s">
        <v>102</v>
      </c>
      <c r="V415" s="35"/>
      <c r="W415" s="7"/>
      <c r="X415" s="7"/>
      <c r="Y415" s="7"/>
      <c r="Z415" s="7"/>
      <c r="AA415" s="7"/>
    </row>
    <row r="416" ht="18.75" customHeight="1">
      <c r="A416" s="8" t="s">
        <v>470</v>
      </c>
      <c r="B416" s="9" t="s">
        <v>471</v>
      </c>
      <c r="C416" s="9" t="s">
        <v>230</v>
      </c>
      <c r="D416" s="10">
        <v>1960.0</v>
      </c>
      <c r="E416" s="8" t="s">
        <v>596</v>
      </c>
      <c r="F416" s="11" t="s">
        <v>26</v>
      </c>
      <c r="G416" s="12" t="s">
        <v>27</v>
      </c>
      <c r="H416" s="55">
        <v>1260.63</v>
      </c>
      <c r="I416" s="14">
        <v>5.0</v>
      </c>
      <c r="J416" s="15" t="s">
        <v>38</v>
      </c>
      <c r="K416" s="16">
        <v>0.5</v>
      </c>
      <c r="L416" s="17">
        <f t="shared" si="1"/>
        <v>2.5</v>
      </c>
      <c r="M416" s="17">
        <f t="shared" si="2"/>
        <v>2.5</v>
      </c>
      <c r="N416" s="18">
        <f t="shared" si="3"/>
        <v>630.315</v>
      </c>
      <c r="O416" s="18">
        <f t="shared" si="4"/>
        <v>630.315</v>
      </c>
      <c r="P416" s="18">
        <f t="shared" si="5"/>
        <v>630.315</v>
      </c>
      <c r="Q416" s="8">
        <v>0.0</v>
      </c>
      <c r="R416" s="18">
        <f t="shared" si="6"/>
        <v>252.126</v>
      </c>
      <c r="S416" s="19" t="s">
        <v>29</v>
      </c>
      <c r="T416" s="19" t="s">
        <v>30</v>
      </c>
      <c r="U416" s="20" t="s">
        <v>102</v>
      </c>
      <c r="V416" s="37"/>
      <c r="W416" s="7"/>
      <c r="X416" s="7"/>
      <c r="Y416" s="7"/>
      <c r="Z416" s="7"/>
      <c r="AA416" s="7"/>
    </row>
    <row r="417" ht="18.75" customHeight="1">
      <c r="A417" s="22" t="s">
        <v>470</v>
      </c>
      <c r="B417" s="23" t="s">
        <v>471</v>
      </c>
      <c r="C417" s="23" t="s">
        <v>150</v>
      </c>
      <c r="D417" s="24">
        <v>1961.0</v>
      </c>
      <c r="E417" s="22" t="s">
        <v>595</v>
      </c>
      <c r="F417" s="25" t="s">
        <v>26</v>
      </c>
      <c r="G417" s="26" t="s">
        <v>27</v>
      </c>
      <c r="H417" s="56">
        <v>1260.63</v>
      </c>
      <c r="I417" s="28">
        <v>10.0</v>
      </c>
      <c r="J417" s="29" t="s">
        <v>38</v>
      </c>
      <c r="K417" s="30">
        <v>0.5</v>
      </c>
      <c r="L417" s="31">
        <f t="shared" si="1"/>
        <v>5</v>
      </c>
      <c r="M417" s="31">
        <f t="shared" si="2"/>
        <v>5</v>
      </c>
      <c r="N417" s="32">
        <f t="shared" si="3"/>
        <v>630.315</v>
      </c>
      <c r="O417" s="32">
        <f t="shared" si="4"/>
        <v>630.315</v>
      </c>
      <c r="P417" s="32">
        <f t="shared" si="5"/>
        <v>630.315</v>
      </c>
      <c r="Q417" s="22">
        <v>0.0</v>
      </c>
      <c r="R417" s="32">
        <f t="shared" si="6"/>
        <v>126.063</v>
      </c>
      <c r="S417" s="33" t="s">
        <v>29</v>
      </c>
      <c r="T417" s="33" t="s">
        <v>30</v>
      </c>
      <c r="U417" s="34" t="s">
        <v>102</v>
      </c>
      <c r="V417" s="35"/>
      <c r="W417" s="7"/>
      <c r="X417" s="7"/>
      <c r="Y417" s="7"/>
      <c r="Z417" s="7"/>
      <c r="AA417" s="7"/>
    </row>
    <row r="418" ht="18.75" customHeight="1">
      <c r="A418" s="8" t="s">
        <v>470</v>
      </c>
      <c r="B418" s="9" t="s">
        <v>471</v>
      </c>
      <c r="C418" s="9" t="s">
        <v>24</v>
      </c>
      <c r="D418" s="10">
        <v>1962.0</v>
      </c>
      <c r="E418" s="8" t="s">
        <v>597</v>
      </c>
      <c r="F418" s="11" t="s">
        <v>26</v>
      </c>
      <c r="G418" s="12" t="s">
        <v>27</v>
      </c>
      <c r="H418" s="55">
        <v>840.42</v>
      </c>
      <c r="I418" s="14">
        <v>10.0</v>
      </c>
      <c r="J418" s="15" t="s">
        <v>38</v>
      </c>
      <c r="K418" s="16">
        <v>0.5</v>
      </c>
      <c r="L418" s="17">
        <f t="shared" si="1"/>
        <v>5</v>
      </c>
      <c r="M418" s="17">
        <f t="shared" si="2"/>
        <v>5</v>
      </c>
      <c r="N418" s="18">
        <f t="shared" si="3"/>
        <v>420.21</v>
      </c>
      <c r="O418" s="18">
        <f t="shared" si="4"/>
        <v>420.21</v>
      </c>
      <c r="P418" s="18">
        <f t="shared" si="5"/>
        <v>420.21</v>
      </c>
      <c r="Q418" s="8">
        <v>0.0</v>
      </c>
      <c r="R418" s="18">
        <f t="shared" si="6"/>
        <v>84.042</v>
      </c>
      <c r="S418" s="19" t="s">
        <v>29</v>
      </c>
      <c r="T418" s="19" t="s">
        <v>30</v>
      </c>
      <c r="U418" s="20" t="s">
        <v>102</v>
      </c>
      <c r="V418" s="37"/>
      <c r="W418" s="7"/>
      <c r="X418" s="7"/>
      <c r="Y418" s="7"/>
      <c r="Z418" s="7"/>
      <c r="AA418" s="7"/>
    </row>
    <row r="419" ht="18.75" customHeight="1">
      <c r="A419" s="22" t="s">
        <v>470</v>
      </c>
      <c r="B419" s="23" t="s">
        <v>471</v>
      </c>
      <c r="C419" s="23" t="s">
        <v>24</v>
      </c>
      <c r="D419" s="24">
        <v>1963.0</v>
      </c>
      <c r="E419" s="22" t="s">
        <v>598</v>
      </c>
      <c r="F419" s="25" t="s">
        <v>26</v>
      </c>
      <c r="G419" s="26" t="s">
        <v>27</v>
      </c>
      <c r="H419" s="56">
        <v>1260.63</v>
      </c>
      <c r="I419" s="28">
        <v>10.0</v>
      </c>
      <c r="J419" s="29" t="s">
        <v>38</v>
      </c>
      <c r="K419" s="30">
        <v>0.5</v>
      </c>
      <c r="L419" s="31">
        <f t="shared" si="1"/>
        <v>5</v>
      </c>
      <c r="M419" s="31">
        <f t="shared" si="2"/>
        <v>5</v>
      </c>
      <c r="N419" s="32">
        <f t="shared" si="3"/>
        <v>630.315</v>
      </c>
      <c r="O419" s="32">
        <f t="shared" si="4"/>
        <v>630.315</v>
      </c>
      <c r="P419" s="32">
        <f t="shared" si="5"/>
        <v>630.315</v>
      </c>
      <c r="Q419" s="22">
        <v>0.0</v>
      </c>
      <c r="R419" s="32">
        <f t="shared" si="6"/>
        <v>126.063</v>
      </c>
      <c r="S419" s="33" t="s">
        <v>29</v>
      </c>
      <c r="T419" s="33" t="s">
        <v>30</v>
      </c>
      <c r="U419" s="34" t="s">
        <v>102</v>
      </c>
      <c r="V419" s="35"/>
      <c r="W419" s="7"/>
      <c r="X419" s="7"/>
      <c r="Y419" s="7"/>
      <c r="Z419" s="7"/>
      <c r="AA419" s="7"/>
    </row>
    <row r="420" ht="18.75" customHeight="1">
      <c r="A420" s="8" t="s">
        <v>470</v>
      </c>
      <c r="B420" s="9" t="s">
        <v>471</v>
      </c>
      <c r="C420" s="9" t="s">
        <v>230</v>
      </c>
      <c r="D420" s="10">
        <v>2036.0</v>
      </c>
      <c r="E420" s="8" t="s">
        <v>599</v>
      </c>
      <c r="F420" s="11" t="s">
        <v>26</v>
      </c>
      <c r="G420" s="12" t="s">
        <v>27</v>
      </c>
      <c r="H420" s="55">
        <v>840.42</v>
      </c>
      <c r="I420" s="14">
        <v>5.0</v>
      </c>
      <c r="J420" s="15" t="s">
        <v>38</v>
      </c>
      <c r="K420" s="16">
        <v>0.5</v>
      </c>
      <c r="L420" s="17">
        <f t="shared" si="1"/>
        <v>2.5</v>
      </c>
      <c r="M420" s="17">
        <f t="shared" si="2"/>
        <v>2.5</v>
      </c>
      <c r="N420" s="18">
        <f t="shared" si="3"/>
        <v>420.21</v>
      </c>
      <c r="O420" s="18">
        <f t="shared" si="4"/>
        <v>420.21</v>
      </c>
      <c r="P420" s="18">
        <f t="shared" si="5"/>
        <v>420.21</v>
      </c>
      <c r="Q420" s="8">
        <v>0.0</v>
      </c>
      <c r="R420" s="18">
        <f t="shared" si="6"/>
        <v>168.084</v>
      </c>
      <c r="S420" s="19" t="s">
        <v>29</v>
      </c>
      <c r="T420" s="19" t="s">
        <v>30</v>
      </c>
      <c r="U420" s="20" t="s">
        <v>102</v>
      </c>
      <c r="V420" s="37"/>
      <c r="W420" s="7"/>
      <c r="X420" s="7"/>
      <c r="Y420" s="7"/>
      <c r="Z420" s="7"/>
      <c r="AA420" s="7"/>
    </row>
    <row r="421" ht="18.75" customHeight="1">
      <c r="A421" s="22" t="s">
        <v>470</v>
      </c>
      <c r="B421" s="23" t="s">
        <v>471</v>
      </c>
      <c r="C421" s="23" t="s">
        <v>24</v>
      </c>
      <c r="D421" s="24">
        <v>2039.0</v>
      </c>
      <c r="E421" s="22" t="s">
        <v>600</v>
      </c>
      <c r="F421" s="25" t="s">
        <v>37</v>
      </c>
      <c r="G421" s="26" t="s">
        <v>27</v>
      </c>
      <c r="H421" s="27">
        <v>820.99</v>
      </c>
      <c r="I421" s="28">
        <v>10.0</v>
      </c>
      <c r="J421" s="29" t="s">
        <v>38</v>
      </c>
      <c r="K421" s="30">
        <v>0.5</v>
      </c>
      <c r="L421" s="31">
        <f t="shared" si="1"/>
        <v>5</v>
      </c>
      <c r="M421" s="31">
        <f t="shared" si="2"/>
        <v>5</v>
      </c>
      <c r="N421" s="32">
        <f t="shared" si="3"/>
        <v>410.495</v>
      </c>
      <c r="O421" s="32">
        <f t="shared" si="4"/>
        <v>410.495</v>
      </c>
      <c r="P421" s="32">
        <f t="shared" si="5"/>
        <v>410.495</v>
      </c>
      <c r="Q421" s="22">
        <v>0.0</v>
      </c>
      <c r="R421" s="32">
        <f t="shared" si="6"/>
        <v>82.099</v>
      </c>
      <c r="S421" s="33" t="s">
        <v>29</v>
      </c>
      <c r="T421" s="33" t="s">
        <v>30</v>
      </c>
      <c r="U421" s="38" t="s">
        <v>601</v>
      </c>
      <c r="V421" s="35"/>
      <c r="W421" s="7"/>
      <c r="X421" s="7"/>
      <c r="Y421" s="7"/>
      <c r="Z421" s="7"/>
      <c r="AA421" s="7"/>
    </row>
    <row r="422" ht="18.75" customHeight="1">
      <c r="A422" s="8" t="s">
        <v>470</v>
      </c>
      <c r="B422" s="9" t="s">
        <v>471</v>
      </c>
      <c r="C422" s="9" t="s">
        <v>539</v>
      </c>
      <c r="D422" s="10">
        <v>2111.0</v>
      </c>
      <c r="E422" s="8" t="s">
        <v>602</v>
      </c>
      <c r="F422" s="11" t="s">
        <v>202</v>
      </c>
      <c r="G422" s="12" t="s">
        <v>27</v>
      </c>
      <c r="H422" s="13">
        <v>764.99</v>
      </c>
      <c r="I422" s="14">
        <v>5.0</v>
      </c>
      <c r="J422" s="15" t="s">
        <v>38</v>
      </c>
      <c r="K422" s="16">
        <v>0.5</v>
      </c>
      <c r="L422" s="17">
        <f t="shared" si="1"/>
        <v>2.5</v>
      </c>
      <c r="M422" s="17">
        <f t="shared" si="2"/>
        <v>2.5</v>
      </c>
      <c r="N422" s="18">
        <f t="shared" si="3"/>
        <v>382.495</v>
      </c>
      <c r="O422" s="18">
        <f t="shared" si="4"/>
        <v>382.495</v>
      </c>
      <c r="P422" s="18">
        <f t="shared" si="5"/>
        <v>382.495</v>
      </c>
      <c r="Q422" s="8">
        <v>0.0</v>
      </c>
      <c r="R422" s="18">
        <f t="shared" si="6"/>
        <v>152.998</v>
      </c>
      <c r="S422" s="19" t="s">
        <v>29</v>
      </c>
      <c r="T422" s="19" t="s">
        <v>30</v>
      </c>
      <c r="U422" s="20" t="s">
        <v>203</v>
      </c>
      <c r="V422" s="37"/>
      <c r="W422" s="7"/>
      <c r="X422" s="7"/>
      <c r="Y422" s="7"/>
      <c r="Z422" s="7"/>
      <c r="AA422" s="7"/>
    </row>
    <row r="423" ht="18.75" customHeight="1">
      <c r="A423" s="22" t="s">
        <v>470</v>
      </c>
      <c r="B423" s="23" t="s">
        <v>471</v>
      </c>
      <c r="C423" s="23" t="s">
        <v>150</v>
      </c>
      <c r="D423" s="24">
        <v>2142.0</v>
      </c>
      <c r="E423" s="22" t="s">
        <v>603</v>
      </c>
      <c r="F423" s="25" t="s">
        <v>26</v>
      </c>
      <c r="G423" s="26" t="s">
        <v>27</v>
      </c>
      <c r="H423" s="27">
        <v>603.0</v>
      </c>
      <c r="I423" s="28">
        <v>5.0</v>
      </c>
      <c r="J423" s="29" t="s">
        <v>38</v>
      </c>
      <c r="K423" s="30">
        <v>0.5</v>
      </c>
      <c r="L423" s="31">
        <f t="shared" si="1"/>
        <v>2.5</v>
      </c>
      <c r="M423" s="31">
        <f t="shared" si="2"/>
        <v>2.5</v>
      </c>
      <c r="N423" s="32">
        <f t="shared" si="3"/>
        <v>301.5</v>
      </c>
      <c r="O423" s="32">
        <f t="shared" si="4"/>
        <v>301.5</v>
      </c>
      <c r="P423" s="32">
        <f t="shared" si="5"/>
        <v>301.5</v>
      </c>
      <c r="Q423" s="22">
        <v>0.0</v>
      </c>
      <c r="R423" s="32">
        <f t="shared" si="6"/>
        <v>120.6</v>
      </c>
      <c r="S423" s="33" t="s">
        <v>29</v>
      </c>
      <c r="T423" s="33" t="s">
        <v>30</v>
      </c>
      <c r="U423" s="34" t="s">
        <v>79</v>
      </c>
      <c r="V423" s="35"/>
      <c r="W423" s="7"/>
      <c r="X423" s="7"/>
      <c r="Y423" s="7"/>
      <c r="Z423" s="7"/>
      <c r="AA423" s="7"/>
    </row>
    <row r="424" ht="18.75" customHeight="1">
      <c r="A424" s="8" t="s">
        <v>470</v>
      </c>
      <c r="B424" s="9" t="s">
        <v>471</v>
      </c>
      <c r="C424" s="9" t="s">
        <v>145</v>
      </c>
      <c r="D424" s="10">
        <v>2193.0</v>
      </c>
      <c r="E424" s="8" t="s">
        <v>604</v>
      </c>
      <c r="F424" s="11" t="s">
        <v>37</v>
      </c>
      <c r="G424" s="12" t="s">
        <v>27</v>
      </c>
      <c r="H424" s="13">
        <v>531.0</v>
      </c>
      <c r="I424" s="14">
        <v>10.0</v>
      </c>
      <c r="J424" s="15" t="s">
        <v>38</v>
      </c>
      <c r="K424" s="16">
        <v>0.5</v>
      </c>
      <c r="L424" s="17">
        <f t="shared" si="1"/>
        <v>5</v>
      </c>
      <c r="M424" s="17">
        <f t="shared" si="2"/>
        <v>5</v>
      </c>
      <c r="N424" s="18">
        <f t="shared" si="3"/>
        <v>265.5</v>
      </c>
      <c r="O424" s="18">
        <f t="shared" si="4"/>
        <v>265.5</v>
      </c>
      <c r="P424" s="18">
        <f t="shared" si="5"/>
        <v>265.5</v>
      </c>
      <c r="Q424" s="8">
        <v>0.0</v>
      </c>
      <c r="R424" s="18">
        <f t="shared" si="6"/>
        <v>53.1</v>
      </c>
      <c r="S424" s="19" t="s">
        <v>29</v>
      </c>
      <c r="T424" s="19" t="s">
        <v>30</v>
      </c>
      <c r="U424" s="36" t="s">
        <v>555</v>
      </c>
      <c r="V424" s="37"/>
      <c r="W424" s="7"/>
      <c r="X424" s="7"/>
      <c r="Y424" s="7"/>
      <c r="Z424" s="7"/>
      <c r="AA424" s="7"/>
    </row>
    <row r="425" ht="18.75" customHeight="1">
      <c r="A425" s="22" t="s">
        <v>470</v>
      </c>
      <c r="B425" s="23" t="s">
        <v>471</v>
      </c>
      <c r="C425" s="23" t="s">
        <v>145</v>
      </c>
      <c r="D425" s="24">
        <v>2194.0</v>
      </c>
      <c r="E425" s="22" t="s">
        <v>605</v>
      </c>
      <c r="F425" s="25" t="s">
        <v>26</v>
      </c>
      <c r="G425" s="26" t="s">
        <v>27</v>
      </c>
      <c r="H425" s="56">
        <v>840.42</v>
      </c>
      <c r="I425" s="28">
        <v>10.0</v>
      </c>
      <c r="J425" s="29" t="s">
        <v>38</v>
      </c>
      <c r="K425" s="30">
        <v>0.5</v>
      </c>
      <c r="L425" s="31">
        <f t="shared" si="1"/>
        <v>5</v>
      </c>
      <c r="M425" s="31">
        <f t="shared" si="2"/>
        <v>5</v>
      </c>
      <c r="N425" s="32">
        <f t="shared" si="3"/>
        <v>420.21</v>
      </c>
      <c r="O425" s="32">
        <f t="shared" si="4"/>
        <v>420.21</v>
      </c>
      <c r="P425" s="32">
        <f t="shared" si="5"/>
        <v>420.21</v>
      </c>
      <c r="Q425" s="22">
        <v>0.0</v>
      </c>
      <c r="R425" s="32">
        <f t="shared" si="6"/>
        <v>84.042</v>
      </c>
      <c r="S425" s="33" t="s">
        <v>29</v>
      </c>
      <c r="T425" s="33" t="s">
        <v>30</v>
      </c>
      <c r="U425" s="34" t="s">
        <v>102</v>
      </c>
      <c r="V425" s="35"/>
      <c r="W425" s="7"/>
      <c r="X425" s="7"/>
      <c r="Y425" s="7"/>
      <c r="Z425" s="7"/>
      <c r="AA425" s="7"/>
    </row>
    <row r="426" ht="18.75" customHeight="1">
      <c r="A426" s="8" t="s">
        <v>470</v>
      </c>
      <c r="B426" s="9" t="s">
        <v>471</v>
      </c>
      <c r="C426" s="8" t="s">
        <v>33</v>
      </c>
      <c r="D426" s="50">
        <v>2196.0</v>
      </c>
      <c r="E426" s="8" t="s">
        <v>606</v>
      </c>
      <c r="F426" s="11" t="s">
        <v>37</v>
      </c>
      <c r="G426" s="12" t="s">
        <v>27</v>
      </c>
      <c r="H426" s="13">
        <v>1044.42</v>
      </c>
      <c r="I426" s="14">
        <v>10.0</v>
      </c>
      <c r="J426" s="15" t="s">
        <v>54</v>
      </c>
      <c r="K426" s="16">
        <v>0.3</v>
      </c>
      <c r="L426" s="17">
        <f t="shared" si="1"/>
        <v>3</v>
      </c>
      <c r="M426" s="17">
        <f t="shared" si="2"/>
        <v>7</v>
      </c>
      <c r="N426" s="18">
        <f t="shared" si="3"/>
        <v>313.326</v>
      </c>
      <c r="O426" s="18">
        <f t="shared" si="4"/>
        <v>731.094</v>
      </c>
      <c r="P426" s="18">
        <f t="shared" si="5"/>
        <v>731.094</v>
      </c>
      <c r="Q426" s="8">
        <v>0.0</v>
      </c>
      <c r="R426" s="18">
        <f t="shared" si="6"/>
        <v>104.442</v>
      </c>
      <c r="S426" s="19" t="s">
        <v>29</v>
      </c>
      <c r="T426" s="19" t="s">
        <v>30</v>
      </c>
      <c r="U426" s="20" t="s">
        <v>346</v>
      </c>
      <c r="V426" s="37"/>
      <c r="W426" s="7"/>
      <c r="X426" s="7"/>
      <c r="Y426" s="7"/>
      <c r="Z426" s="7"/>
      <c r="AA426" s="7"/>
    </row>
    <row r="427" ht="18.75" customHeight="1">
      <c r="A427" s="22" t="s">
        <v>470</v>
      </c>
      <c r="B427" s="23" t="s">
        <v>471</v>
      </c>
      <c r="C427" s="23" t="s">
        <v>150</v>
      </c>
      <c r="D427" s="24">
        <v>2197.0</v>
      </c>
      <c r="E427" s="22" t="s">
        <v>607</v>
      </c>
      <c r="F427" s="25" t="s">
        <v>26</v>
      </c>
      <c r="G427" s="26" t="s">
        <v>27</v>
      </c>
      <c r="H427" s="56">
        <v>840.42</v>
      </c>
      <c r="I427" s="28">
        <v>10.0</v>
      </c>
      <c r="J427" s="29" t="s">
        <v>38</v>
      </c>
      <c r="K427" s="30">
        <v>0.5</v>
      </c>
      <c r="L427" s="31">
        <f t="shared" si="1"/>
        <v>5</v>
      </c>
      <c r="M427" s="31">
        <f t="shared" si="2"/>
        <v>5</v>
      </c>
      <c r="N427" s="32">
        <f t="shared" si="3"/>
        <v>420.21</v>
      </c>
      <c r="O427" s="32">
        <f t="shared" si="4"/>
        <v>420.21</v>
      </c>
      <c r="P427" s="32">
        <f t="shared" si="5"/>
        <v>420.21</v>
      </c>
      <c r="Q427" s="22">
        <v>0.0</v>
      </c>
      <c r="R427" s="32">
        <f t="shared" si="6"/>
        <v>84.042</v>
      </c>
      <c r="S427" s="33" t="s">
        <v>29</v>
      </c>
      <c r="T427" s="33" t="s">
        <v>30</v>
      </c>
      <c r="U427" s="34" t="s">
        <v>102</v>
      </c>
      <c r="V427" s="35"/>
      <c r="W427" s="7"/>
      <c r="X427" s="7"/>
      <c r="Y427" s="7"/>
      <c r="Z427" s="7"/>
      <c r="AA427" s="7"/>
    </row>
    <row r="428" ht="18.75" customHeight="1">
      <c r="A428" s="8" t="s">
        <v>470</v>
      </c>
      <c r="B428" s="9" t="s">
        <v>471</v>
      </c>
      <c r="C428" s="9" t="s">
        <v>150</v>
      </c>
      <c r="D428" s="10">
        <v>2198.0</v>
      </c>
      <c r="E428" s="8" t="s">
        <v>608</v>
      </c>
      <c r="F428" s="11" t="s">
        <v>37</v>
      </c>
      <c r="G428" s="12" t="s">
        <v>27</v>
      </c>
      <c r="H428" s="13">
        <v>1044.42</v>
      </c>
      <c r="I428" s="14">
        <v>10.0</v>
      </c>
      <c r="J428" s="15" t="s">
        <v>54</v>
      </c>
      <c r="K428" s="16">
        <v>0.3</v>
      </c>
      <c r="L428" s="17">
        <f t="shared" si="1"/>
        <v>3</v>
      </c>
      <c r="M428" s="17">
        <f t="shared" si="2"/>
        <v>7</v>
      </c>
      <c r="N428" s="18">
        <f t="shared" si="3"/>
        <v>313.326</v>
      </c>
      <c r="O428" s="18">
        <f t="shared" si="4"/>
        <v>731.094</v>
      </c>
      <c r="P428" s="18">
        <f t="shared" si="5"/>
        <v>731.094</v>
      </c>
      <c r="Q428" s="8">
        <v>0.0</v>
      </c>
      <c r="R428" s="18">
        <f t="shared" si="6"/>
        <v>104.442</v>
      </c>
      <c r="S428" s="19" t="s">
        <v>29</v>
      </c>
      <c r="T428" s="19" t="s">
        <v>30</v>
      </c>
      <c r="U428" s="20" t="s">
        <v>346</v>
      </c>
      <c r="V428" s="37"/>
      <c r="W428" s="7"/>
      <c r="X428" s="7"/>
      <c r="Y428" s="7"/>
      <c r="Z428" s="7"/>
      <c r="AA428" s="7"/>
    </row>
    <row r="429" ht="18.75" customHeight="1">
      <c r="A429" s="22" t="s">
        <v>470</v>
      </c>
      <c r="B429" s="23" t="s">
        <v>471</v>
      </c>
      <c r="C429" s="23" t="s">
        <v>236</v>
      </c>
      <c r="D429" s="24">
        <v>2199.0</v>
      </c>
      <c r="E429" s="22" t="s">
        <v>609</v>
      </c>
      <c r="F429" s="25" t="s">
        <v>37</v>
      </c>
      <c r="G429" s="26" t="s">
        <v>27</v>
      </c>
      <c r="H429" s="27">
        <v>496.89</v>
      </c>
      <c r="I429" s="28">
        <v>10.0</v>
      </c>
      <c r="J429" s="29" t="s">
        <v>54</v>
      </c>
      <c r="K429" s="30">
        <v>0.3</v>
      </c>
      <c r="L429" s="31">
        <f t="shared" si="1"/>
        <v>3</v>
      </c>
      <c r="M429" s="31">
        <f t="shared" si="2"/>
        <v>7</v>
      </c>
      <c r="N429" s="32">
        <f t="shared" si="3"/>
        <v>149.067</v>
      </c>
      <c r="O429" s="32">
        <f t="shared" si="4"/>
        <v>347.823</v>
      </c>
      <c r="P429" s="32">
        <f t="shared" si="5"/>
        <v>347.823</v>
      </c>
      <c r="Q429" s="22">
        <v>0.0</v>
      </c>
      <c r="R429" s="32">
        <f t="shared" si="6"/>
        <v>49.689</v>
      </c>
      <c r="S429" s="33" t="s">
        <v>29</v>
      </c>
      <c r="T429" s="33" t="s">
        <v>30</v>
      </c>
      <c r="U429" s="38" t="s">
        <v>610</v>
      </c>
      <c r="V429" s="35"/>
      <c r="W429" s="7"/>
      <c r="X429" s="7"/>
      <c r="Y429" s="7"/>
      <c r="Z429" s="7"/>
      <c r="AA429" s="7"/>
    </row>
    <row r="430" ht="18.75" customHeight="1">
      <c r="A430" s="8" t="s">
        <v>470</v>
      </c>
      <c r="B430" s="9" t="s">
        <v>471</v>
      </c>
      <c r="C430" s="8" t="s">
        <v>33</v>
      </c>
      <c r="D430" s="50">
        <v>2200.0</v>
      </c>
      <c r="E430" s="8" t="s">
        <v>611</v>
      </c>
      <c r="F430" s="11" t="s">
        <v>26</v>
      </c>
      <c r="G430" s="12" t="s">
        <v>27</v>
      </c>
      <c r="H430" s="13">
        <v>449.24</v>
      </c>
      <c r="I430" s="14">
        <v>5.0</v>
      </c>
      <c r="J430" s="15" t="s">
        <v>38</v>
      </c>
      <c r="K430" s="16">
        <v>0.5</v>
      </c>
      <c r="L430" s="17">
        <f t="shared" si="1"/>
        <v>2.5</v>
      </c>
      <c r="M430" s="17">
        <f t="shared" si="2"/>
        <v>2.5</v>
      </c>
      <c r="N430" s="18">
        <f t="shared" si="3"/>
        <v>224.62</v>
      </c>
      <c r="O430" s="18">
        <f t="shared" si="4"/>
        <v>224.62</v>
      </c>
      <c r="P430" s="18">
        <f t="shared" si="5"/>
        <v>224.62</v>
      </c>
      <c r="Q430" s="8">
        <v>0.0</v>
      </c>
      <c r="R430" s="18">
        <f t="shared" si="6"/>
        <v>89.848</v>
      </c>
      <c r="S430" s="19" t="s">
        <v>29</v>
      </c>
      <c r="T430" s="19" t="s">
        <v>30</v>
      </c>
      <c r="U430" s="20" t="s">
        <v>308</v>
      </c>
      <c r="V430" s="37"/>
      <c r="W430" s="7"/>
      <c r="X430" s="7"/>
      <c r="Y430" s="7"/>
      <c r="Z430" s="7"/>
      <c r="AA430" s="7"/>
    </row>
    <row r="431" ht="18.75" customHeight="1">
      <c r="A431" s="22" t="s">
        <v>470</v>
      </c>
      <c r="B431" s="23" t="s">
        <v>471</v>
      </c>
      <c r="C431" s="23" t="s">
        <v>230</v>
      </c>
      <c r="D431" s="24">
        <v>2201.0</v>
      </c>
      <c r="E431" s="22" t="s">
        <v>612</v>
      </c>
      <c r="F431" s="25" t="s">
        <v>37</v>
      </c>
      <c r="G431" s="26" t="s">
        <v>27</v>
      </c>
      <c r="H431" s="27">
        <v>1214.0</v>
      </c>
      <c r="I431" s="28">
        <v>10.0</v>
      </c>
      <c r="J431" s="29" t="s">
        <v>54</v>
      </c>
      <c r="K431" s="30">
        <v>0.3</v>
      </c>
      <c r="L431" s="31">
        <f t="shared" si="1"/>
        <v>3</v>
      </c>
      <c r="M431" s="31">
        <f t="shared" si="2"/>
        <v>7</v>
      </c>
      <c r="N431" s="32">
        <f t="shared" si="3"/>
        <v>364.2</v>
      </c>
      <c r="O431" s="32">
        <f t="shared" si="4"/>
        <v>849.8</v>
      </c>
      <c r="P431" s="32">
        <f t="shared" si="5"/>
        <v>849.8</v>
      </c>
      <c r="Q431" s="22">
        <v>0.0</v>
      </c>
      <c r="R431" s="32">
        <f t="shared" si="6"/>
        <v>121.4</v>
      </c>
      <c r="S431" s="33" t="s">
        <v>29</v>
      </c>
      <c r="T431" s="33" t="s">
        <v>30</v>
      </c>
      <c r="U431" s="34" t="s">
        <v>211</v>
      </c>
      <c r="V431" s="35"/>
      <c r="W431" s="7"/>
      <c r="X431" s="7"/>
      <c r="Y431" s="7"/>
      <c r="Z431" s="7"/>
      <c r="AA431" s="7"/>
    </row>
    <row r="432" ht="18.75" customHeight="1">
      <c r="A432" s="8" t="s">
        <v>470</v>
      </c>
      <c r="B432" s="9" t="s">
        <v>471</v>
      </c>
      <c r="C432" s="9" t="s">
        <v>528</v>
      </c>
      <c r="D432" s="10">
        <v>2202.0</v>
      </c>
      <c r="E432" s="8" t="s">
        <v>613</v>
      </c>
      <c r="F432" s="11" t="s">
        <v>37</v>
      </c>
      <c r="G432" s="12" t="s">
        <v>21</v>
      </c>
      <c r="H432" s="13">
        <v>71.78</v>
      </c>
      <c r="I432" s="14">
        <v>5.0</v>
      </c>
      <c r="J432" s="15" t="s">
        <v>54</v>
      </c>
      <c r="K432" s="16">
        <v>0.3</v>
      </c>
      <c r="L432" s="17">
        <f t="shared" si="1"/>
        <v>1.5</v>
      </c>
      <c r="M432" s="17">
        <f t="shared" si="2"/>
        <v>3.5</v>
      </c>
      <c r="N432" s="18">
        <f t="shared" si="3"/>
        <v>21.534</v>
      </c>
      <c r="O432" s="18">
        <f t="shared" si="4"/>
        <v>50.246</v>
      </c>
      <c r="P432" s="18">
        <f t="shared" si="5"/>
        <v>50.246</v>
      </c>
      <c r="Q432" s="8">
        <v>0.0</v>
      </c>
      <c r="R432" s="18">
        <f t="shared" si="6"/>
        <v>14.356</v>
      </c>
      <c r="S432" s="19" t="s">
        <v>29</v>
      </c>
      <c r="T432" s="19" t="s">
        <v>30</v>
      </c>
      <c r="U432" s="20" t="s">
        <v>614</v>
      </c>
      <c r="V432" s="37"/>
      <c r="W432" s="7"/>
      <c r="X432" s="7"/>
      <c r="Y432" s="7"/>
      <c r="Z432" s="7"/>
      <c r="AA432" s="7"/>
    </row>
    <row r="433" ht="18.75" customHeight="1">
      <c r="A433" s="22" t="s">
        <v>470</v>
      </c>
      <c r="B433" s="23" t="s">
        <v>471</v>
      </c>
      <c r="C433" s="22" t="s">
        <v>33</v>
      </c>
      <c r="D433" s="51">
        <v>2203.0</v>
      </c>
      <c r="E433" s="22" t="s">
        <v>606</v>
      </c>
      <c r="F433" s="25" t="s">
        <v>37</v>
      </c>
      <c r="G433" s="26" t="s">
        <v>27</v>
      </c>
      <c r="H433" s="27">
        <v>1044.42</v>
      </c>
      <c r="I433" s="28">
        <v>10.0</v>
      </c>
      <c r="J433" s="29" t="s">
        <v>54</v>
      </c>
      <c r="K433" s="30">
        <v>0.3</v>
      </c>
      <c r="L433" s="31">
        <f t="shared" si="1"/>
        <v>3</v>
      </c>
      <c r="M433" s="31">
        <f t="shared" si="2"/>
        <v>7</v>
      </c>
      <c r="N433" s="32">
        <f t="shared" si="3"/>
        <v>313.326</v>
      </c>
      <c r="O433" s="32">
        <f t="shared" si="4"/>
        <v>731.094</v>
      </c>
      <c r="P433" s="32">
        <f t="shared" si="5"/>
        <v>731.094</v>
      </c>
      <c r="Q433" s="22">
        <v>0.0</v>
      </c>
      <c r="R433" s="32">
        <f t="shared" si="6"/>
        <v>104.442</v>
      </c>
      <c r="S433" s="33" t="s">
        <v>29</v>
      </c>
      <c r="T433" s="33" t="s">
        <v>30</v>
      </c>
      <c r="U433" s="34" t="s">
        <v>346</v>
      </c>
      <c r="V433" s="35"/>
      <c r="W433" s="7"/>
      <c r="X433" s="7"/>
      <c r="Y433" s="7"/>
      <c r="Z433" s="7"/>
      <c r="AA433" s="7"/>
    </row>
    <row r="434" ht="18.75" customHeight="1">
      <c r="A434" s="8" t="s">
        <v>470</v>
      </c>
      <c r="B434" s="9" t="s">
        <v>471</v>
      </c>
      <c r="C434" s="9" t="s">
        <v>588</v>
      </c>
      <c r="D434" s="10">
        <v>2203.0</v>
      </c>
      <c r="E434" s="8" t="s">
        <v>615</v>
      </c>
      <c r="F434" s="11" t="s">
        <v>37</v>
      </c>
      <c r="G434" s="12" t="s">
        <v>27</v>
      </c>
      <c r="H434" s="13">
        <v>1044.42</v>
      </c>
      <c r="I434" s="14">
        <v>10.0</v>
      </c>
      <c r="J434" s="15" t="s">
        <v>54</v>
      </c>
      <c r="K434" s="16">
        <v>0.3</v>
      </c>
      <c r="L434" s="17">
        <f t="shared" si="1"/>
        <v>3</v>
      </c>
      <c r="M434" s="17">
        <f t="shared" si="2"/>
        <v>7</v>
      </c>
      <c r="N434" s="18">
        <f t="shared" si="3"/>
        <v>313.326</v>
      </c>
      <c r="O434" s="18">
        <f t="shared" si="4"/>
        <v>731.094</v>
      </c>
      <c r="P434" s="18">
        <f t="shared" si="5"/>
        <v>731.094</v>
      </c>
      <c r="Q434" s="8">
        <v>0.0</v>
      </c>
      <c r="R434" s="18">
        <f t="shared" si="6"/>
        <v>104.442</v>
      </c>
      <c r="S434" s="19" t="s">
        <v>29</v>
      </c>
      <c r="T434" s="19" t="s">
        <v>30</v>
      </c>
      <c r="U434" s="20" t="s">
        <v>346</v>
      </c>
      <c r="V434" s="37"/>
      <c r="W434" s="7"/>
      <c r="X434" s="7"/>
      <c r="Y434" s="7"/>
      <c r="Z434" s="7"/>
      <c r="AA434" s="7"/>
    </row>
    <row r="435" ht="18.75" customHeight="1">
      <c r="A435" s="22" t="s">
        <v>470</v>
      </c>
      <c r="B435" s="23" t="s">
        <v>471</v>
      </c>
      <c r="C435" s="23" t="s">
        <v>236</v>
      </c>
      <c r="D435" s="24">
        <v>2205.0</v>
      </c>
      <c r="E435" s="22" t="s">
        <v>616</v>
      </c>
      <c r="F435" s="25" t="s">
        <v>37</v>
      </c>
      <c r="G435" s="26" t="s">
        <v>27</v>
      </c>
      <c r="H435" s="27">
        <v>423.51</v>
      </c>
      <c r="I435" s="28">
        <v>10.0</v>
      </c>
      <c r="J435" s="29" t="s">
        <v>54</v>
      </c>
      <c r="K435" s="30">
        <v>0.3</v>
      </c>
      <c r="L435" s="31">
        <f t="shared" si="1"/>
        <v>3</v>
      </c>
      <c r="M435" s="31">
        <f t="shared" si="2"/>
        <v>7</v>
      </c>
      <c r="N435" s="32">
        <f t="shared" si="3"/>
        <v>127.053</v>
      </c>
      <c r="O435" s="32">
        <f t="shared" si="4"/>
        <v>296.457</v>
      </c>
      <c r="P435" s="32">
        <f t="shared" si="5"/>
        <v>296.457</v>
      </c>
      <c r="Q435" s="22">
        <v>0.0</v>
      </c>
      <c r="R435" s="32">
        <f t="shared" si="6"/>
        <v>42.351</v>
      </c>
      <c r="S435" s="33" t="s">
        <v>29</v>
      </c>
      <c r="T435" s="33" t="s">
        <v>30</v>
      </c>
      <c r="U435" s="38" t="s">
        <v>617</v>
      </c>
      <c r="V435" s="35"/>
      <c r="W435" s="7"/>
      <c r="X435" s="7"/>
      <c r="Y435" s="7"/>
      <c r="Z435" s="7"/>
      <c r="AA435" s="7"/>
    </row>
    <row r="436" ht="18.75" customHeight="1">
      <c r="A436" s="8" t="s">
        <v>470</v>
      </c>
      <c r="B436" s="9" t="s">
        <v>471</v>
      </c>
      <c r="C436" s="9" t="s">
        <v>24</v>
      </c>
      <c r="D436" s="10">
        <v>2482.0</v>
      </c>
      <c r="E436" s="8" t="s">
        <v>618</v>
      </c>
      <c r="F436" s="11" t="s">
        <v>26</v>
      </c>
      <c r="G436" s="12" t="s">
        <v>27</v>
      </c>
      <c r="H436" s="13">
        <v>235.55</v>
      </c>
      <c r="I436" s="14">
        <v>5.0</v>
      </c>
      <c r="J436" s="15" t="s">
        <v>28</v>
      </c>
      <c r="K436" s="16">
        <v>0.4</v>
      </c>
      <c r="L436" s="17">
        <f t="shared" si="1"/>
        <v>2</v>
      </c>
      <c r="M436" s="17">
        <f t="shared" si="2"/>
        <v>3</v>
      </c>
      <c r="N436" s="18">
        <f t="shared" si="3"/>
        <v>94.22</v>
      </c>
      <c r="O436" s="18">
        <f t="shared" si="4"/>
        <v>141.33</v>
      </c>
      <c r="P436" s="18">
        <f t="shared" si="5"/>
        <v>141.33</v>
      </c>
      <c r="Q436" s="8">
        <v>0.0</v>
      </c>
      <c r="R436" s="18">
        <f t="shared" si="6"/>
        <v>47.11</v>
      </c>
      <c r="S436" s="19" t="s">
        <v>29</v>
      </c>
      <c r="T436" s="19" t="s">
        <v>30</v>
      </c>
      <c r="U436" s="20" t="s">
        <v>157</v>
      </c>
      <c r="V436" s="37"/>
      <c r="W436" s="7"/>
      <c r="X436" s="7"/>
      <c r="Y436" s="7"/>
      <c r="Z436" s="7"/>
      <c r="AA436" s="7"/>
    </row>
    <row r="437" ht="18.75" customHeight="1">
      <c r="A437" s="22" t="s">
        <v>470</v>
      </c>
      <c r="B437" s="23" t="s">
        <v>471</v>
      </c>
      <c r="C437" s="23" t="s">
        <v>24</v>
      </c>
      <c r="D437" s="24">
        <v>2503.0</v>
      </c>
      <c r="E437" s="22" t="s">
        <v>619</v>
      </c>
      <c r="F437" s="25" t="s">
        <v>26</v>
      </c>
      <c r="G437" s="26" t="s">
        <v>27</v>
      </c>
      <c r="H437" s="27">
        <v>976.03</v>
      </c>
      <c r="I437" s="28">
        <v>5.0</v>
      </c>
      <c r="J437" s="29" t="s">
        <v>38</v>
      </c>
      <c r="K437" s="30">
        <v>0.5</v>
      </c>
      <c r="L437" s="31">
        <f t="shared" si="1"/>
        <v>2.5</v>
      </c>
      <c r="M437" s="31">
        <f t="shared" si="2"/>
        <v>2.5</v>
      </c>
      <c r="N437" s="32">
        <f t="shared" si="3"/>
        <v>488.015</v>
      </c>
      <c r="O437" s="32">
        <f t="shared" si="4"/>
        <v>488.015</v>
      </c>
      <c r="P437" s="32">
        <f t="shared" si="5"/>
        <v>488.015</v>
      </c>
      <c r="Q437" s="22">
        <v>0.0</v>
      </c>
      <c r="R437" s="32">
        <f t="shared" si="6"/>
        <v>195.206</v>
      </c>
      <c r="S437" s="33" t="s">
        <v>29</v>
      </c>
      <c r="T437" s="33" t="s">
        <v>30</v>
      </c>
      <c r="U437" s="38" t="s">
        <v>620</v>
      </c>
      <c r="V437" s="35"/>
      <c r="W437" s="7"/>
      <c r="X437" s="7"/>
      <c r="Y437" s="7"/>
      <c r="Z437" s="7"/>
      <c r="AA437" s="7"/>
    </row>
    <row r="438" ht="18.75" customHeight="1">
      <c r="A438" s="8" t="s">
        <v>470</v>
      </c>
      <c r="B438" s="9" t="s">
        <v>471</v>
      </c>
      <c r="C438" s="9" t="s">
        <v>24</v>
      </c>
      <c r="D438" s="10">
        <v>2526.0</v>
      </c>
      <c r="E438" s="8" t="s">
        <v>621</v>
      </c>
      <c r="F438" s="11" t="s">
        <v>26</v>
      </c>
      <c r="G438" s="12" t="s">
        <v>27</v>
      </c>
      <c r="H438" s="13">
        <v>3180.08</v>
      </c>
      <c r="I438" s="14">
        <v>5.0</v>
      </c>
      <c r="J438" s="15" t="s">
        <v>28</v>
      </c>
      <c r="K438" s="16">
        <v>0.4</v>
      </c>
      <c r="L438" s="17">
        <f t="shared" si="1"/>
        <v>2</v>
      </c>
      <c r="M438" s="17">
        <f t="shared" si="2"/>
        <v>3</v>
      </c>
      <c r="N438" s="18">
        <f t="shared" si="3"/>
        <v>1272.032</v>
      </c>
      <c r="O438" s="18">
        <f t="shared" si="4"/>
        <v>1908.048</v>
      </c>
      <c r="P438" s="18">
        <f t="shared" si="5"/>
        <v>1908.048</v>
      </c>
      <c r="Q438" s="8">
        <v>0.0</v>
      </c>
      <c r="R438" s="18">
        <f t="shared" si="6"/>
        <v>636.016</v>
      </c>
      <c r="S438" s="19" t="s">
        <v>29</v>
      </c>
      <c r="T438" s="19" t="s">
        <v>30</v>
      </c>
      <c r="U438" s="36" t="s">
        <v>622</v>
      </c>
      <c r="V438" s="37"/>
      <c r="W438" s="7"/>
      <c r="X438" s="7"/>
      <c r="Y438" s="7"/>
      <c r="Z438" s="7"/>
      <c r="AA438" s="7"/>
    </row>
    <row r="439" ht="18.75" customHeight="1">
      <c r="A439" s="22" t="s">
        <v>470</v>
      </c>
      <c r="B439" s="23" t="s">
        <v>471</v>
      </c>
      <c r="C439" s="23" t="s">
        <v>24</v>
      </c>
      <c r="D439" s="24">
        <v>2527.0</v>
      </c>
      <c r="E439" s="22" t="s">
        <v>623</v>
      </c>
      <c r="F439" s="25" t="s">
        <v>26</v>
      </c>
      <c r="G439" s="26" t="s">
        <v>27</v>
      </c>
      <c r="H439" s="27">
        <v>898.0</v>
      </c>
      <c r="I439" s="28">
        <v>5.0</v>
      </c>
      <c r="J439" s="29" t="s">
        <v>28</v>
      </c>
      <c r="K439" s="30">
        <v>0.4</v>
      </c>
      <c r="L439" s="31">
        <f t="shared" si="1"/>
        <v>2</v>
      </c>
      <c r="M439" s="31">
        <f t="shared" si="2"/>
        <v>3</v>
      </c>
      <c r="N439" s="32">
        <f t="shared" si="3"/>
        <v>359.2</v>
      </c>
      <c r="O439" s="32">
        <f t="shared" si="4"/>
        <v>538.8</v>
      </c>
      <c r="P439" s="32">
        <f t="shared" si="5"/>
        <v>538.8</v>
      </c>
      <c r="Q439" s="22">
        <v>0.0</v>
      </c>
      <c r="R439" s="32">
        <f t="shared" si="6"/>
        <v>179.6</v>
      </c>
      <c r="S439" s="33" t="s">
        <v>29</v>
      </c>
      <c r="T439" s="33" t="s">
        <v>30</v>
      </c>
      <c r="U439" s="38" t="s">
        <v>624</v>
      </c>
      <c r="V439" s="35"/>
      <c r="W439" s="7"/>
      <c r="X439" s="7"/>
      <c r="Y439" s="7"/>
      <c r="Z439" s="7"/>
      <c r="AA439" s="7"/>
    </row>
    <row r="440" ht="18.75" customHeight="1">
      <c r="A440" s="8" t="s">
        <v>470</v>
      </c>
      <c r="B440" s="9" t="s">
        <v>471</v>
      </c>
      <c r="C440" s="9" t="s">
        <v>24</v>
      </c>
      <c r="D440" s="10">
        <v>2610.0</v>
      </c>
      <c r="E440" s="8" t="s">
        <v>369</v>
      </c>
      <c r="F440" s="11" t="s">
        <v>26</v>
      </c>
      <c r="G440" s="12" t="s">
        <v>27</v>
      </c>
      <c r="H440" s="13">
        <v>471.75</v>
      </c>
      <c r="I440" s="14">
        <v>10.0</v>
      </c>
      <c r="J440" s="15" t="s">
        <v>143</v>
      </c>
      <c r="K440" s="16"/>
      <c r="L440" s="17">
        <f t="shared" si="1"/>
        <v>0</v>
      </c>
      <c r="M440" s="17">
        <f t="shared" si="2"/>
        <v>10</v>
      </c>
      <c r="N440" s="18">
        <f t="shared" si="3"/>
        <v>0</v>
      </c>
      <c r="O440" s="18">
        <f t="shared" si="4"/>
        <v>471.75</v>
      </c>
      <c r="P440" s="18">
        <f t="shared" si="5"/>
        <v>471.75</v>
      </c>
      <c r="Q440" s="8">
        <v>0.0</v>
      </c>
      <c r="R440" s="18">
        <f t="shared" si="6"/>
        <v>47.175</v>
      </c>
      <c r="S440" s="19" t="s">
        <v>29</v>
      </c>
      <c r="T440" s="19" t="s">
        <v>30</v>
      </c>
      <c r="U440" s="36" t="s">
        <v>370</v>
      </c>
      <c r="V440" s="37"/>
      <c r="W440" s="7"/>
      <c r="X440" s="7"/>
      <c r="Y440" s="7"/>
      <c r="Z440" s="7"/>
      <c r="AA440" s="7"/>
    </row>
    <row r="441" ht="18.75" customHeight="1">
      <c r="A441" s="22" t="s">
        <v>470</v>
      </c>
      <c r="B441" s="23" t="s">
        <v>471</v>
      </c>
      <c r="C441" s="23" t="s">
        <v>24</v>
      </c>
      <c r="D441" s="24">
        <v>2616.0</v>
      </c>
      <c r="E441" s="22" t="s">
        <v>369</v>
      </c>
      <c r="F441" s="25" t="s">
        <v>26</v>
      </c>
      <c r="G441" s="26" t="s">
        <v>27</v>
      </c>
      <c r="H441" s="27">
        <v>471.75</v>
      </c>
      <c r="I441" s="28">
        <v>10.0</v>
      </c>
      <c r="J441" s="29" t="s">
        <v>143</v>
      </c>
      <c r="K441" s="30"/>
      <c r="L441" s="31">
        <f t="shared" si="1"/>
        <v>0</v>
      </c>
      <c r="M441" s="31">
        <f t="shared" si="2"/>
        <v>10</v>
      </c>
      <c r="N441" s="32">
        <f t="shared" si="3"/>
        <v>0</v>
      </c>
      <c r="O441" s="32">
        <f t="shared" si="4"/>
        <v>471.75</v>
      </c>
      <c r="P441" s="32">
        <f t="shared" si="5"/>
        <v>471.75</v>
      </c>
      <c r="Q441" s="22">
        <v>0.0</v>
      </c>
      <c r="R441" s="32">
        <f t="shared" si="6"/>
        <v>47.175</v>
      </c>
      <c r="S441" s="33" t="s">
        <v>29</v>
      </c>
      <c r="T441" s="33" t="s">
        <v>30</v>
      </c>
      <c r="U441" s="38" t="s">
        <v>370</v>
      </c>
      <c r="V441" s="35"/>
      <c r="W441" s="7"/>
      <c r="X441" s="7"/>
      <c r="Y441" s="7"/>
      <c r="Z441" s="7"/>
      <c r="AA441" s="7"/>
    </row>
    <row r="442" ht="18.75" customHeight="1">
      <c r="A442" s="8" t="s">
        <v>470</v>
      </c>
      <c r="B442" s="9" t="s">
        <v>471</v>
      </c>
      <c r="C442" s="9" t="s">
        <v>24</v>
      </c>
      <c r="D442" s="10">
        <v>2617.0</v>
      </c>
      <c r="E442" s="8" t="s">
        <v>369</v>
      </c>
      <c r="F442" s="11" t="s">
        <v>26</v>
      </c>
      <c r="G442" s="12" t="s">
        <v>27</v>
      </c>
      <c r="H442" s="13">
        <v>471.75</v>
      </c>
      <c r="I442" s="14">
        <v>10.0</v>
      </c>
      <c r="J442" s="15" t="s">
        <v>143</v>
      </c>
      <c r="K442" s="16"/>
      <c r="L442" s="17">
        <f t="shared" si="1"/>
        <v>0</v>
      </c>
      <c r="M442" s="17">
        <f t="shared" si="2"/>
        <v>10</v>
      </c>
      <c r="N442" s="18">
        <f t="shared" si="3"/>
        <v>0</v>
      </c>
      <c r="O442" s="18">
        <f t="shared" si="4"/>
        <v>471.75</v>
      </c>
      <c r="P442" s="18">
        <f t="shared" si="5"/>
        <v>471.75</v>
      </c>
      <c r="Q442" s="8">
        <v>0.0</v>
      </c>
      <c r="R442" s="18">
        <f t="shared" si="6"/>
        <v>47.175</v>
      </c>
      <c r="S442" s="19" t="s">
        <v>29</v>
      </c>
      <c r="T442" s="19" t="s">
        <v>30</v>
      </c>
      <c r="U442" s="36" t="s">
        <v>370</v>
      </c>
      <c r="V442" s="37"/>
      <c r="W442" s="7"/>
      <c r="X442" s="7"/>
      <c r="Y442" s="7"/>
      <c r="Z442" s="7"/>
      <c r="AA442" s="7"/>
    </row>
    <row r="443" ht="18.75" customHeight="1">
      <c r="A443" s="22" t="s">
        <v>470</v>
      </c>
      <c r="B443" s="23" t="s">
        <v>471</v>
      </c>
      <c r="C443" s="23" t="s">
        <v>24</v>
      </c>
      <c r="D443" s="24">
        <v>2633.0</v>
      </c>
      <c r="E443" s="22" t="s">
        <v>625</v>
      </c>
      <c r="F443" s="25" t="s">
        <v>26</v>
      </c>
      <c r="G443" s="26" t="s">
        <v>27</v>
      </c>
      <c r="H443" s="27">
        <v>65.35</v>
      </c>
      <c r="I443" s="28">
        <v>5.0</v>
      </c>
      <c r="J443" s="29" t="s">
        <v>28</v>
      </c>
      <c r="K443" s="30">
        <v>0.4</v>
      </c>
      <c r="L443" s="31">
        <f t="shared" si="1"/>
        <v>2</v>
      </c>
      <c r="M443" s="31">
        <f t="shared" si="2"/>
        <v>3</v>
      </c>
      <c r="N443" s="32">
        <f t="shared" si="3"/>
        <v>26.14</v>
      </c>
      <c r="O443" s="32">
        <f t="shared" si="4"/>
        <v>39.21</v>
      </c>
      <c r="P443" s="32">
        <f t="shared" si="5"/>
        <v>39.21</v>
      </c>
      <c r="Q443" s="22">
        <v>0.0</v>
      </c>
      <c r="R443" s="32">
        <f t="shared" si="6"/>
        <v>13.07</v>
      </c>
      <c r="S443" s="33" t="s">
        <v>29</v>
      </c>
      <c r="T443" s="33" t="s">
        <v>30</v>
      </c>
      <c r="U443" s="34" t="s">
        <v>374</v>
      </c>
      <c r="V443" s="35"/>
      <c r="W443" s="7"/>
      <c r="X443" s="7"/>
      <c r="Y443" s="7"/>
      <c r="Z443" s="7"/>
      <c r="AA443" s="7"/>
    </row>
    <row r="444" ht="18.75" customHeight="1">
      <c r="A444" s="8" t="s">
        <v>470</v>
      </c>
      <c r="B444" s="9" t="s">
        <v>471</v>
      </c>
      <c r="C444" s="9" t="s">
        <v>24</v>
      </c>
      <c r="D444" s="10">
        <v>2634.0</v>
      </c>
      <c r="E444" s="8" t="s">
        <v>625</v>
      </c>
      <c r="F444" s="11" t="s">
        <v>26</v>
      </c>
      <c r="G444" s="12" t="s">
        <v>27</v>
      </c>
      <c r="H444" s="13">
        <v>65.35</v>
      </c>
      <c r="I444" s="14">
        <v>5.0</v>
      </c>
      <c r="J444" s="15" t="s">
        <v>28</v>
      </c>
      <c r="K444" s="16">
        <v>0.4</v>
      </c>
      <c r="L444" s="17">
        <f t="shared" si="1"/>
        <v>2</v>
      </c>
      <c r="M444" s="17">
        <f t="shared" si="2"/>
        <v>3</v>
      </c>
      <c r="N444" s="18">
        <f t="shared" si="3"/>
        <v>26.14</v>
      </c>
      <c r="O444" s="18">
        <f t="shared" si="4"/>
        <v>39.21</v>
      </c>
      <c r="P444" s="18">
        <f t="shared" si="5"/>
        <v>39.21</v>
      </c>
      <c r="Q444" s="8">
        <v>0.0</v>
      </c>
      <c r="R444" s="18">
        <f t="shared" si="6"/>
        <v>13.07</v>
      </c>
      <c r="S444" s="19" t="s">
        <v>29</v>
      </c>
      <c r="T444" s="19" t="s">
        <v>30</v>
      </c>
      <c r="U444" s="20" t="s">
        <v>374</v>
      </c>
      <c r="V444" s="37"/>
      <c r="W444" s="7"/>
      <c r="X444" s="7"/>
      <c r="Y444" s="7"/>
      <c r="Z444" s="7"/>
      <c r="AA444" s="7"/>
    </row>
    <row r="445" ht="18.75" customHeight="1">
      <c r="A445" s="22" t="s">
        <v>470</v>
      </c>
      <c r="B445" s="23" t="s">
        <v>471</v>
      </c>
      <c r="C445" s="23" t="s">
        <v>626</v>
      </c>
      <c r="D445" s="24">
        <v>2635.0</v>
      </c>
      <c r="E445" s="22" t="s">
        <v>627</v>
      </c>
      <c r="F445" s="25" t="s">
        <v>26</v>
      </c>
      <c r="G445" s="26" t="s">
        <v>27</v>
      </c>
      <c r="H445" s="27">
        <v>65.35</v>
      </c>
      <c r="I445" s="28">
        <v>5.0</v>
      </c>
      <c r="J445" s="29" t="s">
        <v>143</v>
      </c>
      <c r="K445" s="30"/>
      <c r="L445" s="31">
        <f t="shared" si="1"/>
        <v>0</v>
      </c>
      <c r="M445" s="31">
        <f t="shared" si="2"/>
        <v>5</v>
      </c>
      <c r="N445" s="32">
        <f t="shared" si="3"/>
        <v>0</v>
      </c>
      <c r="O445" s="32">
        <f t="shared" si="4"/>
        <v>65.35</v>
      </c>
      <c r="P445" s="32">
        <f t="shared" si="5"/>
        <v>65.35</v>
      </c>
      <c r="Q445" s="22">
        <v>0.0</v>
      </c>
      <c r="R445" s="32">
        <f t="shared" si="6"/>
        <v>13.07</v>
      </c>
      <c r="S445" s="33" t="s">
        <v>29</v>
      </c>
      <c r="T445" s="33" t="s">
        <v>30</v>
      </c>
      <c r="U445" s="34" t="s">
        <v>374</v>
      </c>
      <c r="V445" s="35"/>
      <c r="W445" s="7"/>
      <c r="X445" s="7"/>
      <c r="Y445" s="7"/>
      <c r="Z445" s="7"/>
      <c r="AA445" s="7"/>
    </row>
    <row r="446" ht="18.75" customHeight="1">
      <c r="A446" s="8" t="s">
        <v>470</v>
      </c>
      <c r="B446" s="9" t="s">
        <v>471</v>
      </c>
      <c r="C446" s="9" t="s">
        <v>626</v>
      </c>
      <c r="D446" s="10">
        <v>2636.0</v>
      </c>
      <c r="E446" s="8" t="s">
        <v>627</v>
      </c>
      <c r="F446" s="11" t="s">
        <v>26</v>
      </c>
      <c r="G446" s="12" t="s">
        <v>27</v>
      </c>
      <c r="H446" s="13">
        <v>65.35</v>
      </c>
      <c r="I446" s="14">
        <v>5.0</v>
      </c>
      <c r="J446" s="15" t="s">
        <v>143</v>
      </c>
      <c r="K446" s="16"/>
      <c r="L446" s="17">
        <f t="shared" si="1"/>
        <v>0</v>
      </c>
      <c r="M446" s="17">
        <f t="shared" si="2"/>
        <v>5</v>
      </c>
      <c r="N446" s="18">
        <f t="shared" si="3"/>
        <v>0</v>
      </c>
      <c r="O446" s="18">
        <f t="shared" si="4"/>
        <v>65.35</v>
      </c>
      <c r="P446" s="18">
        <f t="shared" si="5"/>
        <v>65.35</v>
      </c>
      <c r="Q446" s="8">
        <v>0.0</v>
      </c>
      <c r="R446" s="18">
        <f t="shared" si="6"/>
        <v>13.07</v>
      </c>
      <c r="S446" s="19" t="s">
        <v>29</v>
      </c>
      <c r="T446" s="19" t="s">
        <v>30</v>
      </c>
      <c r="U446" s="20" t="s">
        <v>374</v>
      </c>
      <c r="V446" s="37"/>
      <c r="W446" s="7"/>
      <c r="X446" s="7"/>
      <c r="Y446" s="7"/>
      <c r="Z446" s="7"/>
      <c r="AA446" s="7"/>
    </row>
    <row r="447" ht="18.75" customHeight="1">
      <c r="A447" s="22" t="s">
        <v>470</v>
      </c>
      <c r="B447" s="23" t="s">
        <v>471</v>
      </c>
      <c r="C447" s="23" t="s">
        <v>24</v>
      </c>
      <c r="D447" s="24">
        <v>2637.0</v>
      </c>
      <c r="E447" s="22" t="s">
        <v>628</v>
      </c>
      <c r="F447" s="25" t="s">
        <v>26</v>
      </c>
      <c r="G447" s="26" t="s">
        <v>27</v>
      </c>
      <c r="H447" s="27">
        <v>65.35</v>
      </c>
      <c r="I447" s="28">
        <v>5.0</v>
      </c>
      <c r="J447" s="29" t="s">
        <v>143</v>
      </c>
      <c r="K447" s="30"/>
      <c r="L447" s="31">
        <f t="shared" si="1"/>
        <v>0</v>
      </c>
      <c r="M447" s="31">
        <f t="shared" si="2"/>
        <v>5</v>
      </c>
      <c r="N447" s="32">
        <f t="shared" si="3"/>
        <v>0</v>
      </c>
      <c r="O447" s="32">
        <f t="shared" si="4"/>
        <v>65.35</v>
      </c>
      <c r="P447" s="32">
        <f t="shared" si="5"/>
        <v>65.35</v>
      </c>
      <c r="Q447" s="22">
        <v>0.0</v>
      </c>
      <c r="R447" s="32">
        <f t="shared" si="6"/>
        <v>13.07</v>
      </c>
      <c r="S447" s="33" t="s">
        <v>29</v>
      </c>
      <c r="T447" s="33" t="s">
        <v>30</v>
      </c>
      <c r="U447" s="34" t="s">
        <v>374</v>
      </c>
      <c r="V447" s="35"/>
      <c r="W447" s="7"/>
      <c r="X447" s="7"/>
      <c r="Y447" s="7"/>
      <c r="Z447" s="7"/>
      <c r="AA447" s="7"/>
    </row>
    <row r="448" ht="18.75" customHeight="1">
      <c r="A448" s="8" t="s">
        <v>470</v>
      </c>
      <c r="B448" s="9" t="s">
        <v>471</v>
      </c>
      <c r="C448" s="9" t="s">
        <v>24</v>
      </c>
      <c r="D448" s="10">
        <v>2638.0</v>
      </c>
      <c r="E448" s="8" t="s">
        <v>628</v>
      </c>
      <c r="F448" s="11" t="s">
        <v>26</v>
      </c>
      <c r="G448" s="12" t="s">
        <v>27</v>
      </c>
      <c r="H448" s="13">
        <v>65.35</v>
      </c>
      <c r="I448" s="14">
        <v>5.0</v>
      </c>
      <c r="J448" s="15" t="s">
        <v>143</v>
      </c>
      <c r="K448" s="16"/>
      <c r="L448" s="17">
        <f t="shared" si="1"/>
        <v>0</v>
      </c>
      <c r="M448" s="17">
        <f t="shared" si="2"/>
        <v>5</v>
      </c>
      <c r="N448" s="18">
        <f t="shared" si="3"/>
        <v>0</v>
      </c>
      <c r="O448" s="18">
        <f t="shared" si="4"/>
        <v>65.35</v>
      </c>
      <c r="P448" s="18">
        <f t="shared" si="5"/>
        <v>65.35</v>
      </c>
      <c r="Q448" s="8">
        <v>0.0</v>
      </c>
      <c r="R448" s="18">
        <f t="shared" si="6"/>
        <v>13.07</v>
      </c>
      <c r="S448" s="19" t="s">
        <v>29</v>
      </c>
      <c r="T448" s="19" t="s">
        <v>30</v>
      </c>
      <c r="U448" s="20" t="s">
        <v>374</v>
      </c>
      <c r="V448" s="37"/>
      <c r="W448" s="7"/>
      <c r="X448" s="7"/>
      <c r="Y448" s="7"/>
      <c r="Z448" s="7"/>
      <c r="AA448" s="7"/>
    </row>
    <row r="449" ht="18.75" customHeight="1">
      <c r="A449" s="22" t="s">
        <v>470</v>
      </c>
      <c r="B449" s="23" t="s">
        <v>471</v>
      </c>
      <c r="C449" s="23" t="s">
        <v>24</v>
      </c>
      <c r="D449" s="24">
        <v>2666.0</v>
      </c>
      <c r="E449" s="22" t="s">
        <v>378</v>
      </c>
      <c r="F449" s="25" t="s">
        <v>26</v>
      </c>
      <c r="G449" s="26" t="s">
        <v>27</v>
      </c>
      <c r="H449" s="27">
        <v>1268.25</v>
      </c>
      <c r="I449" s="28">
        <v>10.0</v>
      </c>
      <c r="J449" s="29" t="s">
        <v>28</v>
      </c>
      <c r="K449" s="30">
        <v>0.4</v>
      </c>
      <c r="L449" s="31">
        <f t="shared" si="1"/>
        <v>4</v>
      </c>
      <c r="M449" s="31">
        <f t="shared" si="2"/>
        <v>6</v>
      </c>
      <c r="N449" s="32">
        <f t="shared" si="3"/>
        <v>507.3</v>
      </c>
      <c r="O449" s="32">
        <f t="shared" si="4"/>
        <v>760.95</v>
      </c>
      <c r="P449" s="32">
        <f t="shared" si="5"/>
        <v>760.95</v>
      </c>
      <c r="Q449" s="22">
        <v>0.0</v>
      </c>
      <c r="R449" s="32">
        <f t="shared" si="6"/>
        <v>126.825</v>
      </c>
      <c r="S449" s="33" t="s">
        <v>29</v>
      </c>
      <c r="T449" s="33" t="s">
        <v>30</v>
      </c>
      <c r="U449" s="38" t="s">
        <v>379</v>
      </c>
      <c r="V449" s="35"/>
      <c r="W449" s="7"/>
      <c r="X449" s="7"/>
      <c r="Y449" s="7"/>
      <c r="Z449" s="7"/>
      <c r="AA449" s="7"/>
    </row>
    <row r="450" ht="18.75" customHeight="1">
      <c r="A450" s="8" t="s">
        <v>470</v>
      </c>
      <c r="B450" s="9" t="s">
        <v>471</v>
      </c>
      <c r="C450" s="9" t="s">
        <v>24</v>
      </c>
      <c r="D450" s="10">
        <v>2667.0</v>
      </c>
      <c r="E450" s="8" t="s">
        <v>378</v>
      </c>
      <c r="F450" s="11" t="s">
        <v>26</v>
      </c>
      <c r="G450" s="12" t="s">
        <v>27</v>
      </c>
      <c r="H450" s="13">
        <v>1268.25</v>
      </c>
      <c r="I450" s="14">
        <v>10.0</v>
      </c>
      <c r="J450" s="15" t="s">
        <v>28</v>
      </c>
      <c r="K450" s="16">
        <v>0.4</v>
      </c>
      <c r="L450" s="17">
        <f t="shared" si="1"/>
        <v>4</v>
      </c>
      <c r="M450" s="17">
        <f t="shared" si="2"/>
        <v>6</v>
      </c>
      <c r="N450" s="18">
        <f t="shared" si="3"/>
        <v>507.3</v>
      </c>
      <c r="O450" s="18">
        <f t="shared" si="4"/>
        <v>760.95</v>
      </c>
      <c r="P450" s="18">
        <f t="shared" si="5"/>
        <v>760.95</v>
      </c>
      <c r="Q450" s="8">
        <v>0.0</v>
      </c>
      <c r="R450" s="18">
        <f t="shared" si="6"/>
        <v>126.825</v>
      </c>
      <c r="S450" s="19" t="s">
        <v>29</v>
      </c>
      <c r="T450" s="19" t="s">
        <v>30</v>
      </c>
      <c r="U450" s="36" t="s">
        <v>379</v>
      </c>
      <c r="V450" s="37"/>
      <c r="W450" s="7"/>
      <c r="X450" s="7"/>
      <c r="Y450" s="7"/>
      <c r="Z450" s="7"/>
      <c r="AA450" s="7"/>
    </row>
    <row r="451" ht="18.75" customHeight="1">
      <c r="A451" s="22" t="s">
        <v>470</v>
      </c>
      <c r="B451" s="23" t="s">
        <v>471</v>
      </c>
      <c r="C451" s="23" t="s">
        <v>24</v>
      </c>
      <c r="D451" s="24">
        <v>2725.0</v>
      </c>
      <c r="E451" s="22" t="s">
        <v>629</v>
      </c>
      <c r="F451" s="25" t="s">
        <v>26</v>
      </c>
      <c r="G451" s="26" t="s">
        <v>27</v>
      </c>
      <c r="H451" s="27">
        <v>976.03</v>
      </c>
      <c r="I451" s="28">
        <v>5.0</v>
      </c>
      <c r="J451" s="29" t="s">
        <v>54</v>
      </c>
      <c r="K451" s="30">
        <v>0.3</v>
      </c>
      <c r="L451" s="31">
        <f t="shared" si="1"/>
        <v>1.5</v>
      </c>
      <c r="M451" s="31">
        <f t="shared" si="2"/>
        <v>3.5</v>
      </c>
      <c r="N451" s="32">
        <f t="shared" si="3"/>
        <v>292.809</v>
      </c>
      <c r="O451" s="32">
        <f t="shared" si="4"/>
        <v>683.221</v>
      </c>
      <c r="P451" s="32">
        <f t="shared" si="5"/>
        <v>683.221</v>
      </c>
      <c r="Q451" s="22">
        <v>0.0</v>
      </c>
      <c r="R451" s="32">
        <f t="shared" si="6"/>
        <v>195.206</v>
      </c>
      <c r="S451" s="33" t="s">
        <v>29</v>
      </c>
      <c r="T451" s="33" t="s">
        <v>30</v>
      </c>
      <c r="U451" s="38" t="s">
        <v>620</v>
      </c>
      <c r="V451" s="35"/>
      <c r="W451" s="7"/>
      <c r="X451" s="7"/>
      <c r="Y451" s="7"/>
      <c r="Z451" s="7"/>
      <c r="AA451" s="7"/>
    </row>
    <row r="452" ht="18.75" customHeight="1">
      <c r="A452" s="8" t="s">
        <v>470</v>
      </c>
      <c r="B452" s="9" t="s">
        <v>471</v>
      </c>
      <c r="C452" s="9" t="s">
        <v>24</v>
      </c>
      <c r="D452" s="10">
        <v>2726.0</v>
      </c>
      <c r="E452" s="8" t="s">
        <v>630</v>
      </c>
      <c r="F452" s="11" t="s">
        <v>26</v>
      </c>
      <c r="G452" s="12" t="s">
        <v>27</v>
      </c>
      <c r="H452" s="13">
        <v>976.03</v>
      </c>
      <c r="I452" s="14">
        <v>5.0</v>
      </c>
      <c r="J452" s="15" t="s">
        <v>38</v>
      </c>
      <c r="K452" s="16">
        <v>0.5</v>
      </c>
      <c r="L452" s="17">
        <f t="shared" si="1"/>
        <v>2.5</v>
      </c>
      <c r="M452" s="17">
        <f t="shared" si="2"/>
        <v>2.5</v>
      </c>
      <c r="N452" s="18">
        <f t="shared" si="3"/>
        <v>488.015</v>
      </c>
      <c r="O452" s="18">
        <f t="shared" si="4"/>
        <v>488.015</v>
      </c>
      <c r="P452" s="18">
        <f t="shared" si="5"/>
        <v>488.015</v>
      </c>
      <c r="Q452" s="8">
        <v>0.0</v>
      </c>
      <c r="R452" s="18">
        <f t="shared" si="6"/>
        <v>195.206</v>
      </c>
      <c r="S452" s="19" t="s">
        <v>29</v>
      </c>
      <c r="T452" s="19" t="s">
        <v>30</v>
      </c>
      <c r="U452" s="36" t="s">
        <v>620</v>
      </c>
      <c r="V452" s="37"/>
      <c r="W452" s="7"/>
      <c r="X452" s="7"/>
      <c r="Y452" s="7"/>
      <c r="Z452" s="7"/>
      <c r="AA452" s="7"/>
    </row>
    <row r="453" ht="18.75" customHeight="1">
      <c r="A453" s="22" t="s">
        <v>470</v>
      </c>
      <c r="B453" s="23" t="s">
        <v>471</v>
      </c>
      <c r="C453" s="23" t="s">
        <v>24</v>
      </c>
      <c r="D453" s="51">
        <v>2789.0</v>
      </c>
      <c r="E453" s="22" t="s">
        <v>631</v>
      </c>
      <c r="F453" s="25" t="s">
        <v>26</v>
      </c>
      <c r="G453" s="26" t="s">
        <v>27</v>
      </c>
      <c r="H453" s="56">
        <v>1260.63</v>
      </c>
      <c r="I453" s="28">
        <v>5.0</v>
      </c>
      <c r="J453" s="29" t="s">
        <v>54</v>
      </c>
      <c r="K453" s="30">
        <v>0.3</v>
      </c>
      <c r="L453" s="31">
        <f t="shared" si="1"/>
        <v>1.5</v>
      </c>
      <c r="M453" s="31">
        <f t="shared" si="2"/>
        <v>3.5</v>
      </c>
      <c r="N453" s="32">
        <f t="shared" si="3"/>
        <v>378.189</v>
      </c>
      <c r="O453" s="32">
        <f t="shared" si="4"/>
        <v>882.441</v>
      </c>
      <c r="P453" s="32">
        <f t="shared" si="5"/>
        <v>882.441</v>
      </c>
      <c r="Q453" s="22">
        <v>0.0</v>
      </c>
      <c r="R453" s="32">
        <f t="shared" si="6"/>
        <v>252.126</v>
      </c>
      <c r="S453" s="33" t="s">
        <v>29</v>
      </c>
      <c r="T453" s="33" t="s">
        <v>30</v>
      </c>
      <c r="U453" s="34" t="s">
        <v>102</v>
      </c>
      <c r="V453" s="35"/>
      <c r="W453" s="7"/>
      <c r="X453" s="7"/>
      <c r="Y453" s="7"/>
      <c r="Z453" s="7"/>
      <c r="AA453" s="7"/>
    </row>
    <row r="454" ht="18.75" customHeight="1">
      <c r="A454" s="8" t="s">
        <v>470</v>
      </c>
      <c r="B454" s="9" t="s">
        <v>471</v>
      </c>
      <c r="C454" s="8" t="s">
        <v>230</v>
      </c>
      <c r="D454" s="50">
        <v>2790.0</v>
      </c>
      <c r="E454" s="8" t="s">
        <v>632</v>
      </c>
      <c r="F454" s="11" t="s">
        <v>26</v>
      </c>
      <c r="G454" s="12" t="s">
        <v>27</v>
      </c>
      <c r="H454" s="13">
        <v>1389.99</v>
      </c>
      <c r="I454" s="14">
        <v>5.0</v>
      </c>
      <c r="J454" s="15" t="s">
        <v>28</v>
      </c>
      <c r="K454" s="16">
        <v>0.4</v>
      </c>
      <c r="L454" s="17">
        <f t="shared" si="1"/>
        <v>2</v>
      </c>
      <c r="M454" s="17">
        <f t="shared" si="2"/>
        <v>3</v>
      </c>
      <c r="N454" s="18">
        <f t="shared" si="3"/>
        <v>555.996</v>
      </c>
      <c r="O454" s="18">
        <f t="shared" si="4"/>
        <v>833.994</v>
      </c>
      <c r="P454" s="18">
        <f t="shared" si="5"/>
        <v>833.994</v>
      </c>
      <c r="Q454" s="8">
        <v>0.0</v>
      </c>
      <c r="R454" s="18">
        <f t="shared" si="6"/>
        <v>277.998</v>
      </c>
      <c r="S454" s="19" t="s">
        <v>29</v>
      </c>
      <c r="T454" s="19" t="s">
        <v>30</v>
      </c>
      <c r="U454" s="20" t="s">
        <v>59</v>
      </c>
      <c r="V454" s="37"/>
      <c r="W454" s="7"/>
      <c r="X454" s="7"/>
      <c r="Y454" s="7"/>
      <c r="Z454" s="7"/>
      <c r="AA454" s="7"/>
    </row>
    <row r="455" ht="18.75" customHeight="1">
      <c r="A455" s="22" t="s">
        <v>470</v>
      </c>
      <c r="B455" s="23" t="s">
        <v>471</v>
      </c>
      <c r="C455" s="22" t="s">
        <v>195</v>
      </c>
      <c r="D455" s="51">
        <v>2891.0</v>
      </c>
      <c r="E455" s="22" t="s">
        <v>633</v>
      </c>
      <c r="F455" s="25" t="s">
        <v>37</v>
      </c>
      <c r="G455" s="26" t="s">
        <v>27</v>
      </c>
      <c r="H455" s="27">
        <v>549.97</v>
      </c>
      <c r="I455" s="28">
        <v>10.0</v>
      </c>
      <c r="J455" s="29" t="s">
        <v>38</v>
      </c>
      <c r="K455" s="30">
        <v>0.5</v>
      </c>
      <c r="L455" s="31">
        <f t="shared" si="1"/>
        <v>5</v>
      </c>
      <c r="M455" s="31">
        <f t="shared" si="2"/>
        <v>5</v>
      </c>
      <c r="N455" s="32">
        <f t="shared" si="3"/>
        <v>274.985</v>
      </c>
      <c r="O455" s="32">
        <f t="shared" si="4"/>
        <v>274.985</v>
      </c>
      <c r="P455" s="32">
        <f t="shared" si="5"/>
        <v>274.985</v>
      </c>
      <c r="Q455" s="22">
        <v>0.0</v>
      </c>
      <c r="R455" s="32">
        <f t="shared" si="6"/>
        <v>54.997</v>
      </c>
      <c r="S455" s="33" t="s">
        <v>29</v>
      </c>
      <c r="T455" s="33" t="s">
        <v>30</v>
      </c>
      <c r="U455" s="38" t="s">
        <v>546</v>
      </c>
      <c r="V455" s="35"/>
      <c r="W455" s="7"/>
      <c r="X455" s="7"/>
      <c r="Y455" s="7"/>
      <c r="Z455" s="7"/>
      <c r="AA455" s="7"/>
    </row>
    <row r="456" ht="18.75" customHeight="1">
      <c r="A456" s="8" t="s">
        <v>470</v>
      </c>
      <c r="B456" s="9" t="s">
        <v>471</v>
      </c>
      <c r="C456" s="8" t="s">
        <v>195</v>
      </c>
      <c r="D456" s="50">
        <v>2892.0</v>
      </c>
      <c r="E456" s="8" t="s">
        <v>634</v>
      </c>
      <c r="F456" s="11" t="s">
        <v>37</v>
      </c>
      <c r="G456" s="12" t="s">
        <v>27</v>
      </c>
      <c r="H456" s="13">
        <v>854.05</v>
      </c>
      <c r="I456" s="14">
        <v>10.0</v>
      </c>
      <c r="J456" s="15" t="s">
        <v>54</v>
      </c>
      <c r="K456" s="16">
        <v>0.3</v>
      </c>
      <c r="L456" s="17">
        <f t="shared" si="1"/>
        <v>3</v>
      </c>
      <c r="M456" s="17">
        <f t="shared" si="2"/>
        <v>7</v>
      </c>
      <c r="N456" s="18">
        <f t="shared" si="3"/>
        <v>256.215</v>
      </c>
      <c r="O456" s="18">
        <f t="shared" si="4"/>
        <v>597.835</v>
      </c>
      <c r="P456" s="18">
        <f t="shared" si="5"/>
        <v>597.835</v>
      </c>
      <c r="Q456" s="8">
        <v>0.0</v>
      </c>
      <c r="R456" s="18">
        <f t="shared" si="6"/>
        <v>85.405</v>
      </c>
      <c r="S456" s="19" t="s">
        <v>29</v>
      </c>
      <c r="T456" s="19" t="s">
        <v>30</v>
      </c>
      <c r="U456" s="36" t="s">
        <v>635</v>
      </c>
      <c r="V456" s="37"/>
      <c r="W456" s="7"/>
      <c r="X456" s="7"/>
      <c r="Y456" s="7"/>
      <c r="Z456" s="7"/>
      <c r="AA456" s="7"/>
    </row>
    <row r="457" ht="18.75" customHeight="1">
      <c r="A457" s="22" t="s">
        <v>470</v>
      </c>
      <c r="B457" s="23" t="s">
        <v>471</v>
      </c>
      <c r="C457" s="22" t="s">
        <v>195</v>
      </c>
      <c r="D457" s="51">
        <v>2893.0</v>
      </c>
      <c r="E457" s="22" t="s">
        <v>633</v>
      </c>
      <c r="F457" s="25" t="s">
        <v>37</v>
      </c>
      <c r="G457" s="26" t="s">
        <v>27</v>
      </c>
      <c r="H457" s="27">
        <v>549.97</v>
      </c>
      <c r="I457" s="28">
        <v>10.0</v>
      </c>
      <c r="J457" s="29" t="s">
        <v>54</v>
      </c>
      <c r="K457" s="30">
        <v>0.3</v>
      </c>
      <c r="L457" s="31">
        <f t="shared" si="1"/>
        <v>3</v>
      </c>
      <c r="M457" s="31">
        <f t="shared" si="2"/>
        <v>7</v>
      </c>
      <c r="N457" s="32">
        <f t="shared" si="3"/>
        <v>164.991</v>
      </c>
      <c r="O457" s="32">
        <f t="shared" si="4"/>
        <v>384.979</v>
      </c>
      <c r="P457" s="32">
        <f t="shared" si="5"/>
        <v>384.979</v>
      </c>
      <c r="Q457" s="22">
        <v>0.0</v>
      </c>
      <c r="R457" s="32">
        <f t="shared" si="6"/>
        <v>54.997</v>
      </c>
      <c r="S457" s="33" t="s">
        <v>29</v>
      </c>
      <c r="T457" s="33" t="s">
        <v>30</v>
      </c>
      <c r="U457" s="38" t="s">
        <v>546</v>
      </c>
      <c r="V457" s="35"/>
      <c r="W457" s="7"/>
      <c r="X457" s="7"/>
      <c r="Y457" s="7"/>
      <c r="Z457" s="7"/>
      <c r="AA457" s="7"/>
    </row>
    <row r="458" ht="18.75" customHeight="1">
      <c r="A458" s="8" t="s">
        <v>470</v>
      </c>
      <c r="B458" s="9" t="s">
        <v>471</v>
      </c>
      <c r="C458" s="9" t="s">
        <v>150</v>
      </c>
      <c r="D458" s="10">
        <v>3122.0</v>
      </c>
      <c r="E458" s="8" t="s">
        <v>636</v>
      </c>
      <c r="F458" s="11" t="s">
        <v>26</v>
      </c>
      <c r="G458" s="12" t="s">
        <v>27</v>
      </c>
      <c r="H458" s="13">
        <v>2338.0</v>
      </c>
      <c r="I458" s="14">
        <v>10.0</v>
      </c>
      <c r="J458" s="15" t="s">
        <v>28</v>
      </c>
      <c r="K458" s="16">
        <v>0.4</v>
      </c>
      <c r="L458" s="17">
        <f t="shared" si="1"/>
        <v>4</v>
      </c>
      <c r="M458" s="17">
        <f t="shared" si="2"/>
        <v>6</v>
      </c>
      <c r="N458" s="18">
        <f t="shared" si="3"/>
        <v>935.2</v>
      </c>
      <c r="O458" s="18">
        <f t="shared" si="4"/>
        <v>1402.8</v>
      </c>
      <c r="P458" s="18">
        <f t="shared" si="5"/>
        <v>1402.8</v>
      </c>
      <c r="Q458" s="8">
        <v>0.0</v>
      </c>
      <c r="R458" s="18">
        <f t="shared" si="6"/>
        <v>233.8</v>
      </c>
      <c r="S458" s="19" t="s">
        <v>29</v>
      </c>
      <c r="T458" s="19" t="s">
        <v>30</v>
      </c>
      <c r="U458" s="36" t="s">
        <v>45</v>
      </c>
      <c r="V458" s="37"/>
      <c r="W458" s="7"/>
      <c r="X458" s="7"/>
      <c r="Y458" s="7"/>
      <c r="Z458" s="7"/>
      <c r="AA458" s="7"/>
    </row>
    <row r="459" ht="18.75" customHeight="1">
      <c r="A459" s="22" t="s">
        <v>470</v>
      </c>
      <c r="B459" s="23" t="s">
        <v>471</v>
      </c>
      <c r="C459" s="22" t="s">
        <v>33</v>
      </c>
      <c r="D459" s="51">
        <v>3129.0</v>
      </c>
      <c r="E459" s="22" t="s">
        <v>637</v>
      </c>
      <c r="F459" s="25" t="s">
        <v>26</v>
      </c>
      <c r="G459" s="26" t="s">
        <v>27</v>
      </c>
      <c r="H459" s="27">
        <v>603.0</v>
      </c>
      <c r="I459" s="28">
        <v>5.0</v>
      </c>
      <c r="J459" s="29" t="s">
        <v>81</v>
      </c>
      <c r="K459" s="30">
        <v>0.15</v>
      </c>
      <c r="L459" s="31">
        <f t="shared" si="1"/>
        <v>0.75</v>
      </c>
      <c r="M459" s="31">
        <f t="shared" si="2"/>
        <v>4.25</v>
      </c>
      <c r="N459" s="32">
        <f t="shared" si="3"/>
        <v>90.45</v>
      </c>
      <c r="O459" s="32">
        <f t="shared" si="4"/>
        <v>512.55</v>
      </c>
      <c r="P459" s="32">
        <f t="shared" si="5"/>
        <v>512.55</v>
      </c>
      <c r="Q459" s="22">
        <v>0.0</v>
      </c>
      <c r="R459" s="32">
        <f t="shared" si="6"/>
        <v>120.6</v>
      </c>
      <c r="S459" s="33" t="s">
        <v>29</v>
      </c>
      <c r="T459" s="33" t="s">
        <v>30</v>
      </c>
      <c r="U459" s="34" t="s">
        <v>79</v>
      </c>
      <c r="V459" s="35"/>
      <c r="W459" s="7"/>
      <c r="X459" s="7"/>
      <c r="Y459" s="7"/>
      <c r="Z459" s="7"/>
      <c r="AA459" s="7"/>
    </row>
    <row r="460" ht="18.75" customHeight="1">
      <c r="A460" s="8" t="s">
        <v>470</v>
      </c>
      <c r="B460" s="9" t="s">
        <v>471</v>
      </c>
      <c r="C460" s="8" t="s">
        <v>33</v>
      </c>
      <c r="D460" s="50">
        <v>3146.0</v>
      </c>
      <c r="E460" s="8" t="s">
        <v>638</v>
      </c>
      <c r="F460" s="11" t="s">
        <v>26</v>
      </c>
      <c r="G460" s="12" t="s">
        <v>27</v>
      </c>
      <c r="H460" s="13">
        <v>6583.2</v>
      </c>
      <c r="I460" s="14">
        <v>10.0</v>
      </c>
      <c r="J460" s="15" t="s">
        <v>28</v>
      </c>
      <c r="K460" s="16">
        <v>0.4</v>
      </c>
      <c r="L460" s="17">
        <f t="shared" si="1"/>
        <v>4</v>
      </c>
      <c r="M460" s="17">
        <f t="shared" si="2"/>
        <v>6</v>
      </c>
      <c r="N460" s="18">
        <f t="shared" si="3"/>
        <v>2633.28</v>
      </c>
      <c r="O460" s="18">
        <f t="shared" si="4"/>
        <v>3949.92</v>
      </c>
      <c r="P460" s="18">
        <f t="shared" si="5"/>
        <v>3949.92</v>
      </c>
      <c r="Q460" s="8">
        <v>0.0</v>
      </c>
      <c r="R460" s="18">
        <f t="shared" si="6"/>
        <v>658.32</v>
      </c>
      <c r="S460" s="19" t="s">
        <v>29</v>
      </c>
      <c r="T460" s="19" t="s">
        <v>30</v>
      </c>
      <c r="U460" s="20" t="s">
        <v>312</v>
      </c>
      <c r="V460" s="37"/>
      <c r="W460" s="7"/>
      <c r="X460" s="7"/>
      <c r="Y460" s="7"/>
      <c r="Z460" s="7"/>
      <c r="AA460" s="7"/>
    </row>
    <row r="461" ht="18.75" customHeight="1">
      <c r="A461" s="22" t="s">
        <v>470</v>
      </c>
      <c r="B461" s="23" t="s">
        <v>471</v>
      </c>
      <c r="C461" s="22" t="s">
        <v>33</v>
      </c>
      <c r="D461" s="51">
        <v>3160.0</v>
      </c>
      <c r="E461" s="22" t="s">
        <v>639</v>
      </c>
      <c r="F461" s="25" t="s">
        <v>26</v>
      </c>
      <c r="G461" s="26" t="s">
        <v>27</v>
      </c>
      <c r="H461" s="27">
        <v>15638.9</v>
      </c>
      <c r="I461" s="28">
        <v>10.0</v>
      </c>
      <c r="J461" s="29" t="s">
        <v>81</v>
      </c>
      <c r="K461" s="30">
        <v>0.15</v>
      </c>
      <c r="L461" s="31">
        <f t="shared" si="1"/>
        <v>1.5</v>
      </c>
      <c r="M461" s="31">
        <f t="shared" si="2"/>
        <v>8.5</v>
      </c>
      <c r="N461" s="32">
        <f t="shared" si="3"/>
        <v>2345.835</v>
      </c>
      <c r="O461" s="32">
        <f t="shared" si="4"/>
        <v>13293.065</v>
      </c>
      <c r="P461" s="32">
        <f t="shared" si="5"/>
        <v>13293.065</v>
      </c>
      <c r="Q461" s="22">
        <v>0.0</v>
      </c>
      <c r="R461" s="32">
        <f t="shared" si="6"/>
        <v>1563.89</v>
      </c>
      <c r="S461" s="33" t="s">
        <v>29</v>
      </c>
      <c r="T461" s="33" t="s">
        <v>30</v>
      </c>
      <c r="U461" s="34" t="s">
        <v>35</v>
      </c>
      <c r="V461" s="35"/>
      <c r="W461" s="7"/>
      <c r="X461" s="7"/>
      <c r="Y461" s="7"/>
      <c r="Z461" s="7"/>
      <c r="AA461" s="7"/>
    </row>
    <row r="462" ht="18.75" customHeight="1">
      <c r="A462" s="8" t="s">
        <v>470</v>
      </c>
      <c r="B462" s="9" t="s">
        <v>471</v>
      </c>
      <c r="C462" s="8" t="s">
        <v>33</v>
      </c>
      <c r="D462" s="50">
        <v>3161.0</v>
      </c>
      <c r="E462" s="8" t="s">
        <v>640</v>
      </c>
      <c r="F462" s="11" t="s">
        <v>26</v>
      </c>
      <c r="G462" s="12" t="s">
        <v>27</v>
      </c>
      <c r="H462" s="13">
        <v>328.8</v>
      </c>
      <c r="I462" s="14">
        <v>5.0</v>
      </c>
      <c r="J462" s="15" t="s">
        <v>38</v>
      </c>
      <c r="K462" s="16">
        <v>0.5</v>
      </c>
      <c r="L462" s="17">
        <f t="shared" si="1"/>
        <v>2.5</v>
      </c>
      <c r="M462" s="17">
        <f t="shared" si="2"/>
        <v>2.5</v>
      </c>
      <c r="N462" s="18">
        <f t="shared" si="3"/>
        <v>164.4</v>
      </c>
      <c r="O462" s="18">
        <f t="shared" si="4"/>
        <v>164.4</v>
      </c>
      <c r="P462" s="18">
        <f t="shared" si="5"/>
        <v>164.4</v>
      </c>
      <c r="Q462" s="8">
        <v>0.0</v>
      </c>
      <c r="R462" s="18">
        <f t="shared" si="6"/>
        <v>65.76</v>
      </c>
      <c r="S462" s="19" t="s">
        <v>29</v>
      </c>
      <c r="T462" s="19" t="s">
        <v>30</v>
      </c>
      <c r="U462" s="20" t="s">
        <v>344</v>
      </c>
      <c r="V462" s="37"/>
      <c r="W462" s="7"/>
      <c r="X462" s="7"/>
      <c r="Y462" s="7"/>
      <c r="Z462" s="7"/>
      <c r="AA462" s="7"/>
    </row>
    <row r="463" ht="18.75" customHeight="1">
      <c r="A463" s="22" t="s">
        <v>470</v>
      </c>
      <c r="B463" s="23" t="s">
        <v>471</v>
      </c>
      <c r="C463" s="22" t="s">
        <v>24</v>
      </c>
      <c r="D463" s="51">
        <v>3165.0</v>
      </c>
      <c r="E463" s="22" t="s">
        <v>472</v>
      </c>
      <c r="F463" s="25" t="s">
        <v>26</v>
      </c>
      <c r="G463" s="26" t="s">
        <v>27</v>
      </c>
      <c r="H463" s="27">
        <v>129.9</v>
      </c>
      <c r="I463" s="28">
        <v>5.0</v>
      </c>
      <c r="J463" s="29" t="s">
        <v>54</v>
      </c>
      <c r="K463" s="30">
        <v>0.3</v>
      </c>
      <c r="L463" s="31">
        <f t="shared" si="1"/>
        <v>1.5</v>
      </c>
      <c r="M463" s="31">
        <f t="shared" si="2"/>
        <v>3.5</v>
      </c>
      <c r="N463" s="32">
        <f t="shared" si="3"/>
        <v>38.97</v>
      </c>
      <c r="O463" s="32">
        <f t="shared" si="4"/>
        <v>90.93</v>
      </c>
      <c r="P463" s="32">
        <f t="shared" si="5"/>
        <v>90.93</v>
      </c>
      <c r="Q463" s="22">
        <v>0.0</v>
      </c>
      <c r="R463" s="32">
        <f t="shared" si="6"/>
        <v>25.98</v>
      </c>
      <c r="S463" s="33" t="s">
        <v>29</v>
      </c>
      <c r="T463" s="33" t="s">
        <v>30</v>
      </c>
      <c r="U463" s="34" t="s">
        <v>372</v>
      </c>
      <c r="V463" s="35"/>
      <c r="W463" s="7"/>
      <c r="X463" s="7"/>
      <c r="Y463" s="7"/>
      <c r="Z463" s="7"/>
      <c r="AA463" s="7"/>
    </row>
    <row r="464" ht="18.75" customHeight="1">
      <c r="A464" s="8" t="s">
        <v>641</v>
      </c>
      <c r="B464" s="9" t="s">
        <v>642</v>
      </c>
      <c r="C464" s="9" t="s">
        <v>433</v>
      </c>
      <c r="D464" s="10">
        <v>0.0</v>
      </c>
      <c r="E464" s="8" t="s">
        <v>643</v>
      </c>
      <c r="F464" s="11" t="s">
        <v>26</v>
      </c>
      <c r="G464" s="12" t="s">
        <v>27</v>
      </c>
      <c r="H464" s="13">
        <v>463.56</v>
      </c>
      <c r="I464" s="14">
        <v>5.0</v>
      </c>
      <c r="J464" s="15" t="s">
        <v>38</v>
      </c>
      <c r="K464" s="16">
        <v>0.5</v>
      </c>
      <c r="L464" s="17">
        <f t="shared" si="1"/>
        <v>2.5</v>
      </c>
      <c r="M464" s="17">
        <f t="shared" si="2"/>
        <v>2.5</v>
      </c>
      <c r="N464" s="18">
        <f t="shared" si="3"/>
        <v>231.78</v>
      </c>
      <c r="O464" s="18">
        <f t="shared" si="4"/>
        <v>231.78</v>
      </c>
      <c r="P464" s="18">
        <f t="shared" si="5"/>
        <v>231.78</v>
      </c>
      <c r="Q464" s="8">
        <v>0.0</v>
      </c>
      <c r="R464" s="18">
        <f t="shared" si="6"/>
        <v>92.712</v>
      </c>
      <c r="S464" s="19" t="s">
        <v>29</v>
      </c>
      <c r="T464" s="19" t="s">
        <v>30</v>
      </c>
      <c r="U464" s="20" t="s">
        <v>125</v>
      </c>
      <c r="V464" s="37"/>
      <c r="W464" s="7"/>
      <c r="X464" s="7"/>
      <c r="Y464" s="7"/>
      <c r="Z464" s="7"/>
      <c r="AA464" s="7"/>
    </row>
    <row r="465" ht="18.75" customHeight="1">
      <c r="A465" s="22" t="s">
        <v>641</v>
      </c>
      <c r="B465" s="23" t="s">
        <v>642</v>
      </c>
      <c r="C465" s="23" t="s">
        <v>433</v>
      </c>
      <c r="D465" s="24">
        <v>0.0</v>
      </c>
      <c r="E465" s="22" t="s">
        <v>644</v>
      </c>
      <c r="F465" s="25" t="s">
        <v>26</v>
      </c>
      <c r="G465" s="26" t="s">
        <v>27</v>
      </c>
      <c r="H465" s="27">
        <v>651.75</v>
      </c>
      <c r="I465" s="28">
        <v>5.0</v>
      </c>
      <c r="J465" s="29" t="s">
        <v>38</v>
      </c>
      <c r="K465" s="30">
        <v>0.5</v>
      </c>
      <c r="L465" s="31">
        <f t="shared" si="1"/>
        <v>2.5</v>
      </c>
      <c r="M465" s="31">
        <f t="shared" si="2"/>
        <v>2.5</v>
      </c>
      <c r="N465" s="32">
        <f t="shared" si="3"/>
        <v>325.875</v>
      </c>
      <c r="O465" s="32">
        <f t="shared" si="4"/>
        <v>325.875</v>
      </c>
      <c r="P465" s="32">
        <f t="shared" si="5"/>
        <v>325.875</v>
      </c>
      <c r="Q465" s="22">
        <v>0.0</v>
      </c>
      <c r="R465" s="32">
        <f t="shared" si="6"/>
        <v>130.35</v>
      </c>
      <c r="S465" s="33" t="s">
        <v>29</v>
      </c>
      <c r="T465" s="33" t="s">
        <v>30</v>
      </c>
      <c r="U465" s="34" t="s">
        <v>121</v>
      </c>
      <c r="V465" s="35"/>
      <c r="W465" s="7"/>
      <c r="X465" s="7"/>
      <c r="Y465" s="7"/>
      <c r="Z465" s="7"/>
      <c r="AA465" s="7"/>
    </row>
    <row r="466" ht="18.75" customHeight="1">
      <c r="A466" s="8" t="s">
        <v>641</v>
      </c>
      <c r="B466" s="9" t="s">
        <v>642</v>
      </c>
      <c r="C466" s="9" t="s">
        <v>433</v>
      </c>
      <c r="D466" s="10">
        <v>0.0</v>
      </c>
      <c r="E466" s="8" t="s">
        <v>645</v>
      </c>
      <c r="F466" s="11" t="s">
        <v>26</v>
      </c>
      <c r="G466" s="12" t="s">
        <v>27</v>
      </c>
      <c r="H466" s="13">
        <v>576.47</v>
      </c>
      <c r="I466" s="14">
        <v>5.0</v>
      </c>
      <c r="J466" s="15" t="s">
        <v>38</v>
      </c>
      <c r="K466" s="16">
        <v>0.5</v>
      </c>
      <c r="L466" s="17">
        <f t="shared" si="1"/>
        <v>2.5</v>
      </c>
      <c r="M466" s="17">
        <f t="shared" si="2"/>
        <v>2.5</v>
      </c>
      <c r="N466" s="18">
        <f t="shared" si="3"/>
        <v>288.235</v>
      </c>
      <c r="O466" s="18">
        <f t="shared" si="4"/>
        <v>288.235</v>
      </c>
      <c r="P466" s="18">
        <f t="shared" si="5"/>
        <v>288.235</v>
      </c>
      <c r="Q466" s="8">
        <v>0.0</v>
      </c>
      <c r="R466" s="18">
        <f t="shared" si="6"/>
        <v>115.294</v>
      </c>
      <c r="S466" s="19" t="s">
        <v>29</v>
      </c>
      <c r="T466" s="19" t="s">
        <v>30</v>
      </c>
      <c r="U466" s="20" t="s">
        <v>114</v>
      </c>
      <c r="V466" s="37"/>
      <c r="W466" s="7"/>
      <c r="X466" s="7"/>
      <c r="Y466" s="7"/>
      <c r="Z466" s="7"/>
      <c r="AA466" s="7"/>
    </row>
    <row r="467" ht="18.75" customHeight="1">
      <c r="A467" s="22" t="s">
        <v>641</v>
      </c>
      <c r="B467" s="23" t="s">
        <v>642</v>
      </c>
      <c r="C467" s="23" t="s">
        <v>433</v>
      </c>
      <c r="D467" s="24">
        <v>0.0</v>
      </c>
      <c r="E467" s="22" t="s">
        <v>646</v>
      </c>
      <c r="F467" s="25" t="s">
        <v>26</v>
      </c>
      <c r="G467" s="26" t="s">
        <v>27</v>
      </c>
      <c r="H467" s="27">
        <v>279.0</v>
      </c>
      <c r="I467" s="28">
        <v>5.0</v>
      </c>
      <c r="J467" s="29" t="s">
        <v>38</v>
      </c>
      <c r="K467" s="30">
        <v>0.5</v>
      </c>
      <c r="L467" s="31">
        <f t="shared" si="1"/>
        <v>2.5</v>
      </c>
      <c r="M467" s="31">
        <f t="shared" si="2"/>
        <v>2.5</v>
      </c>
      <c r="N467" s="32">
        <f t="shared" si="3"/>
        <v>139.5</v>
      </c>
      <c r="O467" s="32">
        <f t="shared" si="4"/>
        <v>139.5</v>
      </c>
      <c r="P467" s="32">
        <f t="shared" si="5"/>
        <v>139.5</v>
      </c>
      <c r="Q467" s="22">
        <v>0.0</v>
      </c>
      <c r="R467" s="32">
        <f t="shared" si="6"/>
        <v>55.8</v>
      </c>
      <c r="S467" s="33" t="s">
        <v>29</v>
      </c>
      <c r="T467" s="33" t="s">
        <v>30</v>
      </c>
      <c r="U467" s="34" t="s">
        <v>55</v>
      </c>
      <c r="V467" s="35"/>
      <c r="W467" s="7"/>
      <c r="X467" s="7"/>
      <c r="Y467" s="7"/>
      <c r="Z467" s="7"/>
      <c r="AA467" s="7"/>
    </row>
    <row r="468" ht="18.75" customHeight="1">
      <c r="A468" s="8" t="s">
        <v>641</v>
      </c>
      <c r="B468" s="9" t="s">
        <v>642</v>
      </c>
      <c r="C468" s="9" t="s">
        <v>433</v>
      </c>
      <c r="D468" s="10">
        <v>0.0</v>
      </c>
      <c r="E468" s="8" t="s">
        <v>647</v>
      </c>
      <c r="F468" s="11" t="s">
        <v>26</v>
      </c>
      <c r="G468" s="12" t="s">
        <v>27</v>
      </c>
      <c r="H468" s="13">
        <v>623.61</v>
      </c>
      <c r="I468" s="14">
        <v>5.0</v>
      </c>
      <c r="J468" s="15" t="s">
        <v>54</v>
      </c>
      <c r="K468" s="16">
        <v>0.3</v>
      </c>
      <c r="L468" s="17">
        <f t="shared" si="1"/>
        <v>1.5</v>
      </c>
      <c r="M468" s="17">
        <f t="shared" si="2"/>
        <v>3.5</v>
      </c>
      <c r="N468" s="18">
        <f t="shared" si="3"/>
        <v>187.083</v>
      </c>
      <c r="O468" s="18">
        <f t="shared" si="4"/>
        <v>436.527</v>
      </c>
      <c r="P468" s="18">
        <f t="shared" si="5"/>
        <v>436.527</v>
      </c>
      <c r="Q468" s="8">
        <v>0.0</v>
      </c>
      <c r="R468" s="18">
        <f t="shared" si="6"/>
        <v>124.722</v>
      </c>
      <c r="S468" s="19" t="s">
        <v>29</v>
      </c>
      <c r="T468" s="19" t="s">
        <v>30</v>
      </c>
      <c r="U468" s="20" t="s">
        <v>117</v>
      </c>
      <c r="V468" s="37"/>
      <c r="W468" s="7"/>
      <c r="X468" s="7"/>
      <c r="Y468" s="7"/>
      <c r="Z468" s="7"/>
      <c r="AA468" s="7"/>
    </row>
    <row r="469" ht="18.75" customHeight="1">
      <c r="A469" s="22" t="s">
        <v>641</v>
      </c>
      <c r="B469" s="23" t="s">
        <v>642</v>
      </c>
      <c r="C469" s="23" t="s">
        <v>433</v>
      </c>
      <c r="D469" s="24">
        <v>721.0</v>
      </c>
      <c r="E469" s="22" t="s">
        <v>648</v>
      </c>
      <c r="F469" s="25" t="s">
        <v>37</v>
      </c>
      <c r="G469" s="26" t="s">
        <v>27</v>
      </c>
      <c r="H469" s="27">
        <v>1300.12</v>
      </c>
      <c r="I469" s="28">
        <v>15.0</v>
      </c>
      <c r="J469" s="29" t="s">
        <v>38</v>
      </c>
      <c r="K469" s="30">
        <v>0.5</v>
      </c>
      <c r="L469" s="31">
        <f t="shared" si="1"/>
        <v>7.5</v>
      </c>
      <c r="M469" s="31">
        <f t="shared" si="2"/>
        <v>7.5</v>
      </c>
      <c r="N469" s="32">
        <f t="shared" si="3"/>
        <v>650.06</v>
      </c>
      <c r="O469" s="32">
        <f t="shared" si="4"/>
        <v>650.06</v>
      </c>
      <c r="P469" s="32">
        <f t="shared" si="5"/>
        <v>650.06</v>
      </c>
      <c r="Q469" s="22">
        <v>0.0</v>
      </c>
      <c r="R469" s="32">
        <f t="shared" si="6"/>
        <v>86.67466667</v>
      </c>
      <c r="S469" s="33" t="s">
        <v>29</v>
      </c>
      <c r="T469" s="33" t="s">
        <v>30</v>
      </c>
      <c r="U469" s="34" t="s">
        <v>229</v>
      </c>
      <c r="V469" s="35"/>
      <c r="W469" s="7"/>
      <c r="X469" s="7"/>
      <c r="Y469" s="7"/>
      <c r="Z469" s="7"/>
      <c r="AA469" s="7"/>
    </row>
    <row r="470" ht="18.75" customHeight="1">
      <c r="A470" s="8" t="s">
        <v>641</v>
      </c>
      <c r="B470" s="9" t="s">
        <v>642</v>
      </c>
      <c r="C470" s="9" t="s">
        <v>433</v>
      </c>
      <c r="D470" s="10">
        <v>722.0</v>
      </c>
      <c r="E470" s="8" t="s">
        <v>649</v>
      </c>
      <c r="F470" s="11" t="s">
        <v>37</v>
      </c>
      <c r="G470" s="12" t="s">
        <v>27</v>
      </c>
      <c r="H470" s="13">
        <v>1647.58</v>
      </c>
      <c r="I470" s="14">
        <v>10.0</v>
      </c>
      <c r="J470" s="15" t="s">
        <v>38</v>
      </c>
      <c r="K470" s="16">
        <v>0.5</v>
      </c>
      <c r="L470" s="17">
        <f t="shared" si="1"/>
        <v>5</v>
      </c>
      <c r="M470" s="17">
        <f t="shared" si="2"/>
        <v>5</v>
      </c>
      <c r="N470" s="18">
        <f t="shared" si="3"/>
        <v>823.79</v>
      </c>
      <c r="O470" s="18">
        <f t="shared" si="4"/>
        <v>823.79</v>
      </c>
      <c r="P470" s="18">
        <f t="shared" si="5"/>
        <v>823.79</v>
      </c>
      <c r="Q470" s="8">
        <v>0.0</v>
      </c>
      <c r="R470" s="18">
        <f t="shared" si="6"/>
        <v>164.758</v>
      </c>
      <c r="S470" s="19" t="s">
        <v>29</v>
      </c>
      <c r="T470" s="19" t="s">
        <v>30</v>
      </c>
      <c r="U470" s="20" t="s">
        <v>325</v>
      </c>
      <c r="V470" s="37"/>
      <c r="W470" s="7"/>
      <c r="X470" s="7"/>
      <c r="Y470" s="7"/>
      <c r="Z470" s="7"/>
      <c r="AA470" s="7"/>
    </row>
    <row r="471" ht="18.75" customHeight="1">
      <c r="A471" s="22" t="s">
        <v>641</v>
      </c>
      <c r="B471" s="23" t="s">
        <v>642</v>
      </c>
      <c r="C471" s="23" t="s">
        <v>433</v>
      </c>
      <c r="D471" s="24">
        <v>723.0</v>
      </c>
      <c r="E471" s="22" t="s">
        <v>650</v>
      </c>
      <c r="F471" s="25" t="s">
        <v>26</v>
      </c>
      <c r="G471" s="26" t="s">
        <v>27</v>
      </c>
      <c r="H471" s="27">
        <v>15638.9</v>
      </c>
      <c r="I471" s="28">
        <v>10.0</v>
      </c>
      <c r="J471" s="29" t="s">
        <v>28</v>
      </c>
      <c r="K471" s="30">
        <v>0.4</v>
      </c>
      <c r="L471" s="31">
        <f t="shared" si="1"/>
        <v>4</v>
      </c>
      <c r="M471" s="31">
        <f t="shared" si="2"/>
        <v>6</v>
      </c>
      <c r="N471" s="32">
        <f t="shared" si="3"/>
        <v>6255.56</v>
      </c>
      <c r="O471" s="32">
        <f t="shared" si="4"/>
        <v>9383.34</v>
      </c>
      <c r="P471" s="32">
        <f t="shared" si="5"/>
        <v>9383.34</v>
      </c>
      <c r="Q471" s="22">
        <v>0.0</v>
      </c>
      <c r="R471" s="32">
        <f t="shared" si="6"/>
        <v>1563.89</v>
      </c>
      <c r="S471" s="33" t="s">
        <v>29</v>
      </c>
      <c r="T471" s="33" t="s">
        <v>30</v>
      </c>
      <c r="U471" s="34" t="s">
        <v>35</v>
      </c>
      <c r="V471" s="35"/>
      <c r="W471" s="7"/>
      <c r="X471" s="7"/>
      <c r="Y471" s="7"/>
      <c r="Z471" s="7"/>
      <c r="AA471" s="7"/>
    </row>
    <row r="472" ht="18.75" customHeight="1">
      <c r="A472" s="8" t="s">
        <v>641</v>
      </c>
      <c r="B472" s="9" t="s">
        <v>642</v>
      </c>
      <c r="C472" s="9" t="s">
        <v>433</v>
      </c>
      <c r="D472" s="10">
        <v>724.0</v>
      </c>
      <c r="E472" s="8" t="s">
        <v>651</v>
      </c>
      <c r="F472" s="11" t="s">
        <v>26</v>
      </c>
      <c r="G472" s="12" t="s">
        <v>27</v>
      </c>
      <c r="H472" s="13">
        <v>4899.9</v>
      </c>
      <c r="I472" s="14">
        <v>5.0</v>
      </c>
      <c r="J472" s="15" t="s">
        <v>38</v>
      </c>
      <c r="K472" s="16">
        <v>0.5</v>
      </c>
      <c r="L472" s="17">
        <f t="shared" si="1"/>
        <v>2.5</v>
      </c>
      <c r="M472" s="17">
        <f t="shared" si="2"/>
        <v>2.5</v>
      </c>
      <c r="N472" s="18">
        <f t="shared" si="3"/>
        <v>2449.95</v>
      </c>
      <c r="O472" s="18">
        <f t="shared" si="4"/>
        <v>2449.95</v>
      </c>
      <c r="P472" s="18">
        <f t="shared" si="5"/>
        <v>2449.95</v>
      </c>
      <c r="Q472" s="8">
        <v>0.0</v>
      </c>
      <c r="R472" s="18">
        <f t="shared" si="6"/>
        <v>979.98</v>
      </c>
      <c r="S472" s="19" t="s">
        <v>29</v>
      </c>
      <c r="T472" s="19" t="s">
        <v>30</v>
      </c>
      <c r="U472" s="20" t="s">
        <v>67</v>
      </c>
      <c r="V472" s="37"/>
      <c r="W472" s="7"/>
      <c r="X472" s="7"/>
      <c r="Y472" s="7"/>
      <c r="Z472" s="7"/>
      <c r="AA472" s="7"/>
    </row>
    <row r="473" ht="18.75" customHeight="1">
      <c r="A473" s="22" t="s">
        <v>641</v>
      </c>
      <c r="B473" s="23" t="s">
        <v>642</v>
      </c>
      <c r="C473" s="23" t="s">
        <v>433</v>
      </c>
      <c r="D473" s="24">
        <v>725.0</v>
      </c>
      <c r="E473" s="22" t="s">
        <v>652</v>
      </c>
      <c r="F473" s="25" t="s">
        <v>26</v>
      </c>
      <c r="G473" s="26" t="s">
        <v>27</v>
      </c>
      <c r="H473" s="27">
        <v>22652.48</v>
      </c>
      <c r="I473" s="28">
        <v>5.0</v>
      </c>
      <c r="J473" s="29" t="s">
        <v>28</v>
      </c>
      <c r="K473" s="30">
        <v>0.4</v>
      </c>
      <c r="L473" s="31">
        <f t="shared" si="1"/>
        <v>2</v>
      </c>
      <c r="M473" s="31">
        <f t="shared" si="2"/>
        <v>3</v>
      </c>
      <c r="N473" s="32">
        <f t="shared" si="3"/>
        <v>9060.992</v>
      </c>
      <c r="O473" s="32">
        <f t="shared" si="4"/>
        <v>13591.488</v>
      </c>
      <c r="P473" s="32">
        <f t="shared" si="5"/>
        <v>13591.488</v>
      </c>
      <c r="Q473" s="22">
        <v>0.0</v>
      </c>
      <c r="R473" s="32">
        <f t="shared" si="6"/>
        <v>4530.496</v>
      </c>
      <c r="S473" s="33" t="s">
        <v>29</v>
      </c>
      <c r="T473" s="33" t="s">
        <v>30</v>
      </c>
      <c r="U473" s="34" t="s">
        <v>50</v>
      </c>
      <c r="V473" s="35"/>
      <c r="W473" s="7"/>
      <c r="X473" s="7"/>
      <c r="Y473" s="7"/>
      <c r="Z473" s="7"/>
      <c r="AA473" s="7"/>
    </row>
    <row r="474" ht="18.75" customHeight="1">
      <c r="A474" s="8" t="s">
        <v>641</v>
      </c>
      <c r="B474" s="9" t="s">
        <v>642</v>
      </c>
      <c r="C474" s="9" t="s">
        <v>433</v>
      </c>
      <c r="D474" s="10">
        <v>726.0</v>
      </c>
      <c r="E474" s="8" t="s">
        <v>653</v>
      </c>
      <c r="F474" s="11" t="s">
        <v>37</v>
      </c>
      <c r="G474" s="12" t="s">
        <v>27</v>
      </c>
      <c r="H474" s="13">
        <v>114.0</v>
      </c>
      <c r="I474" s="14">
        <v>10.0</v>
      </c>
      <c r="J474" s="15" t="s">
        <v>54</v>
      </c>
      <c r="K474" s="16">
        <v>0.3</v>
      </c>
      <c r="L474" s="17">
        <f t="shared" si="1"/>
        <v>3</v>
      </c>
      <c r="M474" s="17">
        <f t="shared" si="2"/>
        <v>7</v>
      </c>
      <c r="N474" s="18">
        <f t="shared" si="3"/>
        <v>34.2</v>
      </c>
      <c r="O474" s="18">
        <f t="shared" si="4"/>
        <v>79.8</v>
      </c>
      <c r="P474" s="18">
        <f t="shared" si="5"/>
        <v>79.8</v>
      </c>
      <c r="Q474" s="8">
        <v>0.0</v>
      </c>
      <c r="R474" s="18">
        <f t="shared" si="6"/>
        <v>11.4</v>
      </c>
      <c r="S474" s="19" t="s">
        <v>29</v>
      </c>
      <c r="T474" s="19" t="s">
        <v>30</v>
      </c>
      <c r="U474" s="20" t="s">
        <v>654</v>
      </c>
      <c r="V474" s="37"/>
      <c r="W474" s="7"/>
      <c r="X474" s="7"/>
      <c r="Y474" s="7"/>
      <c r="Z474" s="7"/>
      <c r="AA474" s="7"/>
    </row>
    <row r="475" ht="18.75" customHeight="1">
      <c r="A475" s="22" t="s">
        <v>641</v>
      </c>
      <c r="B475" s="23" t="s">
        <v>642</v>
      </c>
      <c r="C475" s="23" t="s">
        <v>433</v>
      </c>
      <c r="D475" s="24">
        <v>727.0</v>
      </c>
      <c r="E475" s="22" t="s">
        <v>655</v>
      </c>
      <c r="F475" s="25" t="s">
        <v>37</v>
      </c>
      <c r="G475" s="26" t="s">
        <v>27</v>
      </c>
      <c r="H475" s="27">
        <v>469.2</v>
      </c>
      <c r="I475" s="28">
        <v>5.0</v>
      </c>
      <c r="J475" s="29" t="s">
        <v>28</v>
      </c>
      <c r="K475" s="30">
        <v>0.4</v>
      </c>
      <c r="L475" s="31">
        <f t="shared" si="1"/>
        <v>2</v>
      </c>
      <c r="M475" s="31">
        <f t="shared" si="2"/>
        <v>3</v>
      </c>
      <c r="N475" s="32">
        <f t="shared" si="3"/>
        <v>187.68</v>
      </c>
      <c r="O475" s="32">
        <f t="shared" si="4"/>
        <v>281.52</v>
      </c>
      <c r="P475" s="32">
        <f t="shared" si="5"/>
        <v>281.52</v>
      </c>
      <c r="Q475" s="22">
        <v>0.0</v>
      </c>
      <c r="R475" s="32">
        <f t="shared" si="6"/>
        <v>93.84</v>
      </c>
      <c r="S475" s="33" t="s">
        <v>29</v>
      </c>
      <c r="T475" s="33" t="s">
        <v>30</v>
      </c>
      <c r="U475" s="38" t="s">
        <v>52</v>
      </c>
      <c r="V475" s="35"/>
      <c r="W475" s="7"/>
      <c r="X475" s="7"/>
      <c r="Y475" s="7"/>
      <c r="Z475" s="7"/>
      <c r="AA475" s="7"/>
    </row>
    <row r="476" ht="18.75" customHeight="1">
      <c r="A476" s="8" t="s">
        <v>641</v>
      </c>
      <c r="B476" s="9" t="s">
        <v>642</v>
      </c>
      <c r="C476" s="9" t="s">
        <v>433</v>
      </c>
      <c r="D476" s="10">
        <v>728.0</v>
      </c>
      <c r="E476" s="8" t="s">
        <v>655</v>
      </c>
      <c r="F476" s="11" t="s">
        <v>37</v>
      </c>
      <c r="G476" s="12" t="s">
        <v>27</v>
      </c>
      <c r="H476" s="13">
        <v>469.2</v>
      </c>
      <c r="I476" s="14">
        <v>5.0</v>
      </c>
      <c r="J476" s="15" t="s">
        <v>28</v>
      </c>
      <c r="K476" s="16">
        <v>0.4</v>
      </c>
      <c r="L476" s="17">
        <f t="shared" si="1"/>
        <v>2</v>
      </c>
      <c r="M476" s="17">
        <f t="shared" si="2"/>
        <v>3</v>
      </c>
      <c r="N476" s="18">
        <f t="shared" si="3"/>
        <v>187.68</v>
      </c>
      <c r="O476" s="18">
        <f t="shared" si="4"/>
        <v>281.52</v>
      </c>
      <c r="P476" s="18">
        <f t="shared" si="5"/>
        <v>281.52</v>
      </c>
      <c r="Q476" s="8">
        <v>0.0</v>
      </c>
      <c r="R476" s="18">
        <f t="shared" si="6"/>
        <v>93.84</v>
      </c>
      <c r="S476" s="19" t="s">
        <v>29</v>
      </c>
      <c r="T476" s="19" t="s">
        <v>30</v>
      </c>
      <c r="U476" s="36" t="s">
        <v>52</v>
      </c>
      <c r="V476" s="37"/>
      <c r="W476" s="7"/>
      <c r="X476" s="7"/>
      <c r="Y476" s="7"/>
      <c r="Z476" s="7"/>
      <c r="AA476" s="7"/>
    </row>
    <row r="477" ht="18.75" customHeight="1">
      <c r="A477" s="22" t="s">
        <v>641</v>
      </c>
      <c r="B477" s="23" t="s">
        <v>642</v>
      </c>
      <c r="C477" s="23" t="s">
        <v>433</v>
      </c>
      <c r="D477" s="24">
        <v>729.0</v>
      </c>
      <c r="E477" s="22" t="s">
        <v>656</v>
      </c>
      <c r="F477" s="25" t="s">
        <v>37</v>
      </c>
      <c r="G477" s="26" t="s">
        <v>27</v>
      </c>
      <c r="H477" s="27">
        <v>332.91</v>
      </c>
      <c r="I477" s="28">
        <v>10.0</v>
      </c>
      <c r="J477" s="29" t="s">
        <v>28</v>
      </c>
      <c r="K477" s="30">
        <v>0.4</v>
      </c>
      <c r="L477" s="31">
        <f t="shared" si="1"/>
        <v>4</v>
      </c>
      <c r="M477" s="31">
        <f t="shared" si="2"/>
        <v>6</v>
      </c>
      <c r="N477" s="32">
        <f t="shared" si="3"/>
        <v>133.164</v>
      </c>
      <c r="O477" s="32">
        <f t="shared" si="4"/>
        <v>199.746</v>
      </c>
      <c r="P477" s="32">
        <f t="shared" si="5"/>
        <v>199.746</v>
      </c>
      <c r="Q477" s="22">
        <v>0.0</v>
      </c>
      <c r="R477" s="32">
        <f t="shared" si="6"/>
        <v>33.291</v>
      </c>
      <c r="S477" s="33" t="s">
        <v>29</v>
      </c>
      <c r="T477" s="33" t="s">
        <v>30</v>
      </c>
      <c r="U477" s="34" t="s">
        <v>223</v>
      </c>
      <c r="V477" s="35"/>
      <c r="W477" s="7"/>
      <c r="X477" s="7"/>
      <c r="Y477" s="7"/>
      <c r="Z477" s="7"/>
      <c r="AA477" s="7"/>
    </row>
    <row r="478" ht="18.75" customHeight="1">
      <c r="A478" s="8" t="s">
        <v>641</v>
      </c>
      <c r="B478" s="9" t="s">
        <v>642</v>
      </c>
      <c r="C478" s="9" t="s">
        <v>433</v>
      </c>
      <c r="D478" s="10">
        <v>732.0</v>
      </c>
      <c r="E478" s="8" t="s">
        <v>657</v>
      </c>
      <c r="F478" s="11" t="s">
        <v>37</v>
      </c>
      <c r="G478" s="12" t="s">
        <v>27</v>
      </c>
      <c r="H478" s="13">
        <v>499.9</v>
      </c>
      <c r="I478" s="14">
        <v>10.0</v>
      </c>
      <c r="J478" s="15" t="s">
        <v>154</v>
      </c>
      <c r="K478" s="16">
        <v>0.8</v>
      </c>
      <c r="L478" s="17">
        <f t="shared" si="1"/>
        <v>8</v>
      </c>
      <c r="M478" s="17">
        <f t="shared" si="2"/>
        <v>2</v>
      </c>
      <c r="N478" s="18">
        <f t="shared" si="3"/>
        <v>399.92</v>
      </c>
      <c r="O478" s="18">
        <f t="shared" si="4"/>
        <v>99.98</v>
      </c>
      <c r="P478" s="18">
        <f t="shared" si="5"/>
        <v>99.98</v>
      </c>
      <c r="Q478" s="8">
        <v>0.0</v>
      </c>
      <c r="R478" s="18">
        <f t="shared" si="6"/>
        <v>49.99</v>
      </c>
      <c r="S478" s="19" t="s">
        <v>29</v>
      </c>
      <c r="T478" s="19" t="s">
        <v>30</v>
      </c>
      <c r="U478" s="20" t="s">
        <v>658</v>
      </c>
      <c r="V478" s="37"/>
      <c r="W478" s="7"/>
      <c r="X478" s="7"/>
      <c r="Y478" s="7"/>
      <c r="Z478" s="7"/>
      <c r="AA478" s="7"/>
    </row>
    <row r="479" ht="18.75" customHeight="1">
      <c r="A479" s="22" t="s">
        <v>641</v>
      </c>
      <c r="B479" s="23" t="s">
        <v>642</v>
      </c>
      <c r="C479" s="23" t="s">
        <v>433</v>
      </c>
      <c r="D479" s="24">
        <v>733.0</v>
      </c>
      <c r="E479" s="22" t="s">
        <v>659</v>
      </c>
      <c r="F479" s="25" t="s">
        <v>26</v>
      </c>
      <c r="G479" s="26" t="s">
        <v>27</v>
      </c>
      <c r="H479" s="27">
        <v>340.94</v>
      </c>
      <c r="I479" s="28">
        <v>5.0</v>
      </c>
      <c r="J479" s="29" t="s">
        <v>154</v>
      </c>
      <c r="K479" s="30">
        <v>0.8</v>
      </c>
      <c r="L479" s="31">
        <f t="shared" si="1"/>
        <v>4</v>
      </c>
      <c r="M479" s="31">
        <f t="shared" si="2"/>
        <v>1</v>
      </c>
      <c r="N479" s="32">
        <f t="shared" si="3"/>
        <v>272.752</v>
      </c>
      <c r="O479" s="32">
        <f t="shared" si="4"/>
        <v>68.188</v>
      </c>
      <c r="P479" s="32">
        <f t="shared" si="5"/>
        <v>68.188</v>
      </c>
      <c r="Q479" s="22">
        <v>0.0</v>
      </c>
      <c r="R479" s="32">
        <f t="shared" si="6"/>
        <v>68.188</v>
      </c>
      <c r="S479" s="33" t="s">
        <v>29</v>
      </c>
      <c r="T479" s="33" t="s">
        <v>30</v>
      </c>
      <c r="U479" s="34" t="s">
        <v>660</v>
      </c>
      <c r="V479" s="35"/>
      <c r="W479" s="7"/>
      <c r="X479" s="7"/>
      <c r="Y479" s="7"/>
      <c r="Z479" s="7"/>
      <c r="AA479" s="7"/>
    </row>
    <row r="480" ht="18.75" customHeight="1">
      <c r="A480" s="8" t="s">
        <v>641</v>
      </c>
      <c r="B480" s="9" t="s">
        <v>642</v>
      </c>
      <c r="C480" s="9" t="s">
        <v>433</v>
      </c>
      <c r="D480" s="10">
        <v>734.0</v>
      </c>
      <c r="E480" s="8" t="s">
        <v>311</v>
      </c>
      <c r="F480" s="11" t="s">
        <v>26</v>
      </c>
      <c r="G480" s="12" t="s">
        <v>27</v>
      </c>
      <c r="H480" s="13">
        <v>6583.2</v>
      </c>
      <c r="I480" s="14">
        <v>10.0</v>
      </c>
      <c r="J480" s="15" t="s">
        <v>38</v>
      </c>
      <c r="K480" s="16">
        <v>0.5</v>
      </c>
      <c r="L480" s="17">
        <f t="shared" si="1"/>
        <v>5</v>
      </c>
      <c r="M480" s="17">
        <f t="shared" si="2"/>
        <v>5</v>
      </c>
      <c r="N480" s="18">
        <f t="shared" si="3"/>
        <v>3291.6</v>
      </c>
      <c r="O480" s="18">
        <f t="shared" si="4"/>
        <v>3291.6</v>
      </c>
      <c r="P480" s="18">
        <f t="shared" si="5"/>
        <v>3291.6</v>
      </c>
      <c r="Q480" s="8">
        <v>0.0</v>
      </c>
      <c r="R480" s="18">
        <f t="shared" si="6"/>
        <v>658.32</v>
      </c>
      <c r="S480" s="19" t="s">
        <v>29</v>
      </c>
      <c r="T480" s="19" t="s">
        <v>30</v>
      </c>
      <c r="U480" s="20" t="s">
        <v>312</v>
      </c>
      <c r="V480" s="37"/>
      <c r="W480" s="7"/>
      <c r="X480" s="7"/>
      <c r="Y480" s="7"/>
      <c r="Z480" s="7"/>
      <c r="AA480" s="7"/>
    </row>
    <row r="481" ht="18.75" customHeight="1">
      <c r="A481" s="22" t="s">
        <v>641</v>
      </c>
      <c r="B481" s="23" t="s">
        <v>642</v>
      </c>
      <c r="C481" s="23" t="s">
        <v>433</v>
      </c>
      <c r="D481" s="24">
        <v>735.0</v>
      </c>
      <c r="E481" s="22" t="s">
        <v>657</v>
      </c>
      <c r="F481" s="25" t="s">
        <v>37</v>
      </c>
      <c r="G481" s="26" t="s">
        <v>27</v>
      </c>
      <c r="H481" s="27">
        <v>499.9</v>
      </c>
      <c r="I481" s="28">
        <v>10.0</v>
      </c>
      <c r="J481" s="29" t="s">
        <v>154</v>
      </c>
      <c r="K481" s="30">
        <v>0.8</v>
      </c>
      <c r="L481" s="31">
        <f t="shared" si="1"/>
        <v>8</v>
      </c>
      <c r="M481" s="31">
        <f t="shared" si="2"/>
        <v>2</v>
      </c>
      <c r="N481" s="32">
        <f t="shared" si="3"/>
        <v>399.92</v>
      </c>
      <c r="O481" s="32">
        <f t="shared" si="4"/>
        <v>99.98</v>
      </c>
      <c r="P481" s="32">
        <f t="shared" si="5"/>
        <v>99.98</v>
      </c>
      <c r="Q481" s="22">
        <v>0.0</v>
      </c>
      <c r="R481" s="32">
        <f t="shared" si="6"/>
        <v>49.99</v>
      </c>
      <c r="S481" s="33" t="s">
        <v>29</v>
      </c>
      <c r="T481" s="33" t="s">
        <v>30</v>
      </c>
      <c r="U481" s="34" t="s">
        <v>658</v>
      </c>
      <c r="V481" s="35"/>
      <c r="W481" s="7"/>
      <c r="X481" s="7"/>
      <c r="Y481" s="7"/>
      <c r="Z481" s="7"/>
      <c r="AA481" s="7"/>
    </row>
    <row r="482" ht="18.75" customHeight="1">
      <c r="A482" s="8" t="s">
        <v>641</v>
      </c>
      <c r="B482" s="9" t="s">
        <v>642</v>
      </c>
      <c r="C482" s="9" t="s">
        <v>433</v>
      </c>
      <c r="D482" s="10">
        <v>736.0</v>
      </c>
      <c r="E482" s="8" t="s">
        <v>661</v>
      </c>
      <c r="F482" s="11" t="s">
        <v>26</v>
      </c>
      <c r="G482" s="12" t="s">
        <v>27</v>
      </c>
      <c r="H482" s="13">
        <v>1749.0</v>
      </c>
      <c r="I482" s="14">
        <v>10.0</v>
      </c>
      <c r="J482" s="15" t="s">
        <v>38</v>
      </c>
      <c r="K482" s="16">
        <v>0.5</v>
      </c>
      <c r="L482" s="17">
        <f t="shared" si="1"/>
        <v>5</v>
      </c>
      <c r="M482" s="17">
        <f t="shared" si="2"/>
        <v>5</v>
      </c>
      <c r="N482" s="18">
        <f t="shared" si="3"/>
        <v>874.5</v>
      </c>
      <c r="O482" s="18">
        <f t="shared" si="4"/>
        <v>874.5</v>
      </c>
      <c r="P482" s="18">
        <f t="shared" si="5"/>
        <v>874.5</v>
      </c>
      <c r="Q482" s="8">
        <v>0.0</v>
      </c>
      <c r="R482" s="18">
        <f t="shared" si="6"/>
        <v>174.9</v>
      </c>
      <c r="S482" s="19" t="s">
        <v>29</v>
      </c>
      <c r="T482" s="19" t="s">
        <v>30</v>
      </c>
      <c r="U482" s="20" t="s">
        <v>255</v>
      </c>
      <c r="V482" s="37"/>
      <c r="W482" s="7"/>
      <c r="X482" s="7"/>
      <c r="Y482" s="7"/>
      <c r="Z482" s="7"/>
      <c r="AA482" s="7"/>
    </row>
    <row r="483" ht="18.75" customHeight="1">
      <c r="A483" s="22" t="s">
        <v>641</v>
      </c>
      <c r="B483" s="23" t="s">
        <v>642</v>
      </c>
      <c r="C483" s="23" t="s">
        <v>433</v>
      </c>
      <c r="D483" s="24">
        <v>737.0</v>
      </c>
      <c r="E483" s="22" t="s">
        <v>662</v>
      </c>
      <c r="F483" s="25" t="s">
        <v>26</v>
      </c>
      <c r="G483" s="26" t="s">
        <v>27</v>
      </c>
      <c r="H483" s="27">
        <v>1741.5</v>
      </c>
      <c r="I483" s="28">
        <v>5.0</v>
      </c>
      <c r="J483" s="29" t="s">
        <v>38</v>
      </c>
      <c r="K483" s="30">
        <v>0.5</v>
      </c>
      <c r="L483" s="31">
        <f t="shared" si="1"/>
        <v>2.5</v>
      </c>
      <c r="M483" s="31">
        <f t="shared" si="2"/>
        <v>2.5</v>
      </c>
      <c r="N483" s="32">
        <f t="shared" si="3"/>
        <v>870.75</v>
      </c>
      <c r="O483" s="32">
        <f t="shared" si="4"/>
        <v>870.75</v>
      </c>
      <c r="P483" s="32">
        <f t="shared" si="5"/>
        <v>870.75</v>
      </c>
      <c r="Q483" s="22">
        <v>0.0</v>
      </c>
      <c r="R483" s="32">
        <f t="shared" si="6"/>
        <v>348.3</v>
      </c>
      <c r="S483" s="33" t="s">
        <v>29</v>
      </c>
      <c r="T483" s="33" t="s">
        <v>30</v>
      </c>
      <c r="U483" s="34" t="s">
        <v>452</v>
      </c>
      <c r="V483" s="35"/>
      <c r="W483" s="7"/>
      <c r="X483" s="7"/>
      <c r="Y483" s="7"/>
      <c r="Z483" s="7"/>
      <c r="AA483" s="7"/>
    </row>
    <row r="484" ht="18.75" customHeight="1">
      <c r="A484" s="8" t="s">
        <v>641</v>
      </c>
      <c r="B484" s="9" t="s">
        <v>642</v>
      </c>
      <c r="C484" s="9" t="s">
        <v>433</v>
      </c>
      <c r="D484" s="10">
        <v>738.0</v>
      </c>
      <c r="E484" s="8" t="s">
        <v>663</v>
      </c>
      <c r="F484" s="11" t="s">
        <v>26</v>
      </c>
      <c r="G484" s="12" t="s">
        <v>27</v>
      </c>
      <c r="H484" s="13">
        <v>328.8</v>
      </c>
      <c r="I484" s="14">
        <v>5.0</v>
      </c>
      <c r="J484" s="48" t="s">
        <v>63</v>
      </c>
      <c r="K484" s="16">
        <v>0.700000000000002</v>
      </c>
      <c r="L484" s="17">
        <f t="shared" si="1"/>
        <v>3.5</v>
      </c>
      <c r="M484" s="17">
        <f t="shared" si="2"/>
        <v>1.5</v>
      </c>
      <c r="N484" s="18">
        <f t="shared" si="3"/>
        <v>230.16</v>
      </c>
      <c r="O484" s="18">
        <f t="shared" si="4"/>
        <v>98.64</v>
      </c>
      <c r="P484" s="18">
        <f t="shared" si="5"/>
        <v>98.64</v>
      </c>
      <c r="Q484" s="8">
        <v>0.0</v>
      </c>
      <c r="R484" s="18">
        <f t="shared" si="6"/>
        <v>65.76</v>
      </c>
      <c r="S484" s="19" t="s">
        <v>29</v>
      </c>
      <c r="T484" s="19" t="s">
        <v>30</v>
      </c>
      <c r="U484" s="20" t="s">
        <v>344</v>
      </c>
      <c r="V484" s="37"/>
      <c r="W484" s="7"/>
      <c r="X484" s="7"/>
      <c r="Y484" s="7"/>
      <c r="Z484" s="7"/>
      <c r="AA484" s="7"/>
    </row>
    <row r="485" ht="18.75" customHeight="1">
      <c r="A485" s="22" t="s">
        <v>641</v>
      </c>
      <c r="B485" s="23" t="s">
        <v>642</v>
      </c>
      <c r="C485" s="23" t="s">
        <v>433</v>
      </c>
      <c r="D485" s="24">
        <v>740.0</v>
      </c>
      <c r="E485" s="22" t="s">
        <v>664</v>
      </c>
      <c r="F485" s="25" t="s">
        <v>37</v>
      </c>
      <c r="G485" s="26" t="s">
        <v>27</v>
      </c>
      <c r="H485" s="27">
        <v>199.9</v>
      </c>
      <c r="I485" s="28">
        <v>5.0</v>
      </c>
      <c r="J485" s="29" t="s">
        <v>28</v>
      </c>
      <c r="K485" s="30">
        <v>0.4</v>
      </c>
      <c r="L485" s="31">
        <f t="shared" si="1"/>
        <v>2</v>
      </c>
      <c r="M485" s="31">
        <f t="shared" si="2"/>
        <v>3</v>
      </c>
      <c r="N485" s="32">
        <f t="shared" si="3"/>
        <v>79.96</v>
      </c>
      <c r="O485" s="32">
        <f t="shared" si="4"/>
        <v>119.94</v>
      </c>
      <c r="P485" s="32">
        <f t="shared" si="5"/>
        <v>119.94</v>
      </c>
      <c r="Q485" s="22">
        <v>0.0</v>
      </c>
      <c r="R485" s="32">
        <f t="shared" si="6"/>
        <v>39.98</v>
      </c>
      <c r="S485" s="33" t="s">
        <v>29</v>
      </c>
      <c r="T485" s="33" t="s">
        <v>30</v>
      </c>
      <c r="U485" s="34" t="s">
        <v>665</v>
      </c>
      <c r="V485" s="35"/>
      <c r="W485" s="7"/>
      <c r="X485" s="7"/>
      <c r="Y485" s="7"/>
      <c r="Z485" s="7"/>
      <c r="AA485" s="7"/>
    </row>
    <row r="486" ht="18.75" customHeight="1">
      <c r="A486" s="8" t="s">
        <v>641</v>
      </c>
      <c r="B486" s="9" t="s">
        <v>642</v>
      </c>
      <c r="C486" s="9" t="s">
        <v>433</v>
      </c>
      <c r="D486" s="10">
        <v>741.0</v>
      </c>
      <c r="E486" s="8" t="s">
        <v>666</v>
      </c>
      <c r="F486" s="11" t="s">
        <v>37</v>
      </c>
      <c r="G486" s="12" t="s">
        <v>27</v>
      </c>
      <c r="H486" s="13">
        <v>332.91</v>
      </c>
      <c r="I486" s="14">
        <v>10.0</v>
      </c>
      <c r="J486" s="15" t="s">
        <v>28</v>
      </c>
      <c r="K486" s="16">
        <v>0.4</v>
      </c>
      <c r="L486" s="17">
        <f t="shared" si="1"/>
        <v>4</v>
      </c>
      <c r="M486" s="17">
        <f t="shared" si="2"/>
        <v>6</v>
      </c>
      <c r="N486" s="18">
        <f t="shared" si="3"/>
        <v>133.164</v>
      </c>
      <c r="O486" s="18">
        <f t="shared" si="4"/>
        <v>199.746</v>
      </c>
      <c r="P486" s="18">
        <f t="shared" si="5"/>
        <v>199.746</v>
      </c>
      <c r="Q486" s="8">
        <v>0.0</v>
      </c>
      <c r="R486" s="18">
        <f t="shared" si="6"/>
        <v>33.291</v>
      </c>
      <c r="S486" s="19" t="s">
        <v>29</v>
      </c>
      <c r="T486" s="19" t="s">
        <v>30</v>
      </c>
      <c r="U486" s="20" t="s">
        <v>223</v>
      </c>
      <c r="V486" s="37"/>
      <c r="W486" s="7"/>
      <c r="X486" s="7"/>
      <c r="Y486" s="7"/>
      <c r="Z486" s="7"/>
      <c r="AA486" s="7"/>
    </row>
    <row r="487" ht="18.75" customHeight="1">
      <c r="A487" s="22" t="s">
        <v>641</v>
      </c>
      <c r="B487" s="23" t="s">
        <v>642</v>
      </c>
      <c r="C487" s="23" t="s">
        <v>433</v>
      </c>
      <c r="D487" s="24">
        <v>742.0</v>
      </c>
      <c r="E487" s="22" t="s">
        <v>667</v>
      </c>
      <c r="F487" s="25" t="s">
        <v>37</v>
      </c>
      <c r="G487" s="26" t="s">
        <v>27</v>
      </c>
      <c r="H487" s="27">
        <v>1880.55</v>
      </c>
      <c r="I487" s="28">
        <v>10.0</v>
      </c>
      <c r="J487" s="29" t="s">
        <v>54</v>
      </c>
      <c r="K487" s="30">
        <v>0.3</v>
      </c>
      <c r="L487" s="31">
        <f t="shared" si="1"/>
        <v>3</v>
      </c>
      <c r="M487" s="31">
        <f t="shared" si="2"/>
        <v>7</v>
      </c>
      <c r="N487" s="32">
        <f t="shared" si="3"/>
        <v>564.165</v>
      </c>
      <c r="O487" s="32">
        <f t="shared" si="4"/>
        <v>1316.385</v>
      </c>
      <c r="P487" s="32">
        <f t="shared" si="5"/>
        <v>1316.385</v>
      </c>
      <c r="Q487" s="22">
        <v>0.0</v>
      </c>
      <c r="R487" s="32">
        <f t="shared" si="6"/>
        <v>188.055</v>
      </c>
      <c r="S487" s="33" t="s">
        <v>29</v>
      </c>
      <c r="T487" s="33" t="s">
        <v>30</v>
      </c>
      <c r="U487" s="34" t="s">
        <v>69</v>
      </c>
      <c r="V487" s="35"/>
      <c r="W487" s="7"/>
      <c r="X487" s="7"/>
      <c r="Y487" s="7"/>
      <c r="Z487" s="7"/>
      <c r="AA487" s="7"/>
    </row>
    <row r="488" ht="18.75" customHeight="1">
      <c r="A488" s="8" t="s">
        <v>641</v>
      </c>
      <c r="B488" s="9" t="s">
        <v>642</v>
      </c>
      <c r="C488" s="9" t="s">
        <v>433</v>
      </c>
      <c r="D488" s="10">
        <v>743.0</v>
      </c>
      <c r="E488" s="8" t="s">
        <v>668</v>
      </c>
      <c r="F488" s="11" t="s">
        <v>26</v>
      </c>
      <c r="G488" s="12" t="s">
        <v>27</v>
      </c>
      <c r="H488" s="13">
        <v>37.9</v>
      </c>
      <c r="I488" s="14">
        <v>5.0</v>
      </c>
      <c r="J488" s="15" t="s">
        <v>38</v>
      </c>
      <c r="K488" s="16">
        <v>0.5</v>
      </c>
      <c r="L488" s="17">
        <f t="shared" si="1"/>
        <v>2.5</v>
      </c>
      <c r="M488" s="17">
        <f t="shared" si="2"/>
        <v>2.5</v>
      </c>
      <c r="N488" s="18">
        <f t="shared" si="3"/>
        <v>18.95</v>
      </c>
      <c r="O488" s="18">
        <f t="shared" si="4"/>
        <v>18.95</v>
      </c>
      <c r="P488" s="18">
        <f t="shared" si="5"/>
        <v>18.95</v>
      </c>
      <c r="Q488" s="8">
        <v>0.0</v>
      </c>
      <c r="R488" s="18">
        <f t="shared" si="6"/>
        <v>7.58</v>
      </c>
      <c r="S488" s="19" t="s">
        <v>29</v>
      </c>
      <c r="T488" s="19" t="s">
        <v>30</v>
      </c>
      <c r="U488" s="20" t="s">
        <v>302</v>
      </c>
      <c r="V488" s="37"/>
      <c r="W488" s="7"/>
      <c r="X488" s="7"/>
      <c r="Y488" s="7"/>
      <c r="Z488" s="7"/>
      <c r="AA488" s="7"/>
    </row>
    <row r="489" ht="18.75" customHeight="1">
      <c r="A489" s="22" t="s">
        <v>641</v>
      </c>
      <c r="B489" s="23" t="s">
        <v>642</v>
      </c>
      <c r="C489" s="23" t="s">
        <v>433</v>
      </c>
      <c r="D489" s="24">
        <v>744.0</v>
      </c>
      <c r="E489" s="22" t="s">
        <v>669</v>
      </c>
      <c r="F489" s="25" t="s">
        <v>26</v>
      </c>
      <c r="G489" s="26" t="s">
        <v>27</v>
      </c>
      <c r="H489" s="27">
        <v>531.9</v>
      </c>
      <c r="I489" s="28">
        <v>10.0</v>
      </c>
      <c r="J489" s="29" t="s">
        <v>54</v>
      </c>
      <c r="K489" s="30">
        <v>0.3</v>
      </c>
      <c r="L489" s="31">
        <f t="shared" si="1"/>
        <v>3</v>
      </c>
      <c r="M489" s="31">
        <f t="shared" si="2"/>
        <v>7</v>
      </c>
      <c r="N489" s="32">
        <f t="shared" si="3"/>
        <v>159.57</v>
      </c>
      <c r="O489" s="32">
        <f t="shared" si="4"/>
        <v>372.33</v>
      </c>
      <c r="P489" s="32">
        <f t="shared" si="5"/>
        <v>372.33</v>
      </c>
      <c r="Q489" s="22">
        <v>0.0</v>
      </c>
      <c r="R489" s="32">
        <f t="shared" si="6"/>
        <v>53.19</v>
      </c>
      <c r="S489" s="33" t="s">
        <v>29</v>
      </c>
      <c r="T489" s="33" t="s">
        <v>30</v>
      </c>
      <c r="U489" s="34" t="s">
        <v>191</v>
      </c>
      <c r="V489" s="35"/>
      <c r="W489" s="7"/>
      <c r="X489" s="7"/>
      <c r="Y489" s="7"/>
      <c r="Z489" s="7"/>
      <c r="AA489" s="7"/>
    </row>
    <row r="490" ht="18.75" customHeight="1">
      <c r="A490" s="8" t="s">
        <v>641</v>
      </c>
      <c r="B490" s="9" t="s">
        <v>642</v>
      </c>
      <c r="C490" s="9" t="s">
        <v>433</v>
      </c>
      <c r="D490" s="10">
        <v>745.0</v>
      </c>
      <c r="E490" s="8" t="s">
        <v>670</v>
      </c>
      <c r="F490" s="11" t="s">
        <v>26</v>
      </c>
      <c r="G490" s="12" t="s">
        <v>27</v>
      </c>
      <c r="H490" s="13">
        <v>785.82</v>
      </c>
      <c r="I490" s="14">
        <v>10.0</v>
      </c>
      <c r="J490" s="15" t="s">
        <v>38</v>
      </c>
      <c r="K490" s="16">
        <v>0.5</v>
      </c>
      <c r="L490" s="17">
        <f t="shared" si="1"/>
        <v>5</v>
      </c>
      <c r="M490" s="17">
        <f t="shared" si="2"/>
        <v>5</v>
      </c>
      <c r="N490" s="18">
        <f t="shared" si="3"/>
        <v>392.91</v>
      </c>
      <c r="O490" s="18">
        <f t="shared" si="4"/>
        <v>392.91</v>
      </c>
      <c r="P490" s="18">
        <f t="shared" si="5"/>
        <v>392.91</v>
      </c>
      <c r="Q490" s="8">
        <v>0.0</v>
      </c>
      <c r="R490" s="18">
        <f t="shared" si="6"/>
        <v>78.582</v>
      </c>
      <c r="S490" s="19" t="s">
        <v>29</v>
      </c>
      <c r="T490" s="19" t="s">
        <v>30</v>
      </c>
      <c r="U490" s="20" t="s">
        <v>220</v>
      </c>
      <c r="V490" s="37"/>
      <c r="W490" s="7"/>
      <c r="X490" s="7"/>
      <c r="Y490" s="7"/>
      <c r="Z490" s="7"/>
      <c r="AA490" s="7"/>
    </row>
    <row r="491" ht="18.75" customHeight="1">
      <c r="A491" s="22" t="s">
        <v>641</v>
      </c>
      <c r="B491" s="23" t="s">
        <v>642</v>
      </c>
      <c r="C491" s="23" t="s">
        <v>433</v>
      </c>
      <c r="D491" s="24">
        <v>746.0</v>
      </c>
      <c r="E491" s="22" t="s">
        <v>671</v>
      </c>
      <c r="F491" s="25" t="s">
        <v>26</v>
      </c>
      <c r="G491" s="26" t="s">
        <v>27</v>
      </c>
      <c r="H491" s="27">
        <v>1178.73</v>
      </c>
      <c r="I491" s="28">
        <v>10.0</v>
      </c>
      <c r="J491" s="29" t="s">
        <v>38</v>
      </c>
      <c r="K491" s="30">
        <v>0.5</v>
      </c>
      <c r="L491" s="31">
        <f t="shared" si="1"/>
        <v>5</v>
      </c>
      <c r="M491" s="31">
        <f t="shared" si="2"/>
        <v>5</v>
      </c>
      <c r="N491" s="32">
        <f t="shared" si="3"/>
        <v>589.365</v>
      </c>
      <c r="O491" s="32">
        <f t="shared" si="4"/>
        <v>589.365</v>
      </c>
      <c r="P491" s="32">
        <f t="shared" si="5"/>
        <v>589.365</v>
      </c>
      <c r="Q491" s="22">
        <v>0.0</v>
      </c>
      <c r="R491" s="32">
        <f t="shared" si="6"/>
        <v>117.873</v>
      </c>
      <c r="S491" s="33" t="s">
        <v>29</v>
      </c>
      <c r="T491" s="33" t="s">
        <v>30</v>
      </c>
      <c r="U491" s="34" t="s">
        <v>220</v>
      </c>
      <c r="V491" s="35"/>
      <c r="W491" s="7"/>
      <c r="X491" s="7"/>
      <c r="Y491" s="7"/>
      <c r="Z491" s="7"/>
      <c r="AA491" s="7"/>
    </row>
    <row r="492" ht="18.75" customHeight="1">
      <c r="A492" s="8" t="s">
        <v>641</v>
      </c>
      <c r="B492" s="9" t="s">
        <v>642</v>
      </c>
      <c r="C492" s="9" t="s">
        <v>433</v>
      </c>
      <c r="D492" s="10">
        <v>747.0</v>
      </c>
      <c r="E492" s="8" t="s">
        <v>672</v>
      </c>
      <c r="F492" s="11" t="s">
        <v>37</v>
      </c>
      <c r="G492" s="12" t="s">
        <v>27</v>
      </c>
      <c r="H492" s="13">
        <v>945.0</v>
      </c>
      <c r="I492" s="14">
        <v>15.0</v>
      </c>
      <c r="J492" s="15" t="s">
        <v>54</v>
      </c>
      <c r="K492" s="16">
        <v>0.3</v>
      </c>
      <c r="L492" s="17">
        <f t="shared" si="1"/>
        <v>4.5</v>
      </c>
      <c r="M492" s="17">
        <f t="shared" si="2"/>
        <v>10.5</v>
      </c>
      <c r="N492" s="18">
        <f t="shared" si="3"/>
        <v>283.5</v>
      </c>
      <c r="O492" s="18">
        <f t="shared" si="4"/>
        <v>661.5</v>
      </c>
      <c r="P492" s="18">
        <f t="shared" si="5"/>
        <v>661.5</v>
      </c>
      <c r="Q492" s="8">
        <v>0.0</v>
      </c>
      <c r="R492" s="18">
        <f t="shared" si="6"/>
        <v>63</v>
      </c>
      <c r="S492" s="19" t="s">
        <v>29</v>
      </c>
      <c r="T492" s="19" t="s">
        <v>30</v>
      </c>
      <c r="U492" s="20" t="s">
        <v>205</v>
      </c>
      <c r="V492" s="37"/>
      <c r="W492" s="7"/>
      <c r="X492" s="7"/>
      <c r="Y492" s="7"/>
      <c r="Z492" s="7"/>
      <c r="AA492" s="7"/>
    </row>
    <row r="493" ht="18.75" customHeight="1">
      <c r="A493" s="22" t="s">
        <v>641</v>
      </c>
      <c r="B493" s="23" t="s">
        <v>642</v>
      </c>
      <c r="C493" s="23" t="s">
        <v>433</v>
      </c>
      <c r="D493" s="24">
        <v>748.0</v>
      </c>
      <c r="E493" s="22" t="s">
        <v>673</v>
      </c>
      <c r="F493" s="25" t="s">
        <v>37</v>
      </c>
      <c r="G493" s="26" t="s">
        <v>27</v>
      </c>
      <c r="H493" s="27">
        <v>570.94</v>
      </c>
      <c r="I493" s="28">
        <v>10.0</v>
      </c>
      <c r="J493" s="29" t="s">
        <v>154</v>
      </c>
      <c r="K493" s="30">
        <v>0.8</v>
      </c>
      <c r="L493" s="31">
        <f t="shared" si="1"/>
        <v>8</v>
      </c>
      <c r="M493" s="31">
        <f t="shared" si="2"/>
        <v>2</v>
      </c>
      <c r="N493" s="32">
        <f t="shared" si="3"/>
        <v>456.752</v>
      </c>
      <c r="O493" s="32">
        <f t="shared" si="4"/>
        <v>114.188</v>
      </c>
      <c r="P493" s="32">
        <f t="shared" si="5"/>
        <v>114.188</v>
      </c>
      <c r="Q493" s="22">
        <v>0.0</v>
      </c>
      <c r="R493" s="32">
        <f t="shared" si="6"/>
        <v>57.094</v>
      </c>
      <c r="S493" s="33" t="s">
        <v>29</v>
      </c>
      <c r="T493" s="33" t="s">
        <v>30</v>
      </c>
      <c r="U493" s="34" t="s">
        <v>674</v>
      </c>
      <c r="V493" s="35"/>
      <c r="W493" s="7"/>
      <c r="X493" s="7"/>
      <c r="Y493" s="7"/>
      <c r="Z493" s="7"/>
      <c r="AA493" s="7"/>
    </row>
    <row r="494" ht="18.75" customHeight="1">
      <c r="A494" s="8" t="s">
        <v>641</v>
      </c>
      <c r="B494" s="9" t="s">
        <v>642</v>
      </c>
      <c r="C494" s="9" t="s">
        <v>433</v>
      </c>
      <c r="D494" s="10">
        <v>749.0</v>
      </c>
      <c r="E494" s="8" t="s">
        <v>675</v>
      </c>
      <c r="F494" s="11" t="s">
        <v>37</v>
      </c>
      <c r="G494" s="12" t="s">
        <v>27</v>
      </c>
      <c r="H494" s="13">
        <v>1300.12</v>
      </c>
      <c r="I494" s="14">
        <v>15.0</v>
      </c>
      <c r="J494" s="15" t="s">
        <v>54</v>
      </c>
      <c r="K494" s="16">
        <v>0.3</v>
      </c>
      <c r="L494" s="17">
        <f t="shared" si="1"/>
        <v>4.5</v>
      </c>
      <c r="M494" s="17">
        <f t="shared" si="2"/>
        <v>10.5</v>
      </c>
      <c r="N494" s="18">
        <f t="shared" si="3"/>
        <v>390.036</v>
      </c>
      <c r="O494" s="18">
        <f t="shared" si="4"/>
        <v>910.084</v>
      </c>
      <c r="P494" s="18">
        <f t="shared" si="5"/>
        <v>910.084</v>
      </c>
      <c r="Q494" s="8">
        <v>0.0</v>
      </c>
      <c r="R494" s="18">
        <f t="shared" si="6"/>
        <v>86.67466667</v>
      </c>
      <c r="S494" s="19" t="s">
        <v>29</v>
      </c>
      <c r="T494" s="19" t="s">
        <v>30</v>
      </c>
      <c r="U494" s="20" t="s">
        <v>229</v>
      </c>
      <c r="V494" s="37"/>
      <c r="W494" s="7"/>
      <c r="X494" s="7"/>
      <c r="Y494" s="7"/>
      <c r="Z494" s="7"/>
      <c r="AA494" s="7"/>
    </row>
    <row r="495" ht="18.75" customHeight="1">
      <c r="A495" s="22" t="s">
        <v>641</v>
      </c>
      <c r="B495" s="23" t="s">
        <v>642</v>
      </c>
      <c r="C495" s="23" t="s">
        <v>433</v>
      </c>
      <c r="D495" s="24">
        <v>753.0</v>
      </c>
      <c r="E495" s="22" t="s">
        <v>676</v>
      </c>
      <c r="F495" s="25" t="s">
        <v>37</v>
      </c>
      <c r="G495" s="26" t="s">
        <v>27</v>
      </c>
      <c r="H495" s="27">
        <v>199.9</v>
      </c>
      <c r="I495" s="28">
        <v>5.0</v>
      </c>
      <c r="J495" s="29" t="s">
        <v>28</v>
      </c>
      <c r="K495" s="30">
        <v>0.4</v>
      </c>
      <c r="L495" s="31">
        <f t="shared" si="1"/>
        <v>2</v>
      </c>
      <c r="M495" s="31">
        <f t="shared" si="2"/>
        <v>3</v>
      </c>
      <c r="N495" s="32">
        <f t="shared" si="3"/>
        <v>79.96</v>
      </c>
      <c r="O495" s="32">
        <f t="shared" si="4"/>
        <v>119.94</v>
      </c>
      <c r="P495" s="32">
        <f t="shared" si="5"/>
        <v>119.94</v>
      </c>
      <c r="Q495" s="22">
        <v>0.0</v>
      </c>
      <c r="R495" s="32">
        <f t="shared" si="6"/>
        <v>39.98</v>
      </c>
      <c r="S495" s="33" t="s">
        <v>29</v>
      </c>
      <c r="T495" s="33" t="s">
        <v>30</v>
      </c>
      <c r="U495" s="34" t="s">
        <v>665</v>
      </c>
      <c r="V495" s="35"/>
      <c r="W495" s="7"/>
      <c r="X495" s="7"/>
      <c r="Y495" s="7"/>
      <c r="Z495" s="7"/>
      <c r="AA495" s="7"/>
    </row>
    <row r="496" ht="18.75" customHeight="1">
      <c r="A496" s="8" t="s">
        <v>641</v>
      </c>
      <c r="B496" s="9" t="s">
        <v>642</v>
      </c>
      <c r="C496" s="9" t="s">
        <v>433</v>
      </c>
      <c r="D496" s="10">
        <v>755.0</v>
      </c>
      <c r="E496" s="8" t="s">
        <v>677</v>
      </c>
      <c r="F496" s="11" t="s">
        <v>37</v>
      </c>
      <c r="G496" s="12" t="s">
        <v>27</v>
      </c>
      <c r="H496" s="13">
        <v>332.91</v>
      </c>
      <c r="I496" s="14">
        <v>10.0</v>
      </c>
      <c r="J496" s="15" t="s">
        <v>28</v>
      </c>
      <c r="K496" s="16">
        <v>0.4</v>
      </c>
      <c r="L496" s="17">
        <f t="shared" si="1"/>
        <v>4</v>
      </c>
      <c r="M496" s="17">
        <f t="shared" si="2"/>
        <v>6</v>
      </c>
      <c r="N496" s="18">
        <f t="shared" si="3"/>
        <v>133.164</v>
      </c>
      <c r="O496" s="18">
        <f t="shared" si="4"/>
        <v>199.746</v>
      </c>
      <c r="P496" s="18">
        <f t="shared" si="5"/>
        <v>199.746</v>
      </c>
      <c r="Q496" s="8">
        <v>0.0</v>
      </c>
      <c r="R496" s="18">
        <f t="shared" si="6"/>
        <v>33.291</v>
      </c>
      <c r="S496" s="19" t="s">
        <v>29</v>
      </c>
      <c r="T496" s="19" t="s">
        <v>30</v>
      </c>
      <c r="U496" s="20" t="s">
        <v>223</v>
      </c>
      <c r="V496" s="37"/>
      <c r="W496" s="7"/>
      <c r="X496" s="7"/>
      <c r="Y496" s="7"/>
      <c r="Z496" s="7"/>
      <c r="AA496" s="7"/>
    </row>
    <row r="497" ht="18.75" customHeight="1">
      <c r="A497" s="22" t="s">
        <v>641</v>
      </c>
      <c r="B497" s="23" t="s">
        <v>642</v>
      </c>
      <c r="C497" s="23" t="s">
        <v>433</v>
      </c>
      <c r="D497" s="24">
        <v>756.0</v>
      </c>
      <c r="E497" s="22" t="s">
        <v>677</v>
      </c>
      <c r="F497" s="25" t="s">
        <v>37</v>
      </c>
      <c r="G497" s="26" t="s">
        <v>27</v>
      </c>
      <c r="H497" s="27">
        <v>332.91</v>
      </c>
      <c r="I497" s="28">
        <v>10.0</v>
      </c>
      <c r="J497" s="29" t="s">
        <v>28</v>
      </c>
      <c r="K497" s="30">
        <v>0.4</v>
      </c>
      <c r="L497" s="31">
        <f t="shared" si="1"/>
        <v>4</v>
      </c>
      <c r="M497" s="31">
        <f t="shared" si="2"/>
        <v>6</v>
      </c>
      <c r="N497" s="32">
        <f t="shared" si="3"/>
        <v>133.164</v>
      </c>
      <c r="O497" s="32">
        <f t="shared" si="4"/>
        <v>199.746</v>
      </c>
      <c r="P497" s="32">
        <f t="shared" si="5"/>
        <v>199.746</v>
      </c>
      <c r="Q497" s="22">
        <v>0.0</v>
      </c>
      <c r="R497" s="32">
        <f t="shared" si="6"/>
        <v>33.291</v>
      </c>
      <c r="S497" s="33" t="s">
        <v>29</v>
      </c>
      <c r="T497" s="33" t="s">
        <v>30</v>
      </c>
      <c r="U497" s="34" t="s">
        <v>223</v>
      </c>
      <c r="V497" s="35"/>
      <c r="W497" s="7"/>
      <c r="X497" s="7"/>
      <c r="Y497" s="7"/>
      <c r="Z497" s="7"/>
      <c r="AA497" s="7"/>
    </row>
    <row r="498" ht="18.75" customHeight="1">
      <c r="A498" s="8" t="s">
        <v>641</v>
      </c>
      <c r="B498" s="9" t="s">
        <v>642</v>
      </c>
      <c r="C498" s="9" t="s">
        <v>433</v>
      </c>
      <c r="D498" s="10">
        <v>757.0</v>
      </c>
      <c r="E498" s="8" t="s">
        <v>678</v>
      </c>
      <c r="F498" s="11" t="s">
        <v>26</v>
      </c>
      <c r="G498" s="12" t="s">
        <v>27</v>
      </c>
      <c r="H498" s="13">
        <v>1291.65</v>
      </c>
      <c r="I498" s="14">
        <v>10.0</v>
      </c>
      <c r="J498" s="15" t="s">
        <v>154</v>
      </c>
      <c r="K498" s="16">
        <v>0.8</v>
      </c>
      <c r="L498" s="17">
        <f t="shared" si="1"/>
        <v>8</v>
      </c>
      <c r="M498" s="17">
        <f t="shared" si="2"/>
        <v>2</v>
      </c>
      <c r="N498" s="18">
        <f t="shared" si="3"/>
        <v>1033.32</v>
      </c>
      <c r="O498" s="18">
        <f t="shared" si="4"/>
        <v>258.33</v>
      </c>
      <c r="P498" s="18">
        <f t="shared" si="5"/>
        <v>258.33</v>
      </c>
      <c r="Q498" s="8">
        <v>0.0</v>
      </c>
      <c r="R498" s="18">
        <f t="shared" si="6"/>
        <v>129.165</v>
      </c>
      <c r="S498" s="19" t="s">
        <v>29</v>
      </c>
      <c r="T498" s="19" t="s">
        <v>30</v>
      </c>
      <c r="U498" s="36" t="s">
        <v>679</v>
      </c>
      <c r="V498" s="37"/>
      <c r="W498" s="7"/>
      <c r="X498" s="7"/>
      <c r="Y498" s="7"/>
      <c r="Z498" s="7"/>
      <c r="AA498" s="7"/>
    </row>
    <row r="499" ht="18.75" customHeight="1">
      <c r="A499" s="22" t="s">
        <v>641</v>
      </c>
      <c r="B499" s="23" t="s">
        <v>642</v>
      </c>
      <c r="C499" s="23" t="s">
        <v>433</v>
      </c>
      <c r="D499" s="24">
        <v>758.0</v>
      </c>
      <c r="E499" s="22" t="s">
        <v>680</v>
      </c>
      <c r="F499" s="25" t="s">
        <v>37</v>
      </c>
      <c r="G499" s="26" t="s">
        <v>27</v>
      </c>
      <c r="H499" s="27">
        <v>417.6</v>
      </c>
      <c r="I499" s="28">
        <v>10.0</v>
      </c>
      <c r="J499" s="41" t="s">
        <v>63</v>
      </c>
      <c r="K499" s="42">
        <v>0.700000000000002</v>
      </c>
      <c r="L499" s="31">
        <f t="shared" si="1"/>
        <v>7</v>
      </c>
      <c r="M499" s="31">
        <f t="shared" si="2"/>
        <v>3</v>
      </c>
      <c r="N499" s="32">
        <f t="shared" si="3"/>
        <v>292.32</v>
      </c>
      <c r="O499" s="32">
        <f t="shared" si="4"/>
        <v>125.28</v>
      </c>
      <c r="P499" s="32">
        <f t="shared" si="5"/>
        <v>125.28</v>
      </c>
      <c r="Q499" s="22">
        <v>0.0</v>
      </c>
      <c r="R499" s="32">
        <f t="shared" si="6"/>
        <v>41.76</v>
      </c>
      <c r="S499" s="33" t="s">
        <v>29</v>
      </c>
      <c r="T499" s="33" t="s">
        <v>30</v>
      </c>
      <c r="U499" s="34" t="s">
        <v>533</v>
      </c>
      <c r="V499" s="35"/>
      <c r="W499" s="7"/>
      <c r="X499" s="7"/>
      <c r="Y499" s="7"/>
      <c r="Z499" s="7"/>
      <c r="AA499" s="7"/>
    </row>
    <row r="500" ht="18.75" customHeight="1">
      <c r="A500" s="8" t="s">
        <v>641</v>
      </c>
      <c r="B500" s="9" t="s">
        <v>642</v>
      </c>
      <c r="C500" s="9" t="s">
        <v>433</v>
      </c>
      <c r="D500" s="10">
        <v>759.0</v>
      </c>
      <c r="E500" s="8" t="s">
        <v>680</v>
      </c>
      <c r="F500" s="11" t="s">
        <v>37</v>
      </c>
      <c r="G500" s="12" t="s">
        <v>27</v>
      </c>
      <c r="H500" s="13">
        <v>417.6</v>
      </c>
      <c r="I500" s="14">
        <v>10.0</v>
      </c>
      <c r="J500" s="15" t="s">
        <v>38</v>
      </c>
      <c r="K500" s="16">
        <v>0.5</v>
      </c>
      <c r="L500" s="17">
        <f t="shared" si="1"/>
        <v>5</v>
      </c>
      <c r="M500" s="17">
        <f t="shared" si="2"/>
        <v>5</v>
      </c>
      <c r="N500" s="18">
        <f t="shared" si="3"/>
        <v>208.8</v>
      </c>
      <c r="O500" s="18">
        <f t="shared" si="4"/>
        <v>208.8</v>
      </c>
      <c r="P500" s="18">
        <f t="shared" si="5"/>
        <v>208.8</v>
      </c>
      <c r="Q500" s="8">
        <v>0.0</v>
      </c>
      <c r="R500" s="18">
        <f t="shared" si="6"/>
        <v>41.76</v>
      </c>
      <c r="S500" s="19" t="s">
        <v>29</v>
      </c>
      <c r="T500" s="19" t="s">
        <v>30</v>
      </c>
      <c r="U500" s="20" t="s">
        <v>533</v>
      </c>
      <c r="V500" s="37"/>
      <c r="W500" s="7"/>
      <c r="X500" s="7"/>
      <c r="Y500" s="7"/>
      <c r="Z500" s="7"/>
      <c r="AA500" s="7"/>
    </row>
    <row r="501" ht="18.75" customHeight="1">
      <c r="A501" s="22" t="s">
        <v>641</v>
      </c>
      <c r="B501" s="23" t="s">
        <v>642</v>
      </c>
      <c r="C501" s="23" t="s">
        <v>433</v>
      </c>
      <c r="D501" s="24">
        <v>760.0</v>
      </c>
      <c r="E501" s="22" t="s">
        <v>681</v>
      </c>
      <c r="F501" s="25" t="s">
        <v>26</v>
      </c>
      <c r="G501" s="26" t="s">
        <v>27</v>
      </c>
      <c r="H501" s="56">
        <v>840.42</v>
      </c>
      <c r="I501" s="28">
        <v>10.0</v>
      </c>
      <c r="J501" s="29" t="s">
        <v>289</v>
      </c>
      <c r="K501" s="30">
        <v>0.95</v>
      </c>
      <c r="L501" s="31">
        <f t="shared" si="1"/>
        <v>9.5</v>
      </c>
      <c r="M501" s="31">
        <f t="shared" si="2"/>
        <v>0.5</v>
      </c>
      <c r="N501" s="32">
        <f t="shared" si="3"/>
        <v>798.399</v>
      </c>
      <c r="O501" s="32">
        <f t="shared" si="4"/>
        <v>42.021</v>
      </c>
      <c r="P501" s="32">
        <f t="shared" si="5"/>
        <v>42.021</v>
      </c>
      <c r="Q501" s="22">
        <v>0.0</v>
      </c>
      <c r="R501" s="32">
        <f t="shared" si="6"/>
        <v>84.042</v>
      </c>
      <c r="S501" s="33" t="s">
        <v>29</v>
      </c>
      <c r="T501" s="33" t="s">
        <v>30</v>
      </c>
      <c r="U501" s="34" t="s">
        <v>682</v>
      </c>
      <c r="V501" s="35"/>
      <c r="W501" s="7"/>
      <c r="X501" s="7"/>
      <c r="Y501" s="7"/>
      <c r="Z501" s="7"/>
      <c r="AA501" s="7"/>
    </row>
    <row r="502" ht="18.75" customHeight="1">
      <c r="A502" s="8" t="s">
        <v>641</v>
      </c>
      <c r="B502" s="9" t="s">
        <v>642</v>
      </c>
      <c r="C502" s="9" t="s">
        <v>433</v>
      </c>
      <c r="D502" s="10">
        <v>763.0</v>
      </c>
      <c r="E502" s="8" t="s">
        <v>683</v>
      </c>
      <c r="F502" s="11" t="s">
        <v>26</v>
      </c>
      <c r="G502" s="12" t="s">
        <v>27</v>
      </c>
      <c r="H502" s="55">
        <v>1260.63</v>
      </c>
      <c r="I502" s="14">
        <v>10.0</v>
      </c>
      <c r="J502" s="15" t="s">
        <v>289</v>
      </c>
      <c r="K502" s="16">
        <v>0.95</v>
      </c>
      <c r="L502" s="17">
        <f t="shared" si="1"/>
        <v>9.5</v>
      </c>
      <c r="M502" s="17">
        <f t="shared" si="2"/>
        <v>0.5</v>
      </c>
      <c r="N502" s="18">
        <f t="shared" si="3"/>
        <v>1197.5985</v>
      </c>
      <c r="O502" s="18">
        <f t="shared" si="4"/>
        <v>63.0315</v>
      </c>
      <c r="P502" s="18">
        <f t="shared" si="5"/>
        <v>63.0315</v>
      </c>
      <c r="Q502" s="8">
        <v>0.0</v>
      </c>
      <c r="R502" s="18">
        <f t="shared" si="6"/>
        <v>126.063</v>
      </c>
      <c r="S502" s="19" t="s">
        <v>29</v>
      </c>
      <c r="T502" s="19" t="s">
        <v>30</v>
      </c>
      <c r="U502" s="20" t="s">
        <v>682</v>
      </c>
      <c r="V502" s="37"/>
      <c r="W502" s="7"/>
      <c r="X502" s="7"/>
      <c r="Y502" s="7"/>
      <c r="Z502" s="7"/>
      <c r="AA502" s="7"/>
    </row>
    <row r="503" ht="18.75" customHeight="1">
      <c r="A503" s="22" t="s">
        <v>641</v>
      </c>
      <c r="B503" s="23" t="s">
        <v>642</v>
      </c>
      <c r="C503" s="23" t="s">
        <v>433</v>
      </c>
      <c r="D503" s="24">
        <v>764.0</v>
      </c>
      <c r="E503" s="22" t="s">
        <v>684</v>
      </c>
      <c r="F503" s="25" t="s">
        <v>26</v>
      </c>
      <c r="G503" s="26" t="s">
        <v>27</v>
      </c>
      <c r="H503" s="27">
        <v>2298.99</v>
      </c>
      <c r="I503" s="28">
        <v>10.0</v>
      </c>
      <c r="J503" s="29" t="s">
        <v>38</v>
      </c>
      <c r="K503" s="30">
        <v>0.5</v>
      </c>
      <c r="L503" s="31">
        <f t="shared" si="1"/>
        <v>5</v>
      </c>
      <c r="M503" s="31">
        <f t="shared" si="2"/>
        <v>5</v>
      </c>
      <c r="N503" s="32">
        <f t="shared" si="3"/>
        <v>1149.495</v>
      </c>
      <c r="O503" s="32">
        <f t="shared" si="4"/>
        <v>1149.495</v>
      </c>
      <c r="P503" s="32">
        <f t="shared" si="5"/>
        <v>1149.495</v>
      </c>
      <c r="Q503" s="22">
        <v>0.0</v>
      </c>
      <c r="R503" s="32">
        <f t="shared" si="6"/>
        <v>229.899</v>
      </c>
      <c r="S503" s="33" t="s">
        <v>29</v>
      </c>
      <c r="T503" s="33" t="s">
        <v>30</v>
      </c>
      <c r="U503" s="34" t="s">
        <v>423</v>
      </c>
      <c r="V503" s="35"/>
      <c r="W503" s="7"/>
      <c r="X503" s="7"/>
      <c r="Y503" s="7"/>
      <c r="Z503" s="7"/>
      <c r="AA503" s="7"/>
    </row>
    <row r="504" ht="18.75" customHeight="1">
      <c r="A504" s="8" t="s">
        <v>641</v>
      </c>
      <c r="B504" s="9" t="s">
        <v>642</v>
      </c>
      <c r="C504" s="9" t="s">
        <v>433</v>
      </c>
      <c r="D504" s="10">
        <v>2011.0</v>
      </c>
      <c r="E504" s="8" t="s">
        <v>685</v>
      </c>
      <c r="F504" s="11" t="s">
        <v>26</v>
      </c>
      <c r="G504" s="12" t="s">
        <v>27</v>
      </c>
      <c r="H504" s="13">
        <v>603.0</v>
      </c>
      <c r="I504" s="14">
        <v>5.0</v>
      </c>
      <c r="J504" s="15" t="s">
        <v>38</v>
      </c>
      <c r="K504" s="16">
        <v>0.5</v>
      </c>
      <c r="L504" s="17">
        <f t="shared" si="1"/>
        <v>2.5</v>
      </c>
      <c r="M504" s="17">
        <f t="shared" si="2"/>
        <v>2.5</v>
      </c>
      <c r="N504" s="18">
        <f t="shared" si="3"/>
        <v>301.5</v>
      </c>
      <c r="O504" s="18">
        <f t="shared" si="4"/>
        <v>301.5</v>
      </c>
      <c r="P504" s="18">
        <f t="shared" si="5"/>
        <v>301.5</v>
      </c>
      <c r="Q504" s="8">
        <v>0.0</v>
      </c>
      <c r="R504" s="18">
        <f t="shared" si="6"/>
        <v>120.6</v>
      </c>
      <c r="S504" s="19" t="s">
        <v>29</v>
      </c>
      <c r="T504" s="19" t="s">
        <v>30</v>
      </c>
      <c r="U504" s="20" t="s">
        <v>79</v>
      </c>
      <c r="V504" s="37"/>
      <c r="W504" s="7"/>
      <c r="X504" s="7"/>
      <c r="Y504" s="7"/>
      <c r="Z504" s="7"/>
      <c r="AA504" s="7"/>
    </row>
    <row r="505" ht="18.75" customHeight="1">
      <c r="A505" s="22" t="s">
        <v>641</v>
      </c>
      <c r="B505" s="23" t="s">
        <v>642</v>
      </c>
      <c r="C505" s="23" t="s">
        <v>433</v>
      </c>
      <c r="D505" s="24">
        <v>2643.0</v>
      </c>
      <c r="E505" s="22" t="s">
        <v>686</v>
      </c>
      <c r="F505" s="25" t="s">
        <v>37</v>
      </c>
      <c r="G505" s="26" t="s">
        <v>27</v>
      </c>
      <c r="H505" s="27">
        <v>65.35</v>
      </c>
      <c r="I505" s="28">
        <v>5.0</v>
      </c>
      <c r="J505" s="29" t="s">
        <v>143</v>
      </c>
      <c r="K505" s="30"/>
      <c r="L505" s="31">
        <f t="shared" si="1"/>
        <v>0</v>
      </c>
      <c r="M505" s="31">
        <f t="shared" si="2"/>
        <v>5</v>
      </c>
      <c r="N505" s="32">
        <f t="shared" si="3"/>
        <v>0</v>
      </c>
      <c r="O505" s="32">
        <f t="shared" si="4"/>
        <v>65.35</v>
      </c>
      <c r="P505" s="32">
        <f t="shared" si="5"/>
        <v>65.35</v>
      </c>
      <c r="Q505" s="22">
        <v>0.0</v>
      </c>
      <c r="R505" s="32">
        <f t="shared" si="6"/>
        <v>13.07</v>
      </c>
      <c r="S505" s="33" t="s">
        <v>29</v>
      </c>
      <c r="T505" s="33" t="s">
        <v>30</v>
      </c>
      <c r="U505" s="34" t="s">
        <v>374</v>
      </c>
      <c r="V505" s="35"/>
      <c r="W505" s="7"/>
      <c r="X505" s="7"/>
      <c r="Y505" s="7"/>
      <c r="Z505" s="7"/>
      <c r="AA505" s="7"/>
    </row>
    <row r="506" ht="18.75" customHeight="1">
      <c r="A506" s="8" t="s">
        <v>641</v>
      </c>
      <c r="B506" s="9" t="s">
        <v>642</v>
      </c>
      <c r="C506" s="9" t="s">
        <v>433</v>
      </c>
      <c r="D506" s="10">
        <v>2644.0</v>
      </c>
      <c r="E506" s="8" t="s">
        <v>686</v>
      </c>
      <c r="F506" s="11" t="s">
        <v>37</v>
      </c>
      <c r="G506" s="12" t="s">
        <v>27</v>
      </c>
      <c r="H506" s="13">
        <v>65.35</v>
      </c>
      <c r="I506" s="14">
        <v>5.0</v>
      </c>
      <c r="J506" s="15" t="s">
        <v>143</v>
      </c>
      <c r="K506" s="16"/>
      <c r="L506" s="17">
        <f t="shared" si="1"/>
        <v>0</v>
      </c>
      <c r="M506" s="17">
        <f t="shared" si="2"/>
        <v>5</v>
      </c>
      <c r="N506" s="18">
        <f t="shared" si="3"/>
        <v>0</v>
      </c>
      <c r="O506" s="18">
        <f t="shared" si="4"/>
        <v>65.35</v>
      </c>
      <c r="P506" s="18">
        <f t="shared" si="5"/>
        <v>65.35</v>
      </c>
      <c r="Q506" s="8">
        <v>0.0</v>
      </c>
      <c r="R506" s="18">
        <f t="shared" si="6"/>
        <v>13.07</v>
      </c>
      <c r="S506" s="19" t="s">
        <v>29</v>
      </c>
      <c r="T506" s="19" t="s">
        <v>30</v>
      </c>
      <c r="U506" s="20" t="s">
        <v>374</v>
      </c>
      <c r="V506" s="37"/>
      <c r="W506" s="7"/>
      <c r="X506" s="7"/>
      <c r="Y506" s="7"/>
      <c r="Z506" s="7"/>
      <c r="AA506" s="7"/>
    </row>
    <row r="507" ht="18.75" customHeight="1">
      <c r="A507" s="22" t="s">
        <v>641</v>
      </c>
      <c r="B507" s="23" t="s">
        <v>642</v>
      </c>
      <c r="C507" s="23" t="s">
        <v>433</v>
      </c>
      <c r="D507" s="24">
        <v>2668.0</v>
      </c>
      <c r="E507" s="22" t="s">
        <v>378</v>
      </c>
      <c r="F507" s="25" t="s">
        <v>26</v>
      </c>
      <c r="G507" s="26" t="s">
        <v>27</v>
      </c>
      <c r="H507" s="27">
        <v>1268.25</v>
      </c>
      <c r="I507" s="28">
        <v>10.0</v>
      </c>
      <c r="J507" s="29" t="s">
        <v>28</v>
      </c>
      <c r="K507" s="30">
        <v>0.4</v>
      </c>
      <c r="L507" s="31">
        <f t="shared" si="1"/>
        <v>4</v>
      </c>
      <c r="M507" s="31">
        <f t="shared" si="2"/>
        <v>6</v>
      </c>
      <c r="N507" s="32">
        <f t="shared" si="3"/>
        <v>507.3</v>
      </c>
      <c r="O507" s="32">
        <f t="shared" si="4"/>
        <v>760.95</v>
      </c>
      <c r="P507" s="32">
        <f t="shared" si="5"/>
        <v>760.95</v>
      </c>
      <c r="Q507" s="22">
        <v>0.0</v>
      </c>
      <c r="R507" s="32">
        <f t="shared" si="6"/>
        <v>126.825</v>
      </c>
      <c r="S507" s="33" t="s">
        <v>29</v>
      </c>
      <c r="T507" s="33" t="s">
        <v>30</v>
      </c>
      <c r="U507" s="38" t="s">
        <v>379</v>
      </c>
      <c r="V507" s="35"/>
      <c r="W507" s="7"/>
      <c r="X507" s="7"/>
      <c r="Y507" s="7"/>
      <c r="Z507" s="7"/>
      <c r="AA507" s="7"/>
    </row>
    <row r="508" ht="18.75" customHeight="1">
      <c r="A508" s="8" t="s">
        <v>687</v>
      </c>
      <c r="B508" s="9" t="s">
        <v>23</v>
      </c>
      <c r="C508" s="9" t="s">
        <v>24</v>
      </c>
      <c r="D508" s="10">
        <v>543.0</v>
      </c>
      <c r="E508" s="9" t="s">
        <v>688</v>
      </c>
      <c r="F508" s="11" t="s">
        <v>26</v>
      </c>
      <c r="G508" s="39"/>
      <c r="H508" s="13">
        <v>2734.1</v>
      </c>
      <c r="I508" s="14">
        <v>10.0</v>
      </c>
      <c r="J508" s="15" t="s">
        <v>38</v>
      </c>
      <c r="K508" s="16">
        <v>0.5</v>
      </c>
      <c r="L508" s="17">
        <f t="shared" si="1"/>
        <v>5</v>
      </c>
      <c r="M508" s="17">
        <f t="shared" si="2"/>
        <v>5</v>
      </c>
      <c r="N508" s="18">
        <f t="shared" si="3"/>
        <v>1367.05</v>
      </c>
      <c r="O508" s="18">
        <f t="shared" si="4"/>
        <v>1367.05</v>
      </c>
      <c r="P508" s="18">
        <f t="shared" si="5"/>
        <v>1367.05</v>
      </c>
      <c r="Q508" s="8">
        <v>0.0</v>
      </c>
      <c r="R508" s="18">
        <f t="shared" si="6"/>
        <v>273.41</v>
      </c>
      <c r="S508" s="19" t="s">
        <v>29</v>
      </c>
      <c r="T508" s="19" t="s">
        <v>30</v>
      </c>
      <c r="U508" s="36" t="s">
        <v>689</v>
      </c>
      <c r="V508" s="37"/>
      <c r="W508" s="7"/>
      <c r="X508" s="7"/>
      <c r="Y508" s="7"/>
      <c r="Z508" s="7"/>
      <c r="AA508" s="7"/>
    </row>
    <row r="509" ht="18.75" customHeight="1">
      <c r="A509" s="22" t="s">
        <v>687</v>
      </c>
      <c r="B509" s="23" t="s">
        <v>690</v>
      </c>
      <c r="C509" s="23" t="s">
        <v>33</v>
      </c>
      <c r="D509" s="24">
        <v>943.0</v>
      </c>
      <c r="E509" s="23" t="s">
        <v>691</v>
      </c>
      <c r="F509" s="25" t="s">
        <v>26</v>
      </c>
      <c r="G509" s="26" t="s">
        <v>27</v>
      </c>
      <c r="H509" s="27">
        <v>15639.9</v>
      </c>
      <c r="I509" s="28">
        <v>10.0</v>
      </c>
      <c r="J509" s="29" t="s">
        <v>38</v>
      </c>
      <c r="K509" s="30">
        <v>0.5</v>
      </c>
      <c r="L509" s="31">
        <f t="shared" si="1"/>
        <v>5</v>
      </c>
      <c r="M509" s="31">
        <f t="shared" si="2"/>
        <v>5</v>
      </c>
      <c r="N509" s="32">
        <f t="shared" si="3"/>
        <v>7819.95</v>
      </c>
      <c r="O509" s="32">
        <f t="shared" si="4"/>
        <v>7819.95</v>
      </c>
      <c r="P509" s="32">
        <f t="shared" si="5"/>
        <v>7819.95</v>
      </c>
      <c r="Q509" s="22">
        <v>0.0</v>
      </c>
      <c r="R509" s="32">
        <f t="shared" si="6"/>
        <v>1563.99</v>
      </c>
      <c r="S509" s="33" t="s">
        <v>29</v>
      </c>
      <c r="T509" s="33" t="s">
        <v>30</v>
      </c>
      <c r="U509" s="34" t="s">
        <v>35</v>
      </c>
      <c r="V509" s="35"/>
      <c r="W509" s="7"/>
      <c r="X509" s="7"/>
      <c r="Y509" s="7"/>
      <c r="Z509" s="7"/>
      <c r="AA509" s="7"/>
    </row>
    <row r="510" ht="18.75" customHeight="1">
      <c r="A510" s="8" t="s">
        <v>687</v>
      </c>
      <c r="B510" s="9" t="s">
        <v>690</v>
      </c>
      <c r="C510" s="9" t="s">
        <v>33</v>
      </c>
      <c r="D510" s="10">
        <v>947.0</v>
      </c>
      <c r="E510" s="9" t="s">
        <v>692</v>
      </c>
      <c r="F510" s="11" t="s">
        <v>26</v>
      </c>
      <c r="G510" s="12" t="s">
        <v>27</v>
      </c>
      <c r="H510" s="13">
        <v>2338.0</v>
      </c>
      <c r="I510" s="14">
        <v>10.0</v>
      </c>
      <c r="J510" s="15" t="s">
        <v>38</v>
      </c>
      <c r="K510" s="16">
        <v>0.5</v>
      </c>
      <c r="L510" s="17">
        <f t="shared" si="1"/>
        <v>5</v>
      </c>
      <c r="M510" s="17">
        <f t="shared" si="2"/>
        <v>5</v>
      </c>
      <c r="N510" s="18">
        <f t="shared" si="3"/>
        <v>1169</v>
      </c>
      <c r="O510" s="18">
        <f t="shared" si="4"/>
        <v>1169</v>
      </c>
      <c r="P510" s="18">
        <f t="shared" si="5"/>
        <v>1169</v>
      </c>
      <c r="Q510" s="8">
        <v>0.0</v>
      </c>
      <c r="R510" s="18">
        <f t="shared" si="6"/>
        <v>233.8</v>
      </c>
      <c r="S510" s="19" t="s">
        <v>29</v>
      </c>
      <c r="T510" s="19" t="s">
        <v>30</v>
      </c>
      <c r="U510" s="36" t="s">
        <v>45</v>
      </c>
      <c r="V510" s="37"/>
      <c r="W510" s="7"/>
      <c r="X510" s="7"/>
      <c r="Y510" s="7"/>
      <c r="Z510" s="7"/>
      <c r="AA510" s="7"/>
    </row>
    <row r="511" ht="18.75" customHeight="1">
      <c r="A511" s="22" t="s">
        <v>687</v>
      </c>
      <c r="B511" s="23" t="s">
        <v>690</v>
      </c>
      <c r="C511" s="23" t="s">
        <v>33</v>
      </c>
      <c r="D511" s="24">
        <v>948.0</v>
      </c>
      <c r="E511" s="23" t="s">
        <v>693</v>
      </c>
      <c r="F511" s="25" t="s">
        <v>26</v>
      </c>
      <c r="G511" s="26" t="s">
        <v>27</v>
      </c>
      <c r="H511" s="27">
        <v>22652.48</v>
      </c>
      <c r="I511" s="28">
        <v>10.0</v>
      </c>
      <c r="J511" s="29" t="s">
        <v>38</v>
      </c>
      <c r="K511" s="30">
        <v>0.5</v>
      </c>
      <c r="L511" s="31">
        <f t="shared" si="1"/>
        <v>5</v>
      </c>
      <c r="M511" s="31">
        <f t="shared" si="2"/>
        <v>5</v>
      </c>
      <c r="N511" s="32">
        <f t="shared" si="3"/>
        <v>11326.24</v>
      </c>
      <c r="O511" s="32">
        <f t="shared" si="4"/>
        <v>11326.24</v>
      </c>
      <c r="P511" s="32">
        <f t="shared" si="5"/>
        <v>11326.24</v>
      </c>
      <c r="Q511" s="22">
        <v>0.0</v>
      </c>
      <c r="R511" s="32">
        <f t="shared" si="6"/>
        <v>2265.248</v>
      </c>
      <c r="S511" s="33" t="s">
        <v>29</v>
      </c>
      <c r="T511" s="33" t="s">
        <v>30</v>
      </c>
      <c r="U511" s="34" t="s">
        <v>50</v>
      </c>
      <c r="V511" s="35"/>
      <c r="W511" s="7"/>
      <c r="X511" s="7"/>
      <c r="Y511" s="7"/>
      <c r="Z511" s="7"/>
      <c r="AA511" s="7"/>
    </row>
    <row r="512" ht="18.75" customHeight="1">
      <c r="A512" s="8" t="s">
        <v>687</v>
      </c>
      <c r="B512" s="9" t="s">
        <v>690</v>
      </c>
      <c r="C512" s="9" t="s">
        <v>33</v>
      </c>
      <c r="D512" s="10">
        <v>949.0</v>
      </c>
      <c r="E512" s="9" t="s">
        <v>524</v>
      </c>
      <c r="F512" s="11" t="s">
        <v>26</v>
      </c>
      <c r="G512" s="12" t="s">
        <v>27</v>
      </c>
      <c r="H512" s="13">
        <v>1897.0</v>
      </c>
      <c r="I512" s="14">
        <v>10.0</v>
      </c>
      <c r="J512" s="15" t="s">
        <v>28</v>
      </c>
      <c r="K512" s="16">
        <v>0.4</v>
      </c>
      <c r="L512" s="17">
        <f t="shared" si="1"/>
        <v>4</v>
      </c>
      <c r="M512" s="17">
        <f t="shared" si="2"/>
        <v>6</v>
      </c>
      <c r="N512" s="18">
        <f t="shared" si="3"/>
        <v>758.8</v>
      </c>
      <c r="O512" s="18">
        <f t="shared" si="4"/>
        <v>1138.2</v>
      </c>
      <c r="P512" s="18">
        <f t="shared" si="5"/>
        <v>1138.2</v>
      </c>
      <c r="Q512" s="8">
        <v>0.0</v>
      </c>
      <c r="R512" s="18">
        <f t="shared" si="6"/>
        <v>189.7</v>
      </c>
      <c r="S512" s="19" t="s">
        <v>29</v>
      </c>
      <c r="T512" s="19" t="s">
        <v>30</v>
      </c>
      <c r="U512" s="20" t="s">
        <v>43</v>
      </c>
      <c r="V512" s="37"/>
      <c r="W512" s="7"/>
      <c r="X512" s="7"/>
      <c r="Y512" s="7"/>
      <c r="Z512" s="7"/>
      <c r="AA512" s="7"/>
    </row>
    <row r="513" ht="18.75" customHeight="1">
      <c r="A513" s="22" t="s">
        <v>687</v>
      </c>
      <c r="B513" s="23" t="s">
        <v>690</v>
      </c>
      <c r="C513" s="23" t="s">
        <v>33</v>
      </c>
      <c r="D513" s="24">
        <v>950.0</v>
      </c>
      <c r="E513" s="23" t="s">
        <v>694</v>
      </c>
      <c r="F513" s="25" t="s">
        <v>26</v>
      </c>
      <c r="G513" s="26" t="s">
        <v>27</v>
      </c>
      <c r="H513" s="27">
        <v>1351.57</v>
      </c>
      <c r="I513" s="28">
        <v>10.0</v>
      </c>
      <c r="J513" s="29" t="s">
        <v>28</v>
      </c>
      <c r="K513" s="30">
        <v>0.4</v>
      </c>
      <c r="L513" s="31">
        <f t="shared" si="1"/>
        <v>4</v>
      </c>
      <c r="M513" s="31">
        <f t="shared" si="2"/>
        <v>6</v>
      </c>
      <c r="N513" s="32">
        <f t="shared" si="3"/>
        <v>540.628</v>
      </c>
      <c r="O513" s="32">
        <f t="shared" si="4"/>
        <v>810.942</v>
      </c>
      <c r="P513" s="32">
        <f t="shared" si="5"/>
        <v>810.942</v>
      </c>
      <c r="Q513" s="22">
        <v>0.0</v>
      </c>
      <c r="R513" s="32">
        <f t="shared" si="6"/>
        <v>135.157</v>
      </c>
      <c r="S513" s="33" t="s">
        <v>29</v>
      </c>
      <c r="T513" s="33" t="s">
        <v>30</v>
      </c>
      <c r="U513" s="34" t="s">
        <v>41</v>
      </c>
      <c r="V513" s="35"/>
      <c r="W513" s="7"/>
      <c r="X513" s="7"/>
      <c r="Y513" s="7"/>
      <c r="Z513" s="7"/>
      <c r="AA513" s="7"/>
    </row>
    <row r="514" ht="18.75" customHeight="1">
      <c r="A514" s="8" t="s">
        <v>687</v>
      </c>
      <c r="B514" s="9" t="s">
        <v>690</v>
      </c>
      <c r="C514" s="9" t="s">
        <v>33</v>
      </c>
      <c r="D514" s="10">
        <v>951.0</v>
      </c>
      <c r="E514" s="9" t="s">
        <v>450</v>
      </c>
      <c r="F514" s="11" t="s">
        <v>26</v>
      </c>
      <c r="G514" s="39"/>
      <c r="H514" s="13">
        <v>4899.9</v>
      </c>
      <c r="I514" s="14">
        <v>5.0</v>
      </c>
      <c r="J514" s="15" t="s">
        <v>38</v>
      </c>
      <c r="K514" s="16">
        <v>0.5</v>
      </c>
      <c r="L514" s="17">
        <f t="shared" si="1"/>
        <v>2.5</v>
      </c>
      <c r="M514" s="17">
        <f t="shared" si="2"/>
        <v>2.5</v>
      </c>
      <c r="N514" s="18">
        <f t="shared" si="3"/>
        <v>2449.95</v>
      </c>
      <c r="O514" s="18">
        <f t="shared" si="4"/>
        <v>2449.95</v>
      </c>
      <c r="P514" s="18">
        <f t="shared" si="5"/>
        <v>2449.95</v>
      </c>
      <c r="Q514" s="8">
        <v>0.0</v>
      </c>
      <c r="R514" s="18">
        <f t="shared" si="6"/>
        <v>979.98</v>
      </c>
      <c r="S514" s="19" t="s">
        <v>29</v>
      </c>
      <c r="T514" s="19" t="s">
        <v>30</v>
      </c>
      <c r="U514" s="20" t="s">
        <v>67</v>
      </c>
      <c r="V514" s="37"/>
      <c r="W514" s="7"/>
      <c r="X514" s="7"/>
      <c r="Y514" s="7"/>
      <c r="Z514" s="7"/>
      <c r="AA514" s="7"/>
    </row>
    <row r="515" ht="18.75" customHeight="1">
      <c r="A515" s="22" t="s">
        <v>687</v>
      </c>
      <c r="B515" s="23" t="s">
        <v>690</v>
      </c>
      <c r="C515" s="23" t="s">
        <v>33</v>
      </c>
      <c r="D515" s="24">
        <v>954.0</v>
      </c>
      <c r="E515" s="23" t="s">
        <v>695</v>
      </c>
      <c r="F515" s="25" t="s">
        <v>37</v>
      </c>
      <c r="G515" s="26" t="s">
        <v>27</v>
      </c>
      <c r="H515" s="27">
        <v>469.2</v>
      </c>
      <c r="I515" s="28">
        <v>10.0</v>
      </c>
      <c r="J515" s="29" t="s">
        <v>28</v>
      </c>
      <c r="K515" s="30">
        <v>0.4</v>
      </c>
      <c r="L515" s="31">
        <f t="shared" si="1"/>
        <v>4</v>
      </c>
      <c r="M515" s="31">
        <f t="shared" si="2"/>
        <v>6</v>
      </c>
      <c r="N515" s="32">
        <f t="shared" si="3"/>
        <v>187.68</v>
      </c>
      <c r="O515" s="32">
        <f t="shared" si="4"/>
        <v>281.52</v>
      </c>
      <c r="P515" s="32">
        <f t="shared" si="5"/>
        <v>281.52</v>
      </c>
      <c r="Q515" s="22">
        <v>0.0</v>
      </c>
      <c r="R515" s="32">
        <f t="shared" si="6"/>
        <v>46.92</v>
      </c>
      <c r="S515" s="33" t="s">
        <v>29</v>
      </c>
      <c r="T515" s="33" t="s">
        <v>30</v>
      </c>
      <c r="U515" s="38" t="s">
        <v>52</v>
      </c>
      <c r="V515" s="35"/>
      <c r="W515" s="7"/>
      <c r="X515" s="7"/>
      <c r="Y515" s="7"/>
      <c r="Z515" s="7"/>
      <c r="AA515" s="7"/>
    </row>
    <row r="516" ht="18.75" customHeight="1">
      <c r="A516" s="8" t="s">
        <v>687</v>
      </c>
      <c r="B516" s="9" t="s">
        <v>696</v>
      </c>
      <c r="C516" s="9" t="s">
        <v>33</v>
      </c>
      <c r="D516" s="10">
        <v>1069.0</v>
      </c>
      <c r="E516" s="9" t="s">
        <v>697</v>
      </c>
      <c r="F516" s="11" t="s">
        <v>37</v>
      </c>
      <c r="G516" s="12" t="s">
        <v>27</v>
      </c>
      <c r="H516" s="13">
        <v>469.2</v>
      </c>
      <c r="I516" s="14">
        <v>10.0</v>
      </c>
      <c r="J516" s="15" t="s">
        <v>38</v>
      </c>
      <c r="K516" s="16">
        <v>0.5</v>
      </c>
      <c r="L516" s="17">
        <f t="shared" si="1"/>
        <v>5</v>
      </c>
      <c r="M516" s="17">
        <f t="shared" si="2"/>
        <v>5</v>
      </c>
      <c r="N516" s="18">
        <f t="shared" si="3"/>
        <v>234.6</v>
      </c>
      <c r="O516" s="18">
        <f t="shared" si="4"/>
        <v>234.6</v>
      </c>
      <c r="P516" s="18">
        <f t="shared" si="5"/>
        <v>234.6</v>
      </c>
      <c r="Q516" s="8">
        <v>0.0</v>
      </c>
      <c r="R516" s="18">
        <f t="shared" si="6"/>
        <v>46.92</v>
      </c>
      <c r="S516" s="19" t="s">
        <v>29</v>
      </c>
      <c r="T516" s="19" t="s">
        <v>30</v>
      </c>
      <c r="U516" s="36" t="s">
        <v>52</v>
      </c>
      <c r="V516" s="37"/>
      <c r="W516" s="7"/>
      <c r="X516" s="7"/>
      <c r="Y516" s="7"/>
      <c r="Z516" s="7"/>
      <c r="AA516" s="7"/>
    </row>
    <row r="517" ht="18.75" customHeight="1">
      <c r="A517" s="22" t="s">
        <v>687</v>
      </c>
      <c r="B517" s="23" t="s">
        <v>696</v>
      </c>
      <c r="C517" s="23" t="s">
        <v>33</v>
      </c>
      <c r="D517" s="24">
        <v>1071.0</v>
      </c>
      <c r="E517" s="23" t="s">
        <v>698</v>
      </c>
      <c r="F517" s="25" t="s">
        <v>26</v>
      </c>
      <c r="G517" s="26" t="s">
        <v>27</v>
      </c>
      <c r="H517" s="27">
        <v>6583.2</v>
      </c>
      <c r="I517" s="28">
        <v>10.0</v>
      </c>
      <c r="J517" s="45" t="s">
        <v>63</v>
      </c>
      <c r="K517" s="42">
        <v>0.700000000000002</v>
      </c>
      <c r="L517" s="31">
        <f t="shared" si="1"/>
        <v>7</v>
      </c>
      <c r="M517" s="31">
        <f t="shared" si="2"/>
        <v>3</v>
      </c>
      <c r="N517" s="32">
        <f t="shared" si="3"/>
        <v>4608.24</v>
      </c>
      <c r="O517" s="32">
        <f t="shared" si="4"/>
        <v>1974.96</v>
      </c>
      <c r="P517" s="32">
        <f t="shared" si="5"/>
        <v>1974.96</v>
      </c>
      <c r="Q517" s="22">
        <v>0.0</v>
      </c>
      <c r="R517" s="32">
        <f t="shared" si="6"/>
        <v>658.32</v>
      </c>
      <c r="S517" s="33" t="s">
        <v>29</v>
      </c>
      <c r="T517" s="33" t="s">
        <v>30</v>
      </c>
      <c r="U517" s="34" t="s">
        <v>312</v>
      </c>
      <c r="V517" s="35"/>
      <c r="W517" s="7"/>
      <c r="X517" s="7"/>
      <c r="Y517" s="7"/>
      <c r="Z517" s="7"/>
      <c r="AA517" s="7"/>
    </row>
    <row r="518" ht="18.75" customHeight="1">
      <c r="A518" s="8" t="s">
        <v>687</v>
      </c>
      <c r="B518" s="9" t="s">
        <v>696</v>
      </c>
      <c r="C518" s="9" t="s">
        <v>33</v>
      </c>
      <c r="D518" s="10">
        <v>1076.0</v>
      </c>
      <c r="E518" s="9" t="s">
        <v>699</v>
      </c>
      <c r="F518" s="11" t="s">
        <v>26</v>
      </c>
      <c r="G518" s="12" t="s">
        <v>27</v>
      </c>
      <c r="H518" s="13">
        <v>1741.5</v>
      </c>
      <c r="I518" s="14">
        <v>5.0</v>
      </c>
      <c r="J518" s="48" t="s">
        <v>63</v>
      </c>
      <c r="K518" s="16">
        <v>0.700000000000003</v>
      </c>
      <c r="L518" s="17">
        <f t="shared" si="1"/>
        <v>3.5</v>
      </c>
      <c r="M518" s="17">
        <f t="shared" si="2"/>
        <v>1.5</v>
      </c>
      <c r="N518" s="18">
        <f t="shared" si="3"/>
        <v>1219.05</v>
      </c>
      <c r="O518" s="18">
        <f t="shared" si="4"/>
        <v>522.45</v>
      </c>
      <c r="P518" s="18">
        <f t="shared" si="5"/>
        <v>522.45</v>
      </c>
      <c r="Q518" s="8">
        <v>0.0</v>
      </c>
      <c r="R518" s="18">
        <f t="shared" si="6"/>
        <v>348.3</v>
      </c>
      <c r="S518" s="19" t="s">
        <v>29</v>
      </c>
      <c r="T518" s="19" t="s">
        <v>30</v>
      </c>
      <c r="U518" s="20" t="s">
        <v>700</v>
      </c>
      <c r="V518" s="37"/>
      <c r="W518" s="7"/>
      <c r="X518" s="7"/>
      <c r="Y518" s="7"/>
      <c r="Z518" s="7"/>
      <c r="AA518" s="7"/>
    </row>
    <row r="519" ht="18.75" customHeight="1">
      <c r="A519" s="22" t="s">
        <v>687</v>
      </c>
      <c r="B519" s="23" t="s">
        <v>696</v>
      </c>
      <c r="C519" s="23" t="s">
        <v>33</v>
      </c>
      <c r="D519" s="24">
        <v>1077.0</v>
      </c>
      <c r="E519" s="23" t="s">
        <v>701</v>
      </c>
      <c r="F519" s="25" t="s">
        <v>26</v>
      </c>
      <c r="G519" s="26" t="s">
        <v>27</v>
      </c>
      <c r="H519" s="27">
        <v>279.0</v>
      </c>
      <c r="I519" s="28">
        <v>5.0</v>
      </c>
      <c r="J519" s="45" t="s">
        <v>63</v>
      </c>
      <c r="K519" s="30">
        <v>0.700000000000003</v>
      </c>
      <c r="L519" s="31">
        <f t="shared" si="1"/>
        <v>3.5</v>
      </c>
      <c r="M519" s="31">
        <f t="shared" si="2"/>
        <v>1.5</v>
      </c>
      <c r="N519" s="32">
        <f t="shared" si="3"/>
        <v>195.3</v>
      </c>
      <c r="O519" s="32">
        <f t="shared" si="4"/>
        <v>83.7</v>
      </c>
      <c r="P519" s="32">
        <f t="shared" si="5"/>
        <v>83.7</v>
      </c>
      <c r="Q519" s="22">
        <v>0.0</v>
      </c>
      <c r="R519" s="32">
        <f t="shared" si="6"/>
        <v>55.8</v>
      </c>
      <c r="S519" s="33" t="s">
        <v>29</v>
      </c>
      <c r="T519" s="33" t="s">
        <v>30</v>
      </c>
      <c r="U519" s="34" t="s">
        <v>55</v>
      </c>
      <c r="V519" s="35"/>
      <c r="W519" s="7"/>
      <c r="X519" s="7"/>
      <c r="Y519" s="7"/>
      <c r="Z519" s="7"/>
      <c r="AA519" s="7"/>
    </row>
    <row r="520" ht="18.75" customHeight="1">
      <c r="A520" s="8" t="s">
        <v>687</v>
      </c>
      <c r="B520" s="9" t="s">
        <v>696</v>
      </c>
      <c r="C520" s="9" t="s">
        <v>33</v>
      </c>
      <c r="D520" s="10">
        <v>1078.0</v>
      </c>
      <c r="E520" s="9" t="s">
        <v>702</v>
      </c>
      <c r="F520" s="11" t="s">
        <v>37</v>
      </c>
      <c r="G520" s="12" t="s">
        <v>27</v>
      </c>
      <c r="H520" s="13">
        <v>469.2</v>
      </c>
      <c r="I520" s="14">
        <v>10.0</v>
      </c>
      <c r="J520" s="15" t="s">
        <v>38</v>
      </c>
      <c r="K520" s="16">
        <v>0.5</v>
      </c>
      <c r="L520" s="17">
        <f t="shared" si="1"/>
        <v>5</v>
      </c>
      <c r="M520" s="17">
        <f t="shared" si="2"/>
        <v>5</v>
      </c>
      <c r="N520" s="18">
        <f t="shared" si="3"/>
        <v>234.6</v>
      </c>
      <c r="O520" s="18">
        <f t="shared" si="4"/>
        <v>234.6</v>
      </c>
      <c r="P520" s="18">
        <f t="shared" si="5"/>
        <v>234.6</v>
      </c>
      <c r="Q520" s="8">
        <v>0.0</v>
      </c>
      <c r="R520" s="18">
        <f t="shared" si="6"/>
        <v>46.92</v>
      </c>
      <c r="S520" s="19" t="s">
        <v>29</v>
      </c>
      <c r="T520" s="19" t="s">
        <v>30</v>
      </c>
      <c r="U520" s="36" t="s">
        <v>52</v>
      </c>
      <c r="V520" s="37"/>
      <c r="W520" s="7"/>
      <c r="X520" s="7"/>
      <c r="Y520" s="7"/>
      <c r="Z520" s="7"/>
      <c r="AA520" s="7"/>
    </row>
    <row r="521" ht="18.75" customHeight="1">
      <c r="A521" s="22" t="s">
        <v>687</v>
      </c>
      <c r="B521" s="23" t="s">
        <v>696</v>
      </c>
      <c r="C521" s="23" t="s">
        <v>33</v>
      </c>
      <c r="D521" s="24">
        <v>1079.0</v>
      </c>
      <c r="E521" s="23" t="s">
        <v>703</v>
      </c>
      <c r="F521" s="25" t="s">
        <v>26</v>
      </c>
      <c r="G521" s="26" t="s">
        <v>27</v>
      </c>
      <c r="H521" s="27">
        <v>785.82</v>
      </c>
      <c r="I521" s="28">
        <v>10.0</v>
      </c>
      <c r="J521" s="29" t="s">
        <v>38</v>
      </c>
      <c r="K521" s="30">
        <v>0.5</v>
      </c>
      <c r="L521" s="31">
        <f t="shared" si="1"/>
        <v>5</v>
      </c>
      <c r="M521" s="31">
        <f t="shared" si="2"/>
        <v>5</v>
      </c>
      <c r="N521" s="32">
        <f t="shared" si="3"/>
        <v>392.91</v>
      </c>
      <c r="O521" s="32">
        <f t="shared" si="4"/>
        <v>392.91</v>
      </c>
      <c r="P521" s="32">
        <f t="shared" si="5"/>
        <v>392.91</v>
      </c>
      <c r="Q521" s="22">
        <v>0.0</v>
      </c>
      <c r="R521" s="32">
        <f t="shared" si="6"/>
        <v>78.582</v>
      </c>
      <c r="S521" s="33" t="s">
        <v>29</v>
      </c>
      <c r="T521" s="33" t="s">
        <v>30</v>
      </c>
      <c r="U521" s="34" t="s">
        <v>220</v>
      </c>
      <c r="V521" s="35"/>
      <c r="W521" s="7"/>
      <c r="X521" s="7"/>
      <c r="Y521" s="7"/>
      <c r="Z521" s="7"/>
      <c r="AA521" s="7"/>
    </row>
    <row r="522" ht="18.75" customHeight="1">
      <c r="A522" s="8" t="s">
        <v>687</v>
      </c>
      <c r="B522" s="9" t="s">
        <v>696</v>
      </c>
      <c r="C522" s="9" t="s">
        <v>33</v>
      </c>
      <c r="D522" s="10">
        <v>1081.0</v>
      </c>
      <c r="E522" s="9" t="s">
        <v>412</v>
      </c>
      <c r="F522" s="11" t="s">
        <v>26</v>
      </c>
      <c r="G522" s="12" t="s">
        <v>27</v>
      </c>
      <c r="H522" s="13">
        <v>1351.57</v>
      </c>
      <c r="I522" s="14">
        <v>10.0</v>
      </c>
      <c r="J522" s="15" t="s">
        <v>28</v>
      </c>
      <c r="K522" s="16">
        <v>0.4</v>
      </c>
      <c r="L522" s="17">
        <f t="shared" si="1"/>
        <v>4</v>
      </c>
      <c r="M522" s="17">
        <f t="shared" si="2"/>
        <v>6</v>
      </c>
      <c r="N522" s="18">
        <f t="shared" si="3"/>
        <v>540.628</v>
      </c>
      <c r="O522" s="18">
        <f t="shared" si="4"/>
        <v>810.942</v>
      </c>
      <c r="P522" s="18">
        <f t="shared" si="5"/>
        <v>810.942</v>
      </c>
      <c r="Q522" s="8">
        <v>0.0</v>
      </c>
      <c r="R522" s="18">
        <f t="shared" si="6"/>
        <v>135.157</v>
      </c>
      <c r="S522" s="19" t="s">
        <v>29</v>
      </c>
      <c r="T522" s="19" t="s">
        <v>30</v>
      </c>
      <c r="U522" s="20" t="s">
        <v>41</v>
      </c>
      <c r="V522" s="37"/>
      <c r="W522" s="7"/>
      <c r="X522" s="7"/>
      <c r="Y522" s="7"/>
      <c r="Z522" s="7"/>
      <c r="AA522" s="7"/>
    </row>
    <row r="523" ht="18.75" customHeight="1">
      <c r="A523" s="22" t="s">
        <v>687</v>
      </c>
      <c r="B523" s="23" t="s">
        <v>696</v>
      </c>
      <c r="C523" s="23" t="s">
        <v>33</v>
      </c>
      <c r="D523" s="24">
        <v>1082.0</v>
      </c>
      <c r="E523" s="23" t="s">
        <v>413</v>
      </c>
      <c r="F523" s="25" t="s">
        <v>26</v>
      </c>
      <c r="G523" s="26" t="s">
        <v>27</v>
      </c>
      <c r="H523" s="27">
        <v>1897.0</v>
      </c>
      <c r="I523" s="28">
        <v>10.0</v>
      </c>
      <c r="J523" s="29" t="s">
        <v>38</v>
      </c>
      <c r="K523" s="30">
        <v>0.5</v>
      </c>
      <c r="L523" s="31">
        <f t="shared" si="1"/>
        <v>5</v>
      </c>
      <c r="M523" s="31">
        <f t="shared" si="2"/>
        <v>5</v>
      </c>
      <c r="N523" s="32">
        <f t="shared" si="3"/>
        <v>948.5</v>
      </c>
      <c r="O523" s="32">
        <f t="shared" si="4"/>
        <v>948.5</v>
      </c>
      <c r="P523" s="32">
        <f t="shared" si="5"/>
        <v>948.5</v>
      </c>
      <c r="Q523" s="22">
        <v>0.0</v>
      </c>
      <c r="R523" s="32">
        <f t="shared" si="6"/>
        <v>189.7</v>
      </c>
      <c r="S523" s="33" t="s">
        <v>29</v>
      </c>
      <c r="T523" s="33" t="s">
        <v>30</v>
      </c>
      <c r="U523" s="34" t="s">
        <v>43</v>
      </c>
      <c r="V523" s="35"/>
      <c r="W523" s="7"/>
      <c r="X523" s="7"/>
      <c r="Y523" s="7"/>
      <c r="Z523" s="7"/>
      <c r="AA523" s="7"/>
    </row>
    <row r="524" ht="18.75" customHeight="1">
      <c r="A524" s="8" t="s">
        <v>687</v>
      </c>
      <c r="B524" s="9" t="s">
        <v>696</v>
      </c>
      <c r="C524" s="9" t="s">
        <v>33</v>
      </c>
      <c r="D524" s="10">
        <v>1083.0</v>
      </c>
      <c r="E524" s="9" t="s">
        <v>704</v>
      </c>
      <c r="F524" s="11" t="s">
        <v>26</v>
      </c>
      <c r="G524" s="12" t="s">
        <v>27</v>
      </c>
      <c r="H524" s="13">
        <v>2338.0</v>
      </c>
      <c r="I524" s="14">
        <v>10.0</v>
      </c>
      <c r="J524" s="15" t="s">
        <v>28</v>
      </c>
      <c r="K524" s="16">
        <v>0.4</v>
      </c>
      <c r="L524" s="17">
        <f t="shared" si="1"/>
        <v>4</v>
      </c>
      <c r="M524" s="17">
        <f t="shared" si="2"/>
        <v>6</v>
      </c>
      <c r="N524" s="18">
        <f t="shared" si="3"/>
        <v>935.2</v>
      </c>
      <c r="O524" s="18">
        <f t="shared" si="4"/>
        <v>1402.8</v>
      </c>
      <c r="P524" s="18">
        <f t="shared" si="5"/>
        <v>1402.8</v>
      </c>
      <c r="Q524" s="8">
        <v>0.0</v>
      </c>
      <c r="R524" s="18">
        <f t="shared" si="6"/>
        <v>233.8</v>
      </c>
      <c r="S524" s="19" t="s">
        <v>29</v>
      </c>
      <c r="T524" s="19" t="s">
        <v>30</v>
      </c>
      <c r="U524" s="36" t="s">
        <v>45</v>
      </c>
      <c r="V524" s="37"/>
      <c r="W524" s="7"/>
      <c r="X524" s="7"/>
      <c r="Y524" s="7"/>
      <c r="Z524" s="7"/>
      <c r="AA524" s="7"/>
    </row>
    <row r="525" ht="18.75" customHeight="1">
      <c r="A525" s="22" t="s">
        <v>687</v>
      </c>
      <c r="B525" s="23" t="s">
        <v>696</v>
      </c>
      <c r="C525" s="23" t="s">
        <v>33</v>
      </c>
      <c r="D525" s="24">
        <v>1084.0</v>
      </c>
      <c r="E525" s="23" t="s">
        <v>705</v>
      </c>
      <c r="F525" s="25" t="s">
        <v>26</v>
      </c>
      <c r="G525" s="26" t="s">
        <v>27</v>
      </c>
      <c r="H525" s="27">
        <v>22652.48</v>
      </c>
      <c r="I525" s="28">
        <v>10.0</v>
      </c>
      <c r="J525" s="29" t="s">
        <v>38</v>
      </c>
      <c r="K525" s="30">
        <v>0.5</v>
      </c>
      <c r="L525" s="31">
        <f t="shared" si="1"/>
        <v>5</v>
      </c>
      <c r="M525" s="31">
        <f t="shared" si="2"/>
        <v>5</v>
      </c>
      <c r="N525" s="32">
        <f t="shared" si="3"/>
        <v>11326.24</v>
      </c>
      <c r="O525" s="32">
        <f t="shared" si="4"/>
        <v>11326.24</v>
      </c>
      <c r="P525" s="32">
        <f t="shared" si="5"/>
        <v>11326.24</v>
      </c>
      <c r="Q525" s="22">
        <v>0.0</v>
      </c>
      <c r="R525" s="32">
        <f t="shared" si="6"/>
        <v>2265.248</v>
      </c>
      <c r="S525" s="33" t="s">
        <v>29</v>
      </c>
      <c r="T525" s="33" t="s">
        <v>30</v>
      </c>
      <c r="U525" s="34" t="s">
        <v>50</v>
      </c>
      <c r="V525" s="35"/>
      <c r="W525" s="7"/>
      <c r="X525" s="7"/>
      <c r="Y525" s="7"/>
      <c r="Z525" s="7"/>
      <c r="AA525" s="7"/>
    </row>
    <row r="526" ht="18.75" customHeight="1">
      <c r="A526" s="8" t="s">
        <v>687</v>
      </c>
      <c r="B526" s="9" t="s">
        <v>696</v>
      </c>
      <c r="C526" s="9" t="s">
        <v>33</v>
      </c>
      <c r="D526" s="10">
        <v>1086.0</v>
      </c>
      <c r="E526" s="9" t="s">
        <v>706</v>
      </c>
      <c r="F526" s="11" t="s">
        <v>37</v>
      </c>
      <c r="G526" s="39"/>
      <c r="H526" s="13">
        <v>969.0</v>
      </c>
      <c r="I526" s="14">
        <v>10.0</v>
      </c>
      <c r="J526" s="48" t="s">
        <v>63</v>
      </c>
      <c r="K526" s="16">
        <v>0.700000000000003</v>
      </c>
      <c r="L526" s="17">
        <f t="shared" si="1"/>
        <v>7</v>
      </c>
      <c r="M526" s="17">
        <f t="shared" si="2"/>
        <v>3</v>
      </c>
      <c r="N526" s="18">
        <f t="shared" si="3"/>
        <v>678.3</v>
      </c>
      <c r="O526" s="18">
        <f t="shared" si="4"/>
        <v>290.7</v>
      </c>
      <c r="P526" s="18">
        <f t="shared" si="5"/>
        <v>290.7</v>
      </c>
      <c r="Q526" s="8">
        <v>0.0</v>
      </c>
      <c r="R526" s="18">
        <f t="shared" si="6"/>
        <v>96.9</v>
      </c>
      <c r="S526" s="19" t="s">
        <v>29</v>
      </c>
      <c r="T526" s="19" t="s">
        <v>30</v>
      </c>
      <c r="U526" s="36" t="s">
        <v>707</v>
      </c>
      <c r="V526" s="37"/>
      <c r="W526" s="7"/>
      <c r="X526" s="7"/>
      <c r="Y526" s="7"/>
      <c r="Z526" s="7"/>
      <c r="AA526" s="7"/>
    </row>
    <row r="527" ht="18.75" customHeight="1">
      <c r="A527" s="22" t="s">
        <v>687</v>
      </c>
      <c r="B527" s="23" t="s">
        <v>696</v>
      </c>
      <c r="C527" s="23" t="s">
        <v>708</v>
      </c>
      <c r="D527" s="24">
        <v>1090.0</v>
      </c>
      <c r="E527" s="23" t="s">
        <v>709</v>
      </c>
      <c r="F527" s="25" t="s">
        <v>26</v>
      </c>
      <c r="G527" s="26" t="s">
        <v>27</v>
      </c>
      <c r="H527" s="27">
        <v>531.9</v>
      </c>
      <c r="I527" s="28">
        <v>10.0</v>
      </c>
      <c r="J527" s="29" t="s">
        <v>38</v>
      </c>
      <c r="K527" s="30">
        <v>0.5</v>
      </c>
      <c r="L527" s="31">
        <f t="shared" si="1"/>
        <v>5</v>
      </c>
      <c r="M527" s="31">
        <f t="shared" si="2"/>
        <v>5</v>
      </c>
      <c r="N527" s="32">
        <f t="shared" si="3"/>
        <v>265.95</v>
      </c>
      <c r="O527" s="32">
        <f t="shared" si="4"/>
        <v>265.95</v>
      </c>
      <c r="P527" s="32">
        <f t="shared" si="5"/>
        <v>265.95</v>
      </c>
      <c r="Q527" s="22">
        <v>0.0</v>
      </c>
      <c r="R527" s="32">
        <f t="shared" si="6"/>
        <v>53.19</v>
      </c>
      <c r="S527" s="33" t="s">
        <v>29</v>
      </c>
      <c r="T527" s="33" t="s">
        <v>30</v>
      </c>
      <c r="U527" s="34" t="s">
        <v>191</v>
      </c>
      <c r="V527" s="35"/>
      <c r="W527" s="7"/>
      <c r="X527" s="7"/>
      <c r="Y527" s="7"/>
      <c r="Z527" s="7"/>
      <c r="AA527" s="7"/>
    </row>
    <row r="528" ht="18.75" customHeight="1">
      <c r="A528" s="8" t="s">
        <v>687</v>
      </c>
      <c r="B528" s="9" t="s">
        <v>696</v>
      </c>
      <c r="C528" s="9" t="s">
        <v>708</v>
      </c>
      <c r="D528" s="10">
        <v>1091.0</v>
      </c>
      <c r="E528" s="9" t="s">
        <v>710</v>
      </c>
      <c r="F528" s="11" t="s">
        <v>26</v>
      </c>
      <c r="G528" s="12" t="s">
        <v>27</v>
      </c>
      <c r="H528" s="13">
        <v>235.03</v>
      </c>
      <c r="I528" s="14">
        <v>10.0</v>
      </c>
      <c r="J528" s="48" t="s">
        <v>63</v>
      </c>
      <c r="K528" s="16">
        <v>0.700000000000003</v>
      </c>
      <c r="L528" s="17">
        <f t="shared" si="1"/>
        <v>7</v>
      </c>
      <c r="M528" s="17">
        <f t="shared" si="2"/>
        <v>3</v>
      </c>
      <c r="N528" s="18">
        <f t="shared" si="3"/>
        <v>164.521</v>
      </c>
      <c r="O528" s="18">
        <f t="shared" si="4"/>
        <v>70.509</v>
      </c>
      <c r="P528" s="18">
        <f t="shared" si="5"/>
        <v>70.509</v>
      </c>
      <c r="Q528" s="8">
        <v>0.0</v>
      </c>
      <c r="R528" s="18">
        <f t="shared" si="6"/>
        <v>23.503</v>
      </c>
      <c r="S528" s="19" t="s">
        <v>29</v>
      </c>
      <c r="T528" s="19" t="s">
        <v>30</v>
      </c>
      <c r="U528" s="20" t="s">
        <v>96</v>
      </c>
      <c r="V528" s="37"/>
      <c r="W528" s="7"/>
      <c r="X528" s="7"/>
      <c r="Y528" s="7"/>
      <c r="Z528" s="7"/>
      <c r="AA528" s="7"/>
    </row>
    <row r="529" ht="18.75" customHeight="1">
      <c r="A529" s="22" t="s">
        <v>687</v>
      </c>
      <c r="B529" s="23" t="s">
        <v>696</v>
      </c>
      <c r="C529" s="23" t="s">
        <v>708</v>
      </c>
      <c r="D529" s="24">
        <v>1092.0</v>
      </c>
      <c r="E529" s="23" t="s">
        <v>711</v>
      </c>
      <c r="F529" s="25" t="s">
        <v>37</v>
      </c>
      <c r="G529" s="40"/>
      <c r="H529" s="27">
        <v>969.0</v>
      </c>
      <c r="I529" s="28">
        <v>10.0</v>
      </c>
      <c r="J529" s="29" t="s">
        <v>38</v>
      </c>
      <c r="K529" s="30">
        <v>0.5</v>
      </c>
      <c r="L529" s="31">
        <f t="shared" si="1"/>
        <v>5</v>
      </c>
      <c r="M529" s="31">
        <f t="shared" si="2"/>
        <v>5</v>
      </c>
      <c r="N529" s="32">
        <f t="shared" si="3"/>
        <v>484.5</v>
      </c>
      <c r="O529" s="32">
        <f t="shared" si="4"/>
        <v>484.5</v>
      </c>
      <c r="P529" s="32">
        <f t="shared" si="5"/>
        <v>484.5</v>
      </c>
      <c r="Q529" s="22">
        <v>0.0</v>
      </c>
      <c r="R529" s="32">
        <f t="shared" si="6"/>
        <v>96.9</v>
      </c>
      <c r="S529" s="33" t="s">
        <v>29</v>
      </c>
      <c r="T529" s="33" t="s">
        <v>30</v>
      </c>
      <c r="U529" s="38" t="s">
        <v>707</v>
      </c>
      <c r="V529" s="35"/>
      <c r="W529" s="7"/>
      <c r="X529" s="7"/>
      <c r="Y529" s="7"/>
      <c r="Z529" s="7"/>
      <c r="AA529" s="7"/>
    </row>
    <row r="530" ht="18.75" customHeight="1">
      <c r="A530" s="8" t="s">
        <v>687</v>
      </c>
      <c r="B530" s="9" t="s">
        <v>696</v>
      </c>
      <c r="C530" s="9" t="s">
        <v>708</v>
      </c>
      <c r="D530" s="10">
        <v>1094.0</v>
      </c>
      <c r="E530" s="9" t="s">
        <v>712</v>
      </c>
      <c r="F530" s="11" t="s">
        <v>37</v>
      </c>
      <c r="G530" s="12" t="s">
        <v>27</v>
      </c>
      <c r="H530" s="13">
        <v>332.91</v>
      </c>
      <c r="I530" s="14">
        <v>10.0</v>
      </c>
      <c r="J530" s="15" t="s">
        <v>38</v>
      </c>
      <c r="K530" s="16">
        <v>0.5</v>
      </c>
      <c r="L530" s="17">
        <f t="shared" si="1"/>
        <v>5</v>
      </c>
      <c r="M530" s="17">
        <f t="shared" si="2"/>
        <v>5</v>
      </c>
      <c r="N530" s="18">
        <f t="shared" si="3"/>
        <v>166.455</v>
      </c>
      <c r="O530" s="18">
        <f t="shared" si="4"/>
        <v>166.455</v>
      </c>
      <c r="P530" s="18">
        <f t="shared" si="5"/>
        <v>166.455</v>
      </c>
      <c r="Q530" s="8">
        <v>0.0</v>
      </c>
      <c r="R530" s="18">
        <f t="shared" si="6"/>
        <v>33.291</v>
      </c>
      <c r="S530" s="19" t="s">
        <v>29</v>
      </c>
      <c r="T530" s="19" t="s">
        <v>30</v>
      </c>
      <c r="U530" s="20" t="s">
        <v>223</v>
      </c>
      <c r="V530" s="37"/>
      <c r="W530" s="7"/>
      <c r="X530" s="7"/>
      <c r="Y530" s="7"/>
      <c r="Z530" s="7"/>
      <c r="AA530" s="7"/>
    </row>
    <row r="531" ht="18.75" customHeight="1">
      <c r="A531" s="22" t="s">
        <v>687</v>
      </c>
      <c r="B531" s="23" t="s">
        <v>696</v>
      </c>
      <c r="C531" s="23" t="s">
        <v>708</v>
      </c>
      <c r="D531" s="24">
        <v>1095.0</v>
      </c>
      <c r="E531" s="23" t="s">
        <v>713</v>
      </c>
      <c r="F531" s="25" t="s">
        <v>26</v>
      </c>
      <c r="G531" s="26" t="s">
        <v>27</v>
      </c>
      <c r="H531" s="27">
        <v>37.9</v>
      </c>
      <c r="I531" s="28">
        <v>5.0</v>
      </c>
      <c r="J531" s="29" t="s">
        <v>38</v>
      </c>
      <c r="K531" s="30">
        <v>0.5</v>
      </c>
      <c r="L531" s="31">
        <f t="shared" si="1"/>
        <v>2.5</v>
      </c>
      <c r="M531" s="31">
        <f t="shared" si="2"/>
        <v>2.5</v>
      </c>
      <c r="N531" s="32">
        <f t="shared" si="3"/>
        <v>18.95</v>
      </c>
      <c r="O531" s="32">
        <f t="shared" si="4"/>
        <v>18.95</v>
      </c>
      <c r="P531" s="32">
        <f t="shared" si="5"/>
        <v>18.95</v>
      </c>
      <c r="Q531" s="22">
        <v>0.0</v>
      </c>
      <c r="R531" s="32">
        <f t="shared" si="6"/>
        <v>7.58</v>
      </c>
      <c r="S531" s="33" t="s">
        <v>29</v>
      </c>
      <c r="T531" s="33" t="s">
        <v>30</v>
      </c>
      <c r="U531" s="34" t="s">
        <v>302</v>
      </c>
      <c r="V531" s="35"/>
      <c r="W531" s="7"/>
      <c r="X531" s="7"/>
      <c r="Y531" s="7"/>
      <c r="Z531" s="7"/>
      <c r="AA531" s="7"/>
    </row>
    <row r="532" ht="18.75" customHeight="1">
      <c r="A532" s="8" t="s">
        <v>687</v>
      </c>
      <c r="B532" s="9" t="s">
        <v>696</v>
      </c>
      <c r="C532" s="9" t="s">
        <v>708</v>
      </c>
      <c r="D532" s="10">
        <v>1096.0</v>
      </c>
      <c r="E532" s="9" t="s">
        <v>714</v>
      </c>
      <c r="F532" s="11" t="s">
        <v>37</v>
      </c>
      <c r="G532" s="12" t="s">
        <v>27</v>
      </c>
      <c r="H532" s="13">
        <v>338.58</v>
      </c>
      <c r="I532" s="14">
        <v>10.0</v>
      </c>
      <c r="J532" s="15" t="s">
        <v>38</v>
      </c>
      <c r="K532" s="16">
        <v>0.5</v>
      </c>
      <c r="L532" s="17">
        <f t="shared" si="1"/>
        <v>5</v>
      </c>
      <c r="M532" s="17">
        <f t="shared" si="2"/>
        <v>5</v>
      </c>
      <c r="N532" s="18">
        <f t="shared" si="3"/>
        <v>169.29</v>
      </c>
      <c r="O532" s="18">
        <f t="shared" si="4"/>
        <v>169.29</v>
      </c>
      <c r="P532" s="18">
        <f t="shared" si="5"/>
        <v>169.29</v>
      </c>
      <c r="Q532" s="8">
        <v>0.0</v>
      </c>
      <c r="R532" s="18">
        <f t="shared" si="6"/>
        <v>33.858</v>
      </c>
      <c r="S532" s="19" t="s">
        <v>29</v>
      </c>
      <c r="T532" s="19" t="s">
        <v>30</v>
      </c>
      <c r="U532" s="20" t="s">
        <v>715</v>
      </c>
      <c r="V532" s="37"/>
      <c r="W532" s="7"/>
      <c r="X532" s="7"/>
      <c r="Y532" s="7"/>
      <c r="Z532" s="7"/>
      <c r="AA532" s="7"/>
    </row>
    <row r="533" ht="18.75" customHeight="1">
      <c r="A533" s="22" t="s">
        <v>687</v>
      </c>
      <c r="B533" s="23" t="s">
        <v>696</v>
      </c>
      <c r="C533" s="23" t="s">
        <v>708</v>
      </c>
      <c r="D533" s="24">
        <v>1097.0</v>
      </c>
      <c r="E533" s="23" t="s">
        <v>716</v>
      </c>
      <c r="F533" s="25" t="s">
        <v>37</v>
      </c>
      <c r="G533" s="26" t="s">
        <v>27</v>
      </c>
      <c r="H533" s="27">
        <v>101.86</v>
      </c>
      <c r="I533" s="28">
        <v>10.0</v>
      </c>
      <c r="J533" s="72" t="s">
        <v>54</v>
      </c>
      <c r="K533" s="30">
        <v>0.3</v>
      </c>
      <c r="L533" s="31">
        <f t="shared" si="1"/>
        <v>3</v>
      </c>
      <c r="M533" s="31">
        <f t="shared" si="2"/>
        <v>7</v>
      </c>
      <c r="N533" s="32">
        <f t="shared" si="3"/>
        <v>30.558</v>
      </c>
      <c r="O533" s="32">
        <f t="shared" si="4"/>
        <v>71.302</v>
      </c>
      <c r="P533" s="32">
        <f t="shared" si="5"/>
        <v>71.302</v>
      </c>
      <c r="Q533" s="22">
        <v>0.0</v>
      </c>
      <c r="R533" s="32">
        <f t="shared" si="6"/>
        <v>10.186</v>
      </c>
      <c r="S533" s="33" t="s">
        <v>29</v>
      </c>
      <c r="T533" s="33" t="s">
        <v>30</v>
      </c>
      <c r="U533" s="38" t="s">
        <v>544</v>
      </c>
      <c r="V533" s="35"/>
      <c r="W533" s="7"/>
      <c r="X533" s="7"/>
      <c r="Y533" s="7"/>
      <c r="Z533" s="7"/>
      <c r="AA533" s="7"/>
    </row>
    <row r="534" ht="18.75" customHeight="1">
      <c r="A534" s="8" t="s">
        <v>687</v>
      </c>
      <c r="B534" s="9" t="s">
        <v>696</v>
      </c>
      <c r="C534" s="9" t="s">
        <v>433</v>
      </c>
      <c r="D534" s="10">
        <v>1104.0</v>
      </c>
      <c r="E534" s="9" t="s">
        <v>717</v>
      </c>
      <c r="F534" s="11" t="s">
        <v>37</v>
      </c>
      <c r="G534" s="73">
        <v>45532.0</v>
      </c>
      <c r="H534" s="13">
        <v>6533.63</v>
      </c>
      <c r="I534" s="14">
        <v>10.0</v>
      </c>
      <c r="J534" s="15" t="s">
        <v>38</v>
      </c>
      <c r="K534" s="16">
        <v>0.5</v>
      </c>
      <c r="L534" s="17">
        <f t="shared" si="1"/>
        <v>5</v>
      </c>
      <c r="M534" s="17">
        <f t="shared" si="2"/>
        <v>5</v>
      </c>
      <c r="N534" s="18">
        <f t="shared" si="3"/>
        <v>3266.815</v>
      </c>
      <c r="O534" s="18">
        <f t="shared" si="4"/>
        <v>3266.815</v>
      </c>
      <c r="P534" s="18">
        <f t="shared" si="5"/>
        <v>3266.815</v>
      </c>
      <c r="Q534" s="8">
        <v>0.0</v>
      </c>
      <c r="R534" s="18">
        <f t="shared" si="6"/>
        <v>653.363</v>
      </c>
      <c r="S534" s="19" t="s">
        <v>29</v>
      </c>
      <c r="T534" s="19" t="s">
        <v>30</v>
      </c>
      <c r="U534" s="20"/>
      <c r="V534" s="37"/>
      <c r="W534" s="7"/>
      <c r="X534" s="7"/>
      <c r="Y534" s="7"/>
      <c r="Z534" s="7"/>
      <c r="AA534" s="7"/>
    </row>
    <row r="535" ht="18.75" customHeight="1">
      <c r="A535" s="22" t="s">
        <v>687</v>
      </c>
      <c r="B535" s="23" t="s">
        <v>696</v>
      </c>
      <c r="C535" s="23" t="s">
        <v>708</v>
      </c>
      <c r="D535" s="24">
        <v>1232.0</v>
      </c>
      <c r="E535" s="23" t="s">
        <v>718</v>
      </c>
      <c r="F535" s="25" t="s">
        <v>202</v>
      </c>
      <c r="G535" s="26" t="s">
        <v>27</v>
      </c>
      <c r="H535" s="27">
        <v>205.0</v>
      </c>
      <c r="I535" s="28">
        <v>5.0</v>
      </c>
      <c r="J535" s="29" t="s">
        <v>154</v>
      </c>
      <c r="K535" s="30">
        <v>0.8</v>
      </c>
      <c r="L535" s="31">
        <f t="shared" si="1"/>
        <v>4</v>
      </c>
      <c r="M535" s="31">
        <f t="shared" si="2"/>
        <v>1</v>
      </c>
      <c r="N535" s="32">
        <f t="shared" si="3"/>
        <v>164</v>
      </c>
      <c r="O535" s="32">
        <f t="shared" si="4"/>
        <v>41</v>
      </c>
      <c r="P535" s="32">
        <f t="shared" si="5"/>
        <v>41</v>
      </c>
      <c r="Q535" s="22">
        <v>0.0</v>
      </c>
      <c r="R535" s="32">
        <f t="shared" si="6"/>
        <v>41</v>
      </c>
      <c r="S535" s="33" t="s">
        <v>29</v>
      </c>
      <c r="T535" s="33" t="s">
        <v>30</v>
      </c>
      <c r="U535" s="34" t="s">
        <v>216</v>
      </c>
      <c r="V535" s="35"/>
      <c r="W535" s="7"/>
      <c r="X535" s="7"/>
      <c r="Y535" s="7"/>
      <c r="Z535" s="7"/>
      <c r="AA535" s="7"/>
    </row>
    <row r="536" ht="18.75" customHeight="1">
      <c r="A536" s="8" t="s">
        <v>687</v>
      </c>
      <c r="B536" s="9" t="s">
        <v>696</v>
      </c>
      <c r="C536" s="9" t="s">
        <v>33</v>
      </c>
      <c r="D536" s="10">
        <v>1233.0</v>
      </c>
      <c r="E536" s="9" t="s">
        <v>719</v>
      </c>
      <c r="F536" s="11" t="s">
        <v>128</v>
      </c>
      <c r="G536" s="12" t="s">
        <v>27</v>
      </c>
      <c r="H536" s="13">
        <v>1669.0</v>
      </c>
      <c r="I536" s="14">
        <v>5.0</v>
      </c>
      <c r="J536" s="15" t="s">
        <v>38</v>
      </c>
      <c r="K536" s="16">
        <v>0.5</v>
      </c>
      <c r="L536" s="17">
        <f t="shared" si="1"/>
        <v>2.5</v>
      </c>
      <c r="M536" s="17">
        <f t="shared" si="2"/>
        <v>2.5</v>
      </c>
      <c r="N536" s="18">
        <f t="shared" si="3"/>
        <v>834.5</v>
      </c>
      <c r="O536" s="18">
        <f t="shared" si="4"/>
        <v>834.5</v>
      </c>
      <c r="P536" s="18">
        <f t="shared" si="5"/>
        <v>834.5</v>
      </c>
      <c r="Q536" s="8">
        <v>0.0</v>
      </c>
      <c r="R536" s="18">
        <f t="shared" si="6"/>
        <v>333.8</v>
      </c>
      <c r="S536" s="19" t="s">
        <v>29</v>
      </c>
      <c r="T536" s="19" t="s">
        <v>30</v>
      </c>
      <c r="U536" s="20" t="s">
        <v>129</v>
      </c>
      <c r="V536" s="37"/>
      <c r="W536" s="7"/>
      <c r="X536" s="7"/>
      <c r="Y536" s="7"/>
      <c r="Z536" s="7"/>
      <c r="AA536" s="7"/>
    </row>
    <row r="537" ht="18.75" customHeight="1">
      <c r="A537" s="22" t="s">
        <v>687</v>
      </c>
      <c r="B537" s="23" t="s">
        <v>696</v>
      </c>
      <c r="C537" s="23" t="s">
        <v>33</v>
      </c>
      <c r="D537" s="24">
        <v>1608.0</v>
      </c>
      <c r="E537" s="23" t="s">
        <v>720</v>
      </c>
      <c r="F537" s="25" t="s">
        <v>37</v>
      </c>
      <c r="G537" s="26" t="s">
        <v>27</v>
      </c>
      <c r="H537" s="27">
        <v>529.0</v>
      </c>
      <c r="I537" s="28">
        <v>10.0</v>
      </c>
      <c r="J537" s="45" t="s">
        <v>63</v>
      </c>
      <c r="K537" s="30">
        <v>0.700000000000003</v>
      </c>
      <c r="L537" s="31">
        <f t="shared" si="1"/>
        <v>7</v>
      </c>
      <c r="M537" s="31">
        <f t="shared" si="2"/>
        <v>3</v>
      </c>
      <c r="N537" s="32">
        <f t="shared" si="3"/>
        <v>370.3</v>
      </c>
      <c r="O537" s="32">
        <f t="shared" si="4"/>
        <v>158.7</v>
      </c>
      <c r="P537" s="32">
        <f t="shared" si="5"/>
        <v>158.7</v>
      </c>
      <c r="Q537" s="22">
        <v>0.0</v>
      </c>
      <c r="R537" s="32">
        <f t="shared" si="6"/>
        <v>52.9</v>
      </c>
      <c r="S537" s="33" t="s">
        <v>29</v>
      </c>
      <c r="T537" s="33" t="s">
        <v>30</v>
      </c>
      <c r="U537" s="34" t="s">
        <v>275</v>
      </c>
      <c r="V537" s="35"/>
      <c r="W537" s="7"/>
      <c r="X537" s="7"/>
      <c r="Y537" s="7"/>
      <c r="Z537" s="7"/>
      <c r="AA537" s="7"/>
    </row>
    <row r="538" ht="18.75" customHeight="1">
      <c r="A538" s="8" t="s">
        <v>687</v>
      </c>
      <c r="B538" s="9" t="s">
        <v>696</v>
      </c>
      <c r="C538" s="9" t="s">
        <v>24</v>
      </c>
      <c r="D538" s="10">
        <v>1768.0</v>
      </c>
      <c r="E538" s="9" t="s">
        <v>721</v>
      </c>
      <c r="F538" s="11" t="s">
        <v>26</v>
      </c>
      <c r="G538" s="39"/>
      <c r="H538" s="13">
        <v>1478.0</v>
      </c>
      <c r="I538" s="14">
        <v>5.0</v>
      </c>
      <c r="J538" s="15" t="s">
        <v>38</v>
      </c>
      <c r="K538" s="16">
        <v>0.5</v>
      </c>
      <c r="L538" s="17">
        <f t="shared" si="1"/>
        <v>2.5</v>
      </c>
      <c r="M538" s="17">
        <f t="shared" si="2"/>
        <v>2.5</v>
      </c>
      <c r="N538" s="18">
        <f t="shared" si="3"/>
        <v>739</v>
      </c>
      <c r="O538" s="18">
        <f t="shared" si="4"/>
        <v>739</v>
      </c>
      <c r="P538" s="18">
        <f t="shared" si="5"/>
        <v>739</v>
      </c>
      <c r="Q538" s="8">
        <v>0.0</v>
      </c>
      <c r="R538" s="18">
        <f t="shared" si="6"/>
        <v>295.6</v>
      </c>
      <c r="S538" s="19" t="s">
        <v>29</v>
      </c>
      <c r="T538" s="19" t="s">
        <v>30</v>
      </c>
      <c r="U538" s="20" t="s">
        <v>264</v>
      </c>
      <c r="V538" s="37"/>
      <c r="W538" s="7"/>
      <c r="X538" s="7"/>
      <c r="Y538" s="7"/>
      <c r="Z538" s="7"/>
      <c r="AA538" s="7"/>
    </row>
    <row r="539" ht="18.75" customHeight="1">
      <c r="A539" s="22" t="s">
        <v>687</v>
      </c>
      <c r="B539" s="23" t="s">
        <v>696</v>
      </c>
      <c r="C539" s="23" t="s">
        <v>24</v>
      </c>
      <c r="D539" s="24">
        <v>1769.0</v>
      </c>
      <c r="E539" s="23" t="s">
        <v>722</v>
      </c>
      <c r="F539" s="25" t="s">
        <v>26</v>
      </c>
      <c r="G539" s="26" t="s">
        <v>27</v>
      </c>
      <c r="H539" s="27">
        <v>976.03</v>
      </c>
      <c r="I539" s="28">
        <v>5.0</v>
      </c>
      <c r="J539" s="29" t="s">
        <v>28</v>
      </c>
      <c r="K539" s="30">
        <v>0.4</v>
      </c>
      <c r="L539" s="31">
        <f t="shared" si="1"/>
        <v>2</v>
      </c>
      <c r="M539" s="31">
        <f t="shared" si="2"/>
        <v>3</v>
      </c>
      <c r="N539" s="32">
        <f t="shared" si="3"/>
        <v>390.412</v>
      </c>
      <c r="O539" s="32">
        <f t="shared" si="4"/>
        <v>585.618</v>
      </c>
      <c r="P539" s="32">
        <f t="shared" si="5"/>
        <v>585.618</v>
      </c>
      <c r="Q539" s="22">
        <v>0.0</v>
      </c>
      <c r="R539" s="32">
        <f t="shared" si="6"/>
        <v>195.206</v>
      </c>
      <c r="S539" s="33" t="s">
        <v>29</v>
      </c>
      <c r="T539" s="33" t="s">
        <v>30</v>
      </c>
      <c r="U539" s="38" t="s">
        <v>620</v>
      </c>
      <c r="V539" s="35"/>
      <c r="W539" s="7"/>
      <c r="X539" s="7"/>
      <c r="Y539" s="7"/>
      <c r="Z539" s="7"/>
      <c r="AA539" s="7"/>
    </row>
    <row r="540" ht="18.75" customHeight="1">
      <c r="A540" s="8" t="s">
        <v>687</v>
      </c>
      <c r="B540" s="9" t="s">
        <v>696</v>
      </c>
      <c r="C540" s="9" t="s">
        <v>24</v>
      </c>
      <c r="D540" s="10">
        <v>1783.0</v>
      </c>
      <c r="E540" s="9" t="s">
        <v>723</v>
      </c>
      <c r="F540" s="11" t="s">
        <v>26</v>
      </c>
      <c r="G540" s="12" t="s">
        <v>27</v>
      </c>
      <c r="H540" s="13">
        <v>285.0</v>
      </c>
      <c r="I540" s="14">
        <v>5.0</v>
      </c>
      <c r="J540" s="15" t="s">
        <v>28</v>
      </c>
      <c r="K540" s="16">
        <v>0.4</v>
      </c>
      <c r="L540" s="17">
        <f t="shared" si="1"/>
        <v>2</v>
      </c>
      <c r="M540" s="17">
        <f t="shared" si="2"/>
        <v>3</v>
      </c>
      <c r="N540" s="18">
        <f t="shared" si="3"/>
        <v>114</v>
      </c>
      <c r="O540" s="18">
        <f t="shared" si="4"/>
        <v>171</v>
      </c>
      <c r="P540" s="18">
        <f t="shared" si="5"/>
        <v>171</v>
      </c>
      <c r="Q540" s="8">
        <v>0.0</v>
      </c>
      <c r="R540" s="18">
        <f t="shared" si="6"/>
        <v>57</v>
      </c>
      <c r="S540" s="19" t="s">
        <v>29</v>
      </c>
      <c r="T540" s="19" t="s">
        <v>30</v>
      </c>
      <c r="U540" s="20" t="s">
        <v>251</v>
      </c>
      <c r="V540" s="37"/>
      <c r="W540" s="7"/>
      <c r="X540" s="7"/>
      <c r="Y540" s="7"/>
      <c r="Z540" s="7"/>
      <c r="AA540" s="7"/>
    </row>
    <row r="541" ht="18.75" customHeight="1">
      <c r="A541" s="22" t="s">
        <v>687</v>
      </c>
      <c r="B541" s="23" t="s">
        <v>696</v>
      </c>
      <c r="C541" s="23" t="s">
        <v>24</v>
      </c>
      <c r="D541" s="24">
        <v>1805.0</v>
      </c>
      <c r="E541" s="23" t="s">
        <v>724</v>
      </c>
      <c r="F541" s="25" t="s">
        <v>26</v>
      </c>
      <c r="G541" s="26" t="s">
        <v>27</v>
      </c>
      <c r="H541" s="27">
        <v>1586.97</v>
      </c>
      <c r="I541" s="28">
        <v>10.0</v>
      </c>
      <c r="J541" s="74" t="s">
        <v>54</v>
      </c>
      <c r="K541" s="30">
        <v>0.3</v>
      </c>
      <c r="L541" s="31">
        <f t="shared" si="1"/>
        <v>3</v>
      </c>
      <c r="M541" s="31">
        <f t="shared" si="2"/>
        <v>7</v>
      </c>
      <c r="N541" s="32">
        <f t="shared" si="3"/>
        <v>476.091</v>
      </c>
      <c r="O541" s="32">
        <f t="shared" si="4"/>
        <v>1110.879</v>
      </c>
      <c r="P541" s="32">
        <f t="shared" si="5"/>
        <v>1110.879</v>
      </c>
      <c r="Q541" s="22">
        <v>0.0</v>
      </c>
      <c r="R541" s="32">
        <f t="shared" si="6"/>
        <v>158.697</v>
      </c>
      <c r="S541" s="33" t="s">
        <v>29</v>
      </c>
      <c r="T541" s="33" t="s">
        <v>30</v>
      </c>
      <c r="U541" s="34" t="s">
        <v>575</v>
      </c>
      <c r="V541" s="35"/>
      <c r="W541" s="7"/>
      <c r="X541" s="7"/>
      <c r="Y541" s="7"/>
      <c r="Z541" s="7"/>
      <c r="AA541" s="7"/>
    </row>
    <row r="542" ht="18.75" customHeight="1">
      <c r="A542" s="8" t="s">
        <v>687</v>
      </c>
      <c r="B542" s="9" t="s">
        <v>696</v>
      </c>
      <c r="C542" s="9" t="s">
        <v>24</v>
      </c>
      <c r="D542" s="10">
        <v>1806.0</v>
      </c>
      <c r="E542" s="9" t="s">
        <v>725</v>
      </c>
      <c r="F542" s="11" t="s">
        <v>26</v>
      </c>
      <c r="G542" s="12" t="s">
        <v>27</v>
      </c>
      <c r="H542" s="13">
        <v>798.0</v>
      </c>
      <c r="I542" s="14">
        <v>5.0</v>
      </c>
      <c r="J542" s="44" t="s">
        <v>54</v>
      </c>
      <c r="K542" s="16">
        <v>0.3</v>
      </c>
      <c r="L542" s="17">
        <f t="shared" si="1"/>
        <v>1.5</v>
      </c>
      <c r="M542" s="17">
        <f t="shared" si="2"/>
        <v>3.5</v>
      </c>
      <c r="N542" s="18">
        <f t="shared" si="3"/>
        <v>239.4</v>
      </c>
      <c r="O542" s="18">
        <f t="shared" si="4"/>
        <v>558.6</v>
      </c>
      <c r="P542" s="18">
        <f t="shared" si="5"/>
        <v>558.6</v>
      </c>
      <c r="Q542" s="8">
        <v>0.0</v>
      </c>
      <c r="R542" s="18">
        <f t="shared" si="6"/>
        <v>159.6</v>
      </c>
      <c r="S542" s="19" t="s">
        <v>29</v>
      </c>
      <c r="T542" s="19" t="s">
        <v>30</v>
      </c>
      <c r="U542" s="20" t="s">
        <v>111</v>
      </c>
      <c r="V542" s="37"/>
      <c r="W542" s="7"/>
      <c r="X542" s="7"/>
      <c r="Y542" s="7"/>
      <c r="Z542" s="7"/>
      <c r="AA542" s="7"/>
    </row>
    <row r="543" ht="18.75" customHeight="1">
      <c r="A543" s="22" t="s">
        <v>687</v>
      </c>
      <c r="B543" s="23" t="s">
        <v>696</v>
      </c>
      <c r="C543" s="23" t="s">
        <v>24</v>
      </c>
      <c r="D543" s="24">
        <v>1810.0</v>
      </c>
      <c r="E543" s="23" t="s">
        <v>726</v>
      </c>
      <c r="F543" s="25" t="s">
        <v>37</v>
      </c>
      <c r="G543" s="40"/>
      <c r="H543" s="27">
        <v>243.0</v>
      </c>
      <c r="I543" s="28">
        <v>10.0</v>
      </c>
      <c r="J543" s="74" t="s">
        <v>54</v>
      </c>
      <c r="K543" s="30">
        <v>0.3</v>
      </c>
      <c r="L543" s="31">
        <f t="shared" si="1"/>
        <v>3</v>
      </c>
      <c r="M543" s="31">
        <f t="shared" si="2"/>
        <v>7</v>
      </c>
      <c r="N543" s="32">
        <f t="shared" si="3"/>
        <v>72.9</v>
      </c>
      <c r="O543" s="32">
        <f t="shared" si="4"/>
        <v>170.1</v>
      </c>
      <c r="P543" s="32">
        <f t="shared" si="5"/>
        <v>170.1</v>
      </c>
      <c r="Q543" s="22">
        <v>0.0</v>
      </c>
      <c r="R543" s="32">
        <f t="shared" si="6"/>
        <v>24.3</v>
      </c>
      <c r="S543" s="33" t="s">
        <v>29</v>
      </c>
      <c r="T543" s="33" t="s">
        <v>30</v>
      </c>
      <c r="U543" s="38" t="s">
        <v>727</v>
      </c>
      <c r="V543" s="35"/>
      <c r="W543" s="7"/>
      <c r="X543" s="7"/>
      <c r="Y543" s="7"/>
      <c r="Z543" s="7"/>
      <c r="AA543" s="7"/>
    </row>
    <row r="544" ht="18.75" customHeight="1">
      <c r="A544" s="8" t="s">
        <v>687</v>
      </c>
      <c r="B544" s="9" t="s">
        <v>728</v>
      </c>
      <c r="C544" s="9" t="s">
        <v>708</v>
      </c>
      <c r="D544" s="10">
        <v>1838.0</v>
      </c>
      <c r="E544" s="9" t="s">
        <v>729</v>
      </c>
      <c r="F544" s="11" t="s">
        <v>26</v>
      </c>
      <c r="G544" s="12" t="s">
        <v>27</v>
      </c>
      <c r="H544" s="13">
        <v>235.03</v>
      </c>
      <c r="I544" s="14">
        <v>10.0</v>
      </c>
      <c r="J544" s="44" t="s">
        <v>54</v>
      </c>
      <c r="K544" s="16">
        <v>0.3</v>
      </c>
      <c r="L544" s="17">
        <f t="shared" si="1"/>
        <v>3</v>
      </c>
      <c r="M544" s="17">
        <f t="shared" si="2"/>
        <v>7</v>
      </c>
      <c r="N544" s="18">
        <f t="shared" si="3"/>
        <v>70.509</v>
      </c>
      <c r="O544" s="18">
        <f t="shared" si="4"/>
        <v>164.521</v>
      </c>
      <c r="P544" s="18">
        <f t="shared" si="5"/>
        <v>164.521</v>
      </c>
      <c r="Q544" s="8">
        <v>0.0</v>
      </c>
      <c r="R544" s="18">
        <f t="shared" si="6"/>
        <v>23.503</v>
      </c>
      <c r="S544" s="19" t="s">
        <v>29</v>
      </c>
      <c r="T544" s="19" t="s">
        <v>30</v>
      </c>
      <c r="U544" s="20" t="s">
        <v>96</v>
      </c>
      <c r="V544" s="37"/>
      <c r="W544" s="7"/>
      <c r="X544" s="7"/>
      <c r="Y544" s="7"/>
      <c r="Z544" s="7"/>
      <c r="AA544" s="7"/>
    </row>
    <row r="545" ht="18.75" customHeight="1">
      <c r="A545" s="22" t="s">
        <v>687</v>
      </c>
      <c r="B545" s="23" t="s">
        <v>696</v>
      </c>
      <c r="C545" s="23" t="s">
        <v>24</v>
      </c>
      <c r="D545" s="24">
        <v>1840.0</v>
      </c>
      <c r="E545" s="23" t="s">
        <v>730</v>
      </c>
      <c r="F545" s="25" t="s">
        <v>37</v>
      </c>
      <c r="G545" s="40"/>
      <c r="H545" s="27">
        <v>243.0</v>
      </c>
      <c r="I545" s="28">
        <v>10.0</v>
      </c>
      <c r="J545" s="72" t="s">
        <v>54</v>
      </c>
      <c r="K545" s="30">
        <v>0.3</v>
      </c>
      <c r="L545" s="31">
        <f t="shared" si="1"/>
        <v>3</v>
      </c>
      <c r="M545" s="31">
        <f t="shared" si="2"/>
        <v>7</v>
      </c>
      <c r="N545" s="32">
        <f t="shared" si="3"/>
        <v>72.9</v>
      </c>
      <c r="O545" s="32">
        <f t="shared" si="4"/>
        <v>170.1</v>
      </c>
      <c r="P545" s="32">
        <f t="shared" si="5"/>
        <v>170.1</v>
      </c>
      <c r="Q545" s="22">
        <v>0.0</v>
      </c>
      <c r="R545" s="32">
        <f t="shared" si="6"/>
        <v>24.3</v>
      </c>
      <c r="S545" s="33" t="s">
        <v>29</v>
      </c>
      <c r="T545" s="33" t="s">
        <v>30</v>
      </c>
      <c r="U545" s="38" t="s">
        <v>727</v>
      </c>
      <c r="V545" s="35"/>
      <c r="W545" s="7"/>
      <c r="X545" s="7"/>
      <c r="Y545" s="7"/>
      <c r="Z545" s="7"/>
      <c r="AA545" s="7"/>
    </row>
    <row r="546" ht="18.75" customHeight="1">
      <c r="A546" s="8" t="s">
        <v>687</v>
      </c>
      <c r="B546" s="9" t="s">
        <v>690</v>
      </c>
      <c r="C546" s="9" t="s">
        <v>33</v>
      </c>
      <c r="D546" s="10">
        <v>2152.0</v>
      </c>
      <c r="E546" s="9" t="s">
        <v>731</v>
      </c>
      <c r="F546" s="11" t="s">
        <v>26</v>
      </c>
      <c r="G546" s="12" t="s">
        <v>27</v>
      </c>
      <c r="H546" s="13">
        <v>328.8</v>
      </c>
      <c r="I546" s="14">
        <v>5.0</v>
      </c>
      <c r="J546" s="15" t="s">
        <v>38</v>
      </c>
      <c r="K546" s="16">
        <v>0.5</v>
      </c>
      <c r="L546" s="17">
        <f t="shared" si="1"/>
        <v>2.5</v>
      </c>
      <c r="M546" s="17">
        <f t="shared" si="2"/>
        <v>2.5</v>
      </c>
      <c r="N546" s="18">
        <f t="shared" si="3"/>
        <v>164.4</v>
      </c>
      <c r="O546" s="18">
        <f t="shared" si="4"/>
        <v>164.4</v>
      </c>
      <c r="P546" s="18">
        <f t="shared" si="5"/>
        <v>164.4</v>
      </c>
      <c r="Q546" s="8">
        <v>0.0</v>
      </c>
      <c r="R546" s="18">
        <f t="shared" si="6"/>
        <v>65.76</v>
      </c>
      <c r="S546" s="19" t="s">
        <v>29</v>
      </c>
      <c r="T546" s="19" t="s">
        <v>30</v>
      </c>
      <c r="U546" s="20" t="s">
        <v>344</v>
      </c>
      <c r="V546" s="37"/>
      <c r="W546" s="7"/>
      <c r="X546" s="7"/>
      <c r="Y546" s="7"/>
      <c r="Z546" s="7"/>
      <c r="AA546" s="7"/>
    </row>
    <row r="547" ht="18.75" customHeight="1">
      <c r="A547" s="22" t="s">
        <v>687</v>
      </c>
      <c r="B547" s="23" t="s">
        <v>696</v>
      </c>
      <c r="C547" s="23" t="s">
        <v>24</v>
      </c>
      <c r="D547" s="24">
        <v>2164.0</v>
      </c>
      <c r="E547" s="23" t="s">
        <v>732</v>
      </c>
      <c r="F547" s="25" t="s">
        <v>26</v>
      </c>
      <c r="G547" s="26" t="s">
        <v>27</v>
      </c>
      <c r="H547" s="27">
        <v>179.97</v>
      </c>
      <c r="I547" s="28">
        <v>5.0</v>
      </c>
      <c r="J547" s="45" t="s">
        <v>63</v>
      </c>
      <c r="K547" s="30">
        <v>0.700000000000003</v>
      </c>
      <c r="L547" s="31">
        <f t="shared" si="1"/>
        <v>3.5</v>
      </c>
      <c r="M547" s="31">
        <f t="shared" si="2"/>
        <v>1.5</v>
      </c>
      <c r="N547" s="32">
        <f t="shared" si="3"/>
        <v>125.979</v>
      </c>
      <c r="O547" s="32">
        <f t="shared" si="4"/>
        <v>53.991</v>
      </c>
      <c r="P547" s="32">
        <f t="shared" si="5"/>
        <v>53.991</v>
      </c>
      <c r="Q547" s="22">
        <v>0.0</v>
      </c>
      <c r="R547" s="32">
        <f t="shared" si="6"/>
        <v>35.994</v>
      </c>
      <c r="S547" s="33" t="s">
        <v>29</v>
      </c>
      <c r="T547" s="33" t="s">
        <v>30</v>
      </c>
      <c r="U547" s="38" t="s">
        <v>733</v>
      </c>
      <c r="V547" s="35"/>
      <c r="W547" s="7"/>
      <c r="X547" s="7"/>
      <c r="Y547" s="7"/>
      <c r="Z547" s="7"/>
      <c r="AA547" s="7"/>
    </row>
    <row r="548" ht="18.75" customHeight="1">
      <c r="A548" s="8" t="s">
        <v>687</v>
      </c>
      <c r="B548" s="9" t="s">
        <v>696</v>
      </c>
      <c r="C548" s="9" t="s">
        <v>24</v>
      </c>
      <c r="D548" s="10">
        <v>2165.0</v>
      </c>
      <c r="E548" s="9" t="s">
        <v>734</v>
      </c>
      <c r="F548" s="11" t="s">
        <v>26</v>
      </c>
      <c r="G548" s="12" t="s">
        <v>27</v>
      </c>
      <c r="H548" s="13">
        <v>238.95</v>
      </c>
      <c r="I548" s="14">
        <v>5.0</v>
      </c>
      <c r="J548" s="46" t="s">
        <v>63</v>
      </c>
      <c r="K548" s="16">
        <v>0.700000000000003</v>
      </c>
      <c r="L548" s="17">
        <f t="shared" si="1"/>
        <v>3.5</v>
      </c>
      <c r="M548" s="17">
        <f t="shared" si="2"/>
        <v>1.5</v>
      </c>
      <c r="N548" s="18">
        <f t="shared" si="3"/>
        <v>167.265</v>
      </c>
      <c r="O548" s="18">
        <f t="shared" si="4"/>
        <v>71.685</v>
      </c>
      <c r="P548" s="18">
        <f t="shared" si="5"/>
        <v>71.685</v>
      </c>
      <c r="Q548" s="8">
        <v>0.0</v>
      </c>
      <c r="R548" s="18">
        <f t="shared" si="6"/>
        <v>47.79</v>
      </c>
      <c r="S548" s="19" t="s">
        <v>29</v>
      </c>
      <c r="T548" s="19" t="s">
        <v>30</v>
      </c>
      <c r="U548" s="20" t="s">
        <v>108</v>
      </c>
      <c r="V548" s="37"/>
      <c r="W548" s="7"/>
      <c r="X548" s="7"/>
      <c r="Y548" s="7"/>
      <c r="Z548" s="7"/>
      <c r="AA548" s="7"/>
    </row>
    <row r="549" ht="18.75" customHeight="1">
      <c r="A549" s="22" t="s">
        <v>687</v>
      </c>
      <c r="B549" s="23" t="s">
        <v>696</v>
      </c>
      <c r="C549" s="23" t="s">
        <v>33</v>
      </c>
      <c r="D549" s="24">
        <v>2360.0</v>
      </c>
      <c r="E549" s="23" t="s">
        <v>78</v>
      </c>
      <c r="F549" s="25" t="s">
        <v>26</v>
      </c>
      <c r="G549" s="26" t="s">
        <v>27</v>
      </c>
      <c r="H549" s="27">
        <v>603.0</v>
      </c>
      <c r="I549" s="28">
        <v>5.0</v>
      </c>
      <c r="J549" s="29" t="s">
        <v>38</v>
      </c>
      <c r="K549" s="30">
        <v>0.5</v>
      </c>
      <c r="L549" s="31">
        <f t="shared" si="1"/>
        <v>2.5</v>
      </c>
      <c r="M549" s="31">
        <f t="shared" si="2"/>
        <v>2.5</v>
      </c>
      <c r="N549" s="32">
        <f t="shared" si="3"/>
        <v>301.5</v>
      </c>
      <c r="O549" s="32">
        <f t="shared" si="4"/>
        <v>301.5</v>
      </c>
      <c r="P549" s="32">
        <f t="shared" si="5"/>
        <v>301.5</v>
      </c>
      <c r="Q549" s="22">
        <v>0.0</v>
      </c>
      <c r="R549" s="32">
        <f t="shared" si="6"/>
        <v>120.6</v>
      </c>
      <c r="S549" s="33" t="s">
        <v>29</v>
      </c>
      <c r="T549" s="33" t="s">
        <v>30</v>
      </c>
      <c r="U549" s="34" t="s">
        <v>79</v>
      </c>
      <c r="V549" s="35"/>
      <c r="W549" s="7"/>
      <c r="X549" s="7"/>
      <c r="Y549" s="7"/>
      <c r="Z549" s="7"/>
      <c r="AA549" s="7"/>
    </row>
    <row r="550" ht="18.75" customHeight="1">
      <c r="A550" s="8" t="s">
        <v>687</v>
      </c>
      <c r="B550" s="9" t="s">
        <v>696</v>
      </c>
      <c r="C550" s="9" t="s">
        <v>33</v>
      </c>
      <c r="D550" s="10">
        <v>2433.0</v>
      </c>
      <c r="E550" s="9" t="s">
        <v>735</v>
      </c>
      <c r="F550" s="11" t="s">
        <v>26</v>
      </c>
      <c r="G550" s="12" t="s">
        <v>27</v>
      </c>
      <c r="H550" s="13">
        <v>1291.65</v>
      </c>
      <c r="I550" s="14">
        <v>5.0</v>
      </c>
      <c r="J550" s="44" t="s">
        <v>54</v>
      </c>
      <c r="K550" s="16">
        <v>0.3</v>
      </c>
      <c r="L550" s="17">
        <f t="shared" si="1"/>
        <v>1.5</v>
      </c>
      <c r="M550" s="17">
        <f t="shared" si="2"/>
        <v>3.5</v>
      </c>
      <c r="N550" s="18">
        <f t="shared" si="3"/>
        <v>387.495</v>
      </c>
      <c r="O550" s="18">
        <f t="shared" si="4"/>
        <v>904.155</v>
      </c>
      <c r="P550" s="18">
        <f t="shared" si="5"/>
        <v>904.155</v>
      </c>
      <c r="Q550" s="8">
        <v>0.0</v>
      </c>
      <c r="R550" s="18">
        <f t="shared" si="6"/>
        <v>258.33</v>
      </c>
      <c r="S550" s="19" t="s">
        <v>29</v>
      </c>
      <c r="T550" s="19" t="s">
        <v>30</v>
      </c>
      <c r="U550" s="36" t="s">
        <v>679</v>
      </c>
      <c r="V550" s="37"/>
      <c r="W550" s="7"/>
      <c r="X550" s="7"/>
      <c r="Y550" s="7"/>
      <c r="Z550" s="7"/>
      <c r="AA550" s="7"/>
    </row>
    <row r="551" ht="18.75" customHeight="1">
      <c r="A551" s="22" t="s">
        <v>687</v>
      </c>
      <c r="B551" s="23" t="s">
        <v>696</v>
      </c>
      <c r="C551" s="23" t="s">
        <v>24</v>
      </c>
      <c r="D551" s="24">
        <v>2701.0</v>
      </c>
      <c r="E551" s="23" t="s">
        <v>736</v>
      </c>
      <c r="F551" s="25" t="s">
        <v>26</v>
      </c>
      <c r="G551" s="26" t="s">
        <v>27</v>
      </c>
      <c r="H551" s="27">
        <v>235.03</v>
      </c>
      <c r="I551" s="28">
        <v>10.0</v>
      </c>
      <c r="J551" s="74" t="s">
        <v>54</v>
      </c>
      <c r="K551" s="30">
        <v>0.3</v>
      </c>
      <c r="L551" s="31">
        <f t="shared" si="1"/>
        <v>3</v>
      </c>
      <c r="M551" s="31">
        <f t="shared" si="2"/>
        <v>7</v>
      </c>
      <c r="N551" s="32">
        <f t="shared" si="3"/>
        <v>70.509</v>
      </c>
      <c r="O551" s="32">
        <f t="shared" si="4"/>
        <v>164.521</v>
      </c>
      <c r="P551" s="32">
        <f t="shared" si="5"/>
        <v>164.521</v>
      </c>
      <c r="Q551" s="22">
        <v>0.0</v>
      </c>
      <c r="R551" s="32">
        <f t="shared" si="6"/>
        <v>23.503</v>
      </c>
      <c r="S551" s="33" t="s">
        <v>29</v>
      </c>
      <c r="T551" s="33" t="s">
        <v>30</v>
      </c>
      <c r="U551" s="34" t="s">
        <v>96</v>
      </c>
      <c r="V551" s="35"/>
      <c r="W551" s="7"/>
      <c r="X551" s="7"/>
      <c r="Y551" s="7"/>
      <c r="Z551" s="7"/>
      <c r="AA551" s="7"/>
    </row>
    <row r="552" ht="18.75" customHeight="1">
      <c r="A552" s="8" t="s">
        <v>687</v>
      </c>
      <c r="B552" s="9" t="s">
        <v>696</v>
      </c>
      <c r="C552" s="9" t="s">
        <v>24</v>
      </c>
      <c r="D552" s="10">
        <v>2702.0</v>
      </c>
      <c r="E552" s="9" t="s">
        <v>737</v>
      </c>
      <c r="F552" s="11" t="s">
        <v>37</v>
      </c>
      <c r="G552" s="12" t="s">
        <v>27</v>
      </c>
      <c r="H552" s="13">
        <v>359.9</v>
      </c>
      <c r="I552" s="14">
        <v>5.0</v>
      </c>
      <c r="J552" s="44" t="s">
        <v>54</v>
      </c>
      <c r="K552" s="16">
        <v>0.3</v>
      </c>
      <c r="L552" s="17">
        <f t="shared" si="1"/>
        <v>1.5</v>
      </c>
      <c r="M552" s="17">
        <f t="shared" si="2"/>
        <v>3.5</v>
      </c>
      <c r="N552" s="18">
        <f t="shared" si="3"/>
        <v>107.97</v>
      </c>
      <c r="O552" s="18">
        <f t="shared" si="4"/>
        <v>251.93</v>
      </c>
      <c r="P552" s="18">
        <f t="shared" si="5"/>
        <v>251.93</v>
      </c>
      <c r="Q552" s="8">
        <v>0.0</v>
      </c>
      <c r="R552" s="18">
        <f t="shared" si="6"/>
        <v>71.98</v>
      </c>
      <c r="S552" s="19" t="s">
        <v>29</v>
      </c>
      <c r="T552" s="19" t="s">
        <v>30</v>
      </c>
      <c r="U552" s="20" t="s">
        <v>104</v>
      </c>
      <c r="V552" s="37"/>
      <c r="W552" s="7"/>
      <c r="X552" s="7"/>
      <c r="Y552" s="7"/>
      <c r="Z552" s="7"/>
      <c r="AA552" s="7"/>
    </row>
    <row r="553" ht="18.75" customHeight="1">
      <c r="A553" s="22" t="s">
        <v>687</v>
      </c>
      <c r="B553" s="23" t="s">
        <v>696</v>
      </c>
      <c r="C553" s="23" t="s">
        <v>24</v>
      </c>
      <c r="D553" s="24">
        <v>2705.0</v>
      </c>
      <c r="E553" s="23" t="s">
        <v>738</v>
      </c>
      <c r="F553" s="25" t="s">
        <v>26</v>
      </c>
      <c r="G553" s="26" t="s">
        <v>27</v>
      </c>
      <c r="H553" s="27">
        <v>976.03</v>
      </c>
      <c r="I553" s="28">
        <v>5.0</v>
      </c>
      <c r="J553" s="74" t="s">
        <v>54</v>
      </c>
      <c r="K553" s="30">
        <v>0.3</v>
      </c>
      <c r="L553" s="31">
        <f t="shared" si="1"/>
        <v>1.5</v>
      </c>
      <c r="M553" s="31">
        <f t="shared" si="2"/>
        <v>3.5</v>
      </c>
      <c r="N553" s="32">
        <f t="shared" si="3"/>
        <v>292.809</v>
      </c>
      <c r="O553" s="32">
        <f t="shared" si="4"/>
        <v>683.221</v>
      </c>
      <c r="P553" s="32">
        <f t="shared" si="5"/>
        <v>683.221</v>
      </c>
      <c r="Q553" s="22">
        <v>0.0</v>
      </c>
      <c r="R553" s="32">
        <f t="shared" si="6"/>
        <v>195.206</v>
      </c>
      <c r="S553" s="33" t="s">
        <v>29</v>
      </c>
      <c r="T553" s="33" t="s">
        <v>30</v>
      </c>
      <c r="U553" s="38" t="s">
        <v>620</v>
      </c>
      <c r="V553" s="35"/>
      <c r="W553" s="7"/>
      <c r="X553" s="7"/>
      <c r="Y553" s="7"/>
      <c r="Z553" s="7"/>
      <c r="AA553" s="7"/>
    </row>
    <row r="554" ht="18.75" customHeight="1">
      <c r="A554" s="8" t="s">
        <v>687</v>
      </c>
      <c r="B554" s="9" t="s">
        <v>696</v>
      </c>
      <c r="C554" s="9" t="s">
        <v>24</v>
      </c>
      <c r="D554" s="10">
        <v>2706.0</v>
      </c>
      <c r="E554" s="9" t="s">
        <v>736</v>
      </c>
      <c r="F554" s="11" t="s">
        <v>26</v>
      </c>
      <c r="G554" s="12" t="s">
        <v>27</v>
      </c>
      <c r="H554" s="13">
        <v>235.03</v>
      </c>
      <c r="I554" s="14">
        <v>10.0</v>
      </c>
      <c r="J554" s="44" t="s">
        <v>54</v>
      </c>
      <c r="K554" s="16">
        <v>0.3</v>
      </c>
      <c r="L554" s="17">
        <f t="shared" si="1"/>
        <v>3</v>
      </c>
      <c r="M554" s="17">
        <f t="shared" si="2"/>
        <v>7</v>
      </c>
      <c r="N554" s="18">
        <f t="shared" si="3"/>
        <v>70.509</v>
      </c>
      <c r="O554" s="18">
        <f t="shared" si="4"/>
        <v>164.521</v>
      </c>
      <c r="P554" s="18">
        <f t="shared" si="5"/>
        <v>164.521</v>
      </c>
      <c r="Q554" s="8">
        <v>0.0</v>
      </c>
      <c r="R554" s="18">
        <f t="shared" si="6"/>
        <v>23.503</v>
      </c>
      <c r="S554" s="19" t="s">
        <v>29</v>
      </c>
      <c r="T554" s="19" t="s">
        <v>30</v>
      </c>
      <c r="U554" s="20" t="s">
        <v>96</v>
      </c>
      <c r="V554" s="37"/>
      <c r="W554" s="7"/>
      <c r="X554" s="7"/>
      <c r="Y554" s="7"/>
      <c r="Z554" s="7"/>
      <c r="AA554" s="7"/>
    </row>
    <row r="555" ht="18.75" customHeight="1">
      <c r="A555" s="22" t="s">
        <v>687</v>
      </c>
      <c r="B555" s="23" t="s">
        <v>696</v>
      </c>
      <c r="C555" s="23" t="s">
        <v>24</v>
      </c>
      <c r="D555" s="24">
        <v>2707.0</v>
      </c>
      <c r="E555" s="23" t="s">
        <v>739</v>
      </c>
      <c r="F555" s="25" t="s">
        <v>26</v>
      </c>
      <c r="G555" s="26" t="s">
        <v>27</v>
      </c>
      <c r="H555" s="27">
        <v>37.9</v>
      </c>
      <c r="I555" s="28">
        <v>5.0</v>
      </c>
      <c r="J555" s="74" t="s">
        <v>54</v>
      </c>
      <c r="K555" s="30">
        <v>0.3</v>
      </c>
      <c r="L555" s="31">
        <f t="shared" si="1"/>
        <v>1.5</v>
      </c>
      <c r="M555" s="31">
        <f t="shared" si="2"/>
        <v>3.5</v>
      </c>
      <c r="N555" s="32">
        <f t="shared" si="3"/>
        <v>11.37</v>
      </c>
      <c r="O555" s="32">
        <f t="shared" si="4"/>
        <v>26.53</v>
      </c>
      <c r="P555" s="32">
        <f t="shared" si="5"/>
        <v>26.53</v>
      </c>
      <c r="Q555" s="22">
        <v>0.0</v>
      </c>
      <c r="R555" s="32">
        <f t="shared" si="6"/>
        <v>7.58</v>
      </c>
      <c r="S555" s="33" t="s">
        <v>29</v>
      </c>
      <c r="T555" s="33" t="s">
        <v>30</v>
      </c>
      <c r="U555" s="34" t="s">
        <v>302</v>
      </c>
      <c r="V555" s="35"/>
      <c r="W555" s="7"/>
      <c r="X555" s="7"/>
      <c r="Y555" s="7"/>
      <c r="Z555" s="7"/>
      <c r="AA555" s="7"/>
    </row>
    <row r="556" ht="18.75" customHeight="1">
      <c r="A556" s="8" t="s">
        <v>687</v>
      </c>
      <c r="B556" s="9" t="s">
        <v>696</v>
      </c>
      <c r="C556" s="9" t="s">
        <v>24</v>
      </c>
      <c r="D556" s="10">
        <v>2708.0</v>
      </c>
      <c r="E556" s="9" t="s">
        <v>740</v>
      </c>
      <c r="F556" s="11" t="s">
        <v>26</v>
      </c>
      <c r="G556" s="39"/>
      <c r="H556" s="13">
        <v>829.05</v>
      </c>
      <c r="I556" s="14">
        <v>5.0</v>
      </c>
      <c r="J556" s="44" t="s">
        <v>54</v>
      </c>
      <c r="K556" s="16">
        <v>0.3</v>
      </c>
      <c r="L556" s="17">
        <f t="shared" si="1"/>
        <v>1.5</v>
      </c>
      <c r="M556" s="17">
        <f t="shared" si="2"/>
        <v>3.5</v>
      </c>
      <c r="N556" s="18">
        <f t="shared" si="3"/>
        <v>248.715</v>
      </c>
      <c r="O556" s="18">
        <f t="shared" si="4"/>
        <v>580.335</v>
      </c>
      <c r="P556" s="18">
        <f t="shared" si="5"/>
        <v>580.335</v>
      </c>
      <c r="Q556" s="8">
        <v>0.0</v>
      </c>
      <c r="R556" s="18">
        <f t="shared" si="6"/>
        <v>165.81</v>
      </c>
      <c r="S556" s="19" t="s">
        <v>29</v>
      </c>
      <c r="T556" s="19" t="s">
        <v>30</v>
      </c>
      <c r="U556" s="36" t="s">
        <v>106</v>
      </c>
      <c r="V556" s="37"/>
      <c r="W556" s="7"/>
      <c r="X556" s="7"/>
      <c r="Y556" s="7"/>
      <c r="Z556" s="7"/>
      <c r="AA556" s="7"/>
    </row>
    <row r="557" ht="18.75" customHeight="1">
      <c r="A557" s="22" t="s">
        <v>687</v>
      </c>
      <c r="B557" s="23" t="s">
        <v>696</v>
      </c>
      <c r="C557" s="23" t="s">
        <v>24</v>
      </c>
      <c r="D557" s="24">
        <v>2710.0</v>
      </c>
      <c r="E557" s="23" t="s">
        <v>741</v>
      </c>
      <c r="F557" s="25" t="s">
        <v>26</v>
      </c>
      <c r="G557" s="26" t="s">
        <v>27</v>
      </c>
      <c r="H557" s="27">
        <v>1478.0</v>
      </c>
      <c r="I557" s="28">
        <v>5.0</v>
      </c>
      <c r="J557" s="74" t="s">
        <v>54</v>
      </c>
      <c r="K557" s="30">
        <v>0.3</v>
      </c>
      <c r="L557" s="31">
        <f t="shared" si="1"/>
        <v>1.5</v>
      </c>
      <c r="M557" s="31">
        <f t="shared" si="2"/>
        <v>3.5</v>
      </c>
      <c r="N557" s="32">
        <f t="shared" si="3"/>
        <v>443.4</v>
      </c>
      <c r="O557" s="32">
        <f t="shared" si="4"/>
        <v>1034.6</v>
      </c>
      <c r="P557" s="32">
        <f t="shared" si="5"/>
        <v>1034.6</v>
      </c>
      <c r="Q557" s="22">
        <v>0.0</v>
      </c>
      <c r="R557" s="32">
        <f t="shared" si="6"/>
        <v>295.6</v>
      </c>
      <c r="S557" s="33" t="s">
        <v>29</v>
      </c>
      <c r="T557" s="33" t="s">
        <v>30</v>
      </c>
      <c r="U557" s="34" t="s">
        <v>264</v>
      </c>
      <c r="V557" s="35"/>
      <c r="W557" s="7"/>
      <c r="X557" s="7"/>
      <c r="Y557" s="7"/>
      <c r="Z557" s="7"/>
      <c r="AA557" s="7"/>
    </row>
    <row r="558" ht="18.75" customHeight="1">
      <c r="A558" s="8" t="s">
        <v>687</v>
      </c>
      <c r="B558" s="9" t="s">
        <v>696</v>
      </c>
      <c r="C558" s="9" t="s">
        <v>24</v>
      </c>
      <c r="D558" s="10">
        <v>2713.0</v>
      </c>
      <c r="E558" s="9" t="s">
        <v>742</v>
      </c>
      <c r="F558" s="11" t="s">
        <v>37</v>
      </c>
      <c r="G558" s="12" t="s">
        <v>27</v>
      </c>
      <c r="H558" s="13">
        <v>529.0</v>
      </c>
      <c r="I558" s="14">
        <v>10.0</v>
      </c>
      <c r="J558" s="44" t="s">
        <v>54</v>
      </c>
      <c r="K558" s="16">
        <v>0.3</v>
      </c>
      <c r="L558" s="17">
        <f t="shared" si="1"/>
        <v>3</v>
      </c>
      <c r="M558" s="17">
        <f t="shared" si="2"/>
        <v>7</v>
      </c>
      <c r="N558" s="18">
        <f t="shared" si="3"/>
        <v>158.7</v>
      </c>
      <c r="O558" s="18">
        <f t="shared" si="4"/>
        <v>370.3</v>
      </c>
      <c r="P558" s="18">
        <f t="shared" si="5"/>
        <v>370.3</v>
      </c>
      <c r="Q558" s="8">
        <v>0.0</v>
      </c>
      <c r="R558" s="18">
        <f t="shared" si="6"/>
        <v>52.9</v>
      </c>
      <c r="S558" s="19" t="s">
        <v>29</v>
      </c>
      <c r="T558" s="19" t="s">
        <v>30</v>
      </c>
      <c r="U558" s="20" t="s">
        <v>275</v>
      </c>
      <c r="V558" s="37"/>
      <c r="W558" s="7"/>
      <c r="X558" s="7"/>
      <c r="Y558" s="7"/>
      <c r="Z558" s="7"/>
      <c r="AA558" s="7"/>
    </row>
    <row r="559" ht="18.75" customHeight="1">
      <c r="A559" s="22" t="s">
        <v>687</v>
      </c>
      <c r="B559" s="23" t="s">
        <v>696</v>
      </c>
      <c r="C559" s="23" t="s">
        <v>24</v>
      </c>
      <c r="D559" s="24">
        <v>2714.0</v>
      </c>
      <c r="E559" s="23" t="s">
        <v>742</v>
      </c>
      <c r="F559" s="25" t="s">
        <v>37</v>
      </c>
      <c r="G559" s="26" t="s">
        <v>27</v>
      </c>
      <c r="H559" s="27">
        <v>529.0</v>
      </c>
      <c r="I559" s="28">
        <v>10.0</v>
      </c>
      <c r="J559" s="74" t="s">
        <v>54</v>
      </c>
      <c r="K559" s="30">
        <v>0.3</v>
      </c>
      <c r="L559" s="31">
        <f t="shared" si="1"/>
        <v>3</v>
      </c>
      <c r="M559" s="31">
        <f t="shared" si="2"/>
        <v>7</v>
      </c>
      <c r="N559" s="32">
        <f t="shared" si="3"/>
        <v>158.7</v>
      </c>
      <c r="O559" s="32">
        <f t="shared" si="4"/>
        <v>370.3</v>
      </c>
      <c r="P559" s="32">
        <f t="shared" si="5"/>
        <v>370.3</v>
      </c>
      <c r="Q559" s="22">
        <v>0.0</v>
      </c>
      <c r="R559" s="32">
        <f t="shared" si="6"/>
        <v>52.9</v>
      </c>
      <c r="S559" s="33" t="s">
        <v>29</v>
      </c>
      <c r="T559" s="33" t="s">
        <v>30</v>
      </c>
      <c r="U559" s="34" t="s">
        <v>275</v>
      </c>
      <c r="V559" s="35"/>
      <c r="W559" s="7"/>
      <c r="X559" s="7"/>
      <c r="Y559" s="7"/>
      <c r="Z559" s="7"/>
      <c r="AA559" s="7"/>
    </row>
    <row r="560" ht="18.75" customHeight="1">
      <c r="A560" s="8" t="s">
        <v>687</v>
      </c>
      <c r="B560" s="9" t="s">
        <v>696</v>
      </c>
      <c r="C560" s="9" t="s">
        <v>24</v>
      </c>
      <c r="D560" s="10">
        <v>2715.0</v>
      </c>
      <c r="E560" s="9" t="s">
        <v>742</v>
      </c>
      <c r="F560" s="11" t="s">
        <v>37</v>
      </c>
      <c r="G560" s="12" t="s">
        <v>27</v>
      </c>
      <c r="H560" s="13">
        <v>529.0</v>
      </c>
      <c r="I560" s="14">
        <v>10.0</v>
      </c>
      <c r="J560" s="44" t="s">
        <v>54</v>
      </c>
      <c r="K560" s="16">
        <v>0.3</v>
      </c>
      <c r="L560" s="17">
        <f t="shared" si="1"/>
        <v>3</v>
      </c>
      <c r="M560" s="17">
        <f t="shared" si="2"/>
        <v>7</v>
      </c>
      <c r="N560" s="18">
        <f t="shared" si="3"/>
        <v>158.7</v>
      </c>
      <c r="O560" s="18">
        <f t="shared" si="4"/>
        <v>370.3</v>
      </c>
      <c r="P560" s="18">
        <f t="shared" si="5"/>
        <v>370.3</v>
      </c>
      <c r="Q560" s="8">
        <v>0.0</v>
      </c>
      <c r="R560" s="18">
        <f t="shared" si="6"/>
        <v>52.9</v>
      </c>
      <c r="S560" s="19" t="s">
        <v>29</v>
      </c>
      <c r="T560" s="19" t="s">
        <v>30</v>
      </c>
      <c r="U560" s="20" t="s">
        <v>275</v>
      </c>
      <c r="V560" s="37"/>
      <c r="W560" s="7"/>
      <c r="X560" s="7"/>
      <c r="Y560" s="7"/>
      <c r="Z560" s="7"/>
      <c r="AA560" s="7"/>
    </row>
    <row r="561" ht="18.75" customHeight="1">
      <c r="A561" s="22" t="s">
        <v>687</v>
      </c>
      <c r="B561" s="23" t="s">
        <v>696</v>
      </c>
      <c r="C561" s="23" t="s">
        <v>33</v>
      </c>
      <c r="D561" s="24">
        <v>2792.0</v>
      </c>
      <c r="E561" s="23" t="s">
        <v>743</v>
      </c>
      <c r="F561" s="25" t="s">
        <v>26</v>
      </c>
      <c r="G561" s="40"/>
      <c r="H561" s="27">
        <v>260.0</v>
      </c>
      <c r="I561" s="28">
        <v>5.0</v>
      </c>
      <c r="J561" s="72" t="s">
        <v>54</v>
      </c>
      <c r="K561" s="30">
        <v>0.3</v>
      </c>
      <c r="L561" s="31">
        <f t="shared" si="1"/>
        <v>1.5</v>
      </c>
      <c r="M561" s="31">
        <f t="shared" si="2"/>
        <v>3.5</v>
      </c>
      <c r="N561" s="32">
        <f t="shared" si="3"/>
        <v>78</v>
      </c>
      <c r="O561" s="32">
        <f t="shared" si="4"/>
        <v>182</v>
      </c>
      <c r="P561" s="32">
        <f t="shared" si="5"/>
        <v>182</v>
      </c>
      <c r="Q561" s="22">
        <v>0.0</v>
      </c>
      <c r="R561" s="32">
        <f t="shared" si="6"/>
        <v>52</v>
      </c>
      <c r="S561" s="33" t="s">
        <v>29</v>
      </c>
      <c r="T561" s="33" t="s">
        <v>30</v>
      </c>
      <c r="U561" s="38" t="s">
        <v>521</v>
      </c>
      <c r="V561" s="35"/>
      <c r="W561" s="7"/>
      <c r="X561" s="7"/>
      <c r="Y561" s="7"/>
      <c r="Z561" s="7"/>
      <c r="AA561" s="7"/>
    </row>
    <row r="562" ht="18.75" customHeight="1">
      <c r="A562" s="8" t="s">
        <v>744</v>
      </c>
      <c r="B562" s="8" t="s">
        <v>745</v>
      </c>
      <c r="C562" s="9" t="s">
        <v>33</v>
      </c>
      <c r="D562" s="10">
        <v>0.0</v>
      </c>
      <c r="E562" s="8" t="s">
        <v>746</v>
      </c>
      <c r="F562" s="11" t="s">
        <v>26</v>
      </c>
      <c r="G562" s="12" t="s">
        <v>27</v>
      </c>
      <c r="H562" s="13">
        <v>463.56</v>
      </c>
      <c r="I562" s="14">
        <v>5.0</v>
      </c>
      <c r="J562" s="15" t="s">
        <v>38</v>
      </c>
      <c r="K562" s="16">
        <v>0.5</v>
      </c>
      <c r="L562" s="17">
        <f t="shared" si="1"/>
        <v>2.5</v>
      </c>
      <c r="M562" s="17">
        <f t="shared" si="2"/>
        <v>2.5</v>
      </c>
      <c r="N562" s="18">
        <f t="shared" si="3"/>
        <v>231.78</v>
      </c>
      <c r="O562" s="18">
        <f t="shared" si="4"/>
        <v>231.78</v>
      </c>
      <c r="P562" s="18">
        <f t="shared" si="5"/>
        <v>231.78</v>
      </c>
      <c r="Q562" s="8">
        <v>0.0</v>
      </c>
      <c r="R562" s="18">
        <f t="shared" si="6"/>
        <v>92.712</v>
      </c>
      <c r="S562" s="19" t="s">
        <v>29</v>
      </c>
      <c r="T562" s="19" t="s">
        <v>30</v>
      </c>
      <c r="U562" s="20" t="s">
        <v>125</v>
      </c>
      <c r="V562" s="37"/>
      <c r="W562" s="7"/>
      <c r="X562" s="7"/>
      <c r="Y562" s="7"/>
      <c r="Z562" s="7"/>
      <c r="AA562" s="7"/>
    </row>
    <row r="563" ht="18.75" customHeight="1">
      <c r="A563" s="22" t="s">
        <v>744</v>
      </c>
      <c r="B563" s="22" t="s">
        <v>747</v>
      </c>
      <c r="C563" s="23" t="s">
        <v>33</v>
      </c>
      <c r="D563" s="24">
        <v>0.0</v>
      </c>
      <c r="E563" s="22" t="s">
        <v>748</v>
      </c>
      <c r="F563" s="25" t="s">
        <v>26</v>
      </c>
      <c r="G563" s="26" t="s">
        <v>27</v>
      </c>
      <c r="H563" s="27">
        <v>463.56</v>
      </c>
      <c r="I563" s="28">
        <v>5.0</v>
      </c>
      <c r="J563" s="29" t="s">
        <v>38</v>
      </c>
      <c r="K563" s="30">
        <v>0.5</v>
      </c>
      <c r="L563" s="31">
        <f t="shared" si="1"/>
        <v>2.5</v>
      </c>
      <c r="M563" s="31">
        <f t="shared" si="2"/>
        <v>2.5</v>
      </c>
      <c r="N563" s="32">
        <f t="shared" si="3"/>
        <v>231.78</v>
      </c>
      <c r="O563" s="32">
        <f t="shared" si="4"/>
        <v>231.78</v>
      </c>
      <c r="P563" s="32">
        <f t="shared" si="5"/>
        <v>231.78</v>
      </c>
      <c r="Q563" s="22">
        <v>0.0</v>
      </c>
      <c r="R563" s="32">
        <f t="shared" si="6"/>
        <v>92.712</v>
      </c>
      <c r="S563" s="33" t="s">
        <v>29</v>
      </c>
      <c r="T563" s="33" t="s">
        <v>30</v>
      </c>
      <c r="U563" s="34" t="s">
        <v>125</v>
      </c>
      <c r="V563" s="35"/>
      <c r="W563" s="7"/>
      <c r="X563" s="7"/>
      <c r="Y563" s="7"/>
      <c r="Z563" s="7"/>
      <c r="AA563" s="7"/>
    </row>
    <row r="564" ht="18.75" customHeight="1">
      <c r="A564" s="8" t="s">
        <v>744</v>
      </c>
      <c r="B564" s="8" t="s">
        <v>749</v>
      </c>
      <c r="C564" s="9" t="s">
        <v>145</v>
      </c>
      <c r="D564" s="10">
        <v>0.0</v>
      </c>
      <c r="E564" s="8" t="s">
        <v>750</v>
      </c>
      <c r="F564" s="11" t="s">
        <v>26</v>
      </c>
      <c r="G564" s="12" t="s">
        <v>27</v>
      </c>
      <c r="H564" s="13">
        <v>463.56</v>
      </c>
      <c r="I564" s="14">
        <v>5.0</v>
      </c>
      <c r="J564" s="48" t="s">
        <v>63</v>
      </c>
      <c r="K564" s="59">
        <v>0.700000000000003</v>
      </c>
      <c r="L564" s="17">
        <f t="shared" si="1"/>
        <v>3.5</v>
      </c>
      <c r="M564" s="17">
        <f t="shared" si="2"/>
        <v>1.5</v>
      </c>
      <c r="N564" s="18">
        <f t="shared" si="3"/>
        <v>324.492</v>
      </c>
      <c r="O564" s="18">
        <f t="shared" si="4"/>
        <v>139.068</v>
      </c>
      <c r="P564" s="18">
        <f t="shared" si="5"/>
        <v>139.068</v>
      </c>
      <c r="Q564" s="8">
        <v>0.0</v>
      </c>
      <c r="R564" s="18">
        <f t="shared" si="6"/>
        <v>92.712</v>
      </c>
      <c r="S564" s="19" t="s">
        <v>29</v>
      </c>
      <c r="T564" s="19" t="s">
        <v>30</v>
      </c>
      <c r="U564" s="20" t="s">
        <v>125</v>
      </c>
      <c r="V564" s="37"/>
      <c r="W564" s="7"/>
      <c r="X564" s="7"/>
      <c r="Y564" s="7"/>
      <c r="Z564" s="7"/>
      <c r="AA564" s="7"/>
    </row>
    <row r="565" ht="18.75" customHeight="1">
      <c r="A565" s="22" t="s">
        <v>744</v>
      </c>
      <c r="B565" s="22" t="s">
        <v>751</v>
      </c>
      <c r="C565" s="23" t="s">
        <v>33</v>
      </c>
      <c r="D565" s="24">
        <v>0.0</v>
      </c>
      <c r="E565" s="22" t="s">
        <v>752</v>
      </c>
      <c r="F565" s="25" t="s">
        <v>26</v>
      </c>
      <c r="G565" s="26" t="s">
        <v>27</v>
      </c>
      <c r="H565" s="27">
        <v>651.75</v>
      </c>
      <c r="I565" s="28">
        <v>5.0</v>
      </c>
      <c r="J565" s="29" t="s">
        <v>38</v>
      </c>
      <c r="K565" s="30">
        <v>0.5</v>
      </c>
      <c r="L565" s="31">
        <f t="shared" si="1"/>
        <v>2.5</v>
      </c>
      <c r="M565" s="31">
        <f t="shared" si="2"/>
        <v>2.5</v>
      </c>
      <c r="N565" s="32">
        <f t="shared" si="3"/>
        <v>325.875</v>
      </c>
      <c r="O565" s="32">
        <f t="shared" si="4"/>
        <v>325.875</v>
      </c>
      <c r="P565" s="32">
        <f t="shared" si="5"/>
        <v>325.875</v>
      </c>
      <c r="Q565" s="22">
        <v>0.0</v>
      </c>
      <c r="R565" s="32">
        <f t="shared" si="6"/>
        <v>130.35</v>
      </c>
      <c r="S565" s="33" t="s">
        <v>29</v>
      </c>
      <c r="T565" s="33" t="s">
        <v>30</v>
      </c>
      <c r="U565" s="34" t="s">
        <v>121</v>
      </c>
      <c r="V565" s="35"/>
      <c r="W565" s="7"/>
      <c r="X565" s="7"/>
      <c r="Y565" s="7"/>
      <c r="Z565" s="7"/>
      <c r="AA565" s="7"/>
    </row>
    <row r="566" ht="18.75" customHeight="1">
      <c r="A566" s="8" t="s">
        <v>744</v>
      </c>
      <c r="B566" s="8" t="s">
        <v>753</v>
      </c>
      <c r="C566" s="9" t="s">
        <v>145</v>
      </c>
      <c r="D566" s="10">
        <v>0.0</v>
      </c>
      <c r="E566" s="8" t="s">
        <v>754</v>
      </c>
      <c r="F566" s="11" t="s">
        <v>26</v>
      </c>
      <c r="G566" s="12" t="s">
        <v>27</v>
      </c>
      <c r="H566" s="13">
        <v>651.75</v>
      </c>
      <c r="I566" s="14">
        <v>5.0</v>
      </c>
      <c r="J566" s="48" t="s">
        <v>63</v>
      </c>
      <c r="K566" s="16">
        <v>0.700000000000003</v>
      </c>
      <c r="L566" s="17">
        <f t="shared" si="1"/>
        <v>3.5</v>
      </c>
      <c r="M566" s="17">
        <f t="shared" si="2"/>
        <v>1.5</v>
      </c>
      <c r="N566" s="18">
        <f t="shared" si="3"/>
        <v>456.225</v>
      </c>
      <c r="O566" s="18">
        <f t="shared" si="4"/>
        <v>195.525</v>
      </c>
      <c r="P566" s="18">
        <f t="shared" si="5"/>
        <v>195.525</v>
      </c>
      <c r="Q566" s="8">
        <v>0.0</v>
      </c>
      <c r="R566" s="18">
        <f t="shared" si="6"/>
        <v>130.35</v>
      </c>
      <c r="S566" s="19" t="s">
        <v>29</v>
      </c>
      <c r="T566" s="19" t="s">
        <v>30</v>
      </c>
      <c r="U566" s="20" t="s">
        <v>121</v>
      </c>
      <c r="V566" s="37"/>
      <c r="W566" s="7"/>
      <c r="X566" s="7"/>
      <c r="Y566" s="7"/>
      <c r="Z566" s="7"/>
      <c r="AA566" s="7"/>
    </row>
    <row r="567" ht="18.75" customHeight="1">
      <c r="A567" s="22" t="s">
        <v>744</v>
      </c>
      <c r="B567" s="22" t="s">
        <v>755</v>
      </c>
      <c r="C567" s="23" t="s">
        <v>145</v>
      </c>
      <c r="D567" s="24">
        <v>0.0</v>
      </c>
      <c r="E567" s="22" t="s">
        <v>756</v>
      </c>
      <c r="F567" s="25" t="s">
        <v>26</v>
      </c>
      <c r="G567" s="26" t="s">
        <v>27</v>
      </c>
      <c r="H567" s="27">
        <v>651.75</v>
      </c>
      <c r="I567" s="28">
        <v>5.0</v>
      </c>
      <c r="J567" s="45" t="s">
        <v>63</v>
      </c>
      <c r="K567" s="30">
        <v>0.700000000000003</v>
      </c>
      <c r="L567" s="31">
        <f t="shared" si="1"/>
        <v>3.5</v>
      </c>
      <c r="M567" s="31">
        <f t="shared" si="2"/>
        <v>1.5</v>
      </c>
      <c r="N567" s="32">
        <f t="shared" si="3"/>
        <v>456.225</v>
      </c>
      <c r="O567" s="32">
        <f t="shared" si="4"/>
        <v>195.525</v>
      </c>
      <c r="P567" s="32">
        <f t="shared" si="5"/>
        <v>195.525</v>
      </c>
      <c r="Q567" s="22">
        <v>0.0</v>
      </c>
      <c r="R567" s="32">
        <f t="shared" si="6"/>
        <v>130.35</v>
      </c>
      <c r="S567" s="33" t="s">
        <v>29</v>
      </c>
      <c r="T567" s="33" t="s">
        <v>30</v>
      </c>
      <c r="U567" s="34" t="s">
        <v>121</v>
      </c>
      <c r="V567" s="35"/>
      <c r="W567" s="7"/>
      <c r="X567" s="7"/>
      <c r="Y567" s="7"/>
      <c r="Z567" s="7"/>
      <c r="AA567" s="7"/>
    </row>
    <row r="568" ht="18.75" customHeight="1">
      <c r="A568" s="8" t="s">
        <v>744</v>
      </c>
      <c r="B568" s="8" t="s">
        <v>757</v>
      </c>
      <c r="C568" s="9" t="s">
        <v>33</v>
      </c>
      <c r="D568" s="10">
        <v>0.0</v>
      </c>
      <c r="E568" s="8" t="s">
        <v>758</v>
      </c>
      <c r="F568" s="11" t="s">
        <v>26</v>
      </c>
      <c r="G568" s="12" t="s">
        <v>27</v>
      </c>
      <c r="H568" s="13">
        <v>576.47</v>
      </c>
      <c r="I568" s="14">
        <v>5.0</v>
      </c>
      <c r="J568" s="15" t="s">
        <v>38</v>
      </c>
      <c r="K568" s="16">
        <v>0.5</v>
      </c>
      <c r="L568" s="17">
        <f t="shared" si="1"/>
        <v>2.5</v>
      </c>
      <c r="M568" s="17">
        <f t="shared" si="2"/>
        <v>2.5</v>
      </c>
      <c r="N568" s="18">
        <f t="shared" si="3"/>
        <v>288.235</v>
      </c>
      <c r="O568" s="18">
        <f t="shared" si="4"/>
        <v>288.235</v>
      </c>
      <c r="P568" s="18">
        <f t="shared" si="5"/>
        <v>288.235</v>
      </c>
      <c r="Q568" s="8">
        <v>0.0</v>
      </c>
      <c r="R568" s="18">
        <f t="shared" si="6"/>
        <v>115.294</v>
      </c>
      <c r="S568" s="19" t="s">
        <v>29</v>
      </c>
      <c r="T568" s="19" t="s">
        <v>30</v>
      </c>
      <c r="U568" s="20" t="s">
        <v>114</v>
      </c>
      <c r="V568" s="37"/>
      <c r="W568" s="7"/>
      <c r="X568" s="7"/>
      <c r="Y568" s="7"/>
      <c r="Z568" s="7"/>
      <c r="AA568" s="7"/>
    </row>
    <row r="569" ht="18.75" customHeight="1">
      <c r="A569" s="22" t="s">
        <v>744</v>
      </c>
      <c r="B569" s="22" t="s">
        <v>759</v>
      </c>
      <c r="C569" s="23" t="s">
        <v>33</v>
      </c>
      <c r="D569" s="24">
        <v>0.0</v>
      </c>
      <c r="E569" s="22" t="s">
        <v>760</v>
      </c>
      <c r="F569" s="25" t="s">
        <v>26</v>
      </c>
      <c r="G569" s="26" t="s">
        <v>27</v>
      </c>
      <c r="H569" s="27">
        <v>576.47</v>
      </c>
      <c r="I569" s="28">
        <v>5.0</v>
      </c>
      <c r="J569" s="29" t="s">
        <v>38</v>
      </c>
      <c r="K569" s="30">
        <v>0.5</v>
      </c>
      <c r="L569" s="31">
        <f t="shared" si="1"/>
        <v>2.5</v>
      </c>
      <c r="M569" s="31">
        <f t="shared" si="2"/>
        <v>2.5</v>
      </c>
      <c r="N569" s="32">
        <f t="shared" si="3"/>
        <v>288.235</v>
      </c>
      <c r="O569" s="32">
        <f t="shared" si="4"/>
        <v>288.235</v>
      </c>
      <c r="P569" s="32">
        <f t="shared" si="5"/>
        <v>288.235</v>
      </c>
      <c r="Q569" s="22">
        <v>0.0</v>
      </c>
      <c r="R569" s="32">
        <f t="shared" si="6"/>
        <v>115.294</v>
      </c>
      <c r="S569" s="33" t="s">
        <v>29</v>
      </c>
      <c r="T569" s="33" t="s">
        <v>30</v>
      </c>
      <c r="U569" s="34" t="s">
        <v>114</v>
      </c>
      <c r="V569" s="35"/>
      <c r="W569" s="7"/>
      <c r="X569" s="7"/>
      <c r="Y569" s="7"/>
      <c r="Z569" s="7"/>
      <c r="AA569" s="7"/>
    </row>
    <row r="570" ht="18.75" customHeight="1">
      <c r="A570" s="8" t="s">
        <v>744</v>
      </c>
      <c r="B570" s="8" t="s">
        <v>761</v>
      </c>
      <c r="C570" s="9" t="s">
        <v>33</v>
      </c>
      <c r="D570" s="10">
        <v>318.0</v>
      </c>
      <c r="E570" s="8" t="s">
        <v>762</v>
      </c>
      <c r="F570" s="11" t="s">
        <v>26</v>
      </c>
      <c r="G570" s="12" t="s">
        <v>27</v>
      </c>
      <c r="H570" s="13">
        <v>328.8</v>
      </c>
      <c r="I570" s="14">
        <v>5.0</v>
      </c>
      <c r="J570" s="46" t="s">
        <v>63</v>
      </c>
      <c r="K570" s="59">
        <v>0.700000000000003</v>
      </c>
      <c r="L570" s="17">
        <f t="shared" si="1"/>
        <v>3.5</v>
      </c>
      <c r="M570" s="17">
        <f t="shared" si="2"/>
        <v>1.5</v>
      </c>
      <c r="N570" s="18">
        <f t="shared" si="3"/>
        <v>230.16</v>
      </c>
      <c r="O570" s="18">
        <f t="shared" si="4"/>
        <v>98.64</v>
      </c>
      <c r="P570" s="18">
        <f t="shared" si="5"/>
        <v>98.64</v>
      </c>
      <c r="Q570" s="8">
        <v>0.0</v>
      </c>
      <c r="R570" s="18">
        <f t="shared" si="6"/>
        <v>65.76</v>
      </c>
      <c r="S570" s="19" t="s">
        <v>29</v>
      </c>
      <c r="T570" s="19" t="s">
        <v>30</v>
      </c>
      <c r="U570" s="20" t="s">
        <v>344</v>
      </c>
      <c r="V570" s="37"/>
      <c r="W570" s="7"/>
      <c r="X570" s="7"/>
      <c r="Y570" s="7"/>
      <c r="Z570" s="7"/>
      <c r="AA570" s="7"/>
    </row>
    <row r="571" ht="18.75" customHeight="1">
      <c r="A571" s="22" t="s">
        <v>744</v>
      </c>
      <c r="B571" s="22" t="s">
        <v>763</v>
      </c>
      <c r="C571" s="23" t="s">
        <v>433</v>
      </c>
      <c r="D571" s="24">
        <v>443.0</v>
      </c>
      <c r="E571" s="22" t="s">
        <v>764</v>
      </c>
      <c r="F571" s="25" t="s">
        <v>202</v>
      </c>
      <c r="G571" s="26" t="s">
        <v>27</v>
      </c>
      <c r="H571" s="27">
        <v>205.0</v>
      </c>
      <c r="I571" s="28">
        <v>5.0</v>
      </c>
      <c r="J571" s="29" t="s">
        <v>38</v>
      </c>
      <c r="K571" s="30">
        <v>0.5</v>
      </c>
      <c r="L571" s="31">
        <f t="shared" si="1"/>
        <v>2.5</v>
      </c>
      <c r="M571" s="31">
        <f t="shared" si="2"/>
        <v>2.5</v>
      </c>
      <c r="N571" s="32">
        <f t="shared" si="3"/>
        <v>102.5</v>
      </c>
      <c r="O571" s="32">
        <f t="shared" si="4"/>
        <v>102.5</v>
      </c>
      <c r="P571" s="32">
        <f t="shared" si="5"/>
        <v>102.5</v>
      </c>
      <c r="Q571" s="22">
        <v>0.0</v>
      </c>
      <c r="R571" s="32">
        <f t="shared" si="6"/>
        <v>41</v>
      </c>
      <c r="S571" s="33" t="s">
        <v>29</v>
      </c>
      <c r="T571" s="33" t="s">
        <v>30</v>
      </c>
      <c r="U571" s="34" t="s">
        <v>216</v>
      </c>
      <c r="V571" s="35"/>
      <c r="W571" s="7"/>
      <c r="X571" s="7"/>
      <c r="Y571" s="7"/>
      <c r="Z571" s="7"/>
      <c r="AA571" s="7"/>
    </row>
    <row r="572" ht="18.75" customHeight="1">
      <c r="A572" s="8" t="s">
        <v>744</v>
      </c>
      <c r="B572" s="8" t="s">
        <v>765</v>
      </c>
      <c r="C572" s="9" t="s">
        <v>145</v>
      </c>
      <c r="D572" s="50">
        <v>473.0</v>
      </c>
      <c r="E572" s="8" t="s">
        <v>766</v>
      </c>
      <c r="F572" s="11" t="s">
        <v>26</v>
      </c>
      <c r="G572" s="12" t="s">
        <v>27</v>
      </c>
      <c r="H572" s="13">
        <v>4263.9</v>
      </c>
      <c r="I572" s="14">
        <v>10.0</v>
      </c>
      <c r="J572" s="15" t="s">
        <v>38</v>
      </c>
      <c r="K572" s="16">
        <v>0.5</v>
      </c>
      <c r="L572" s="17">
        <f t="shared" si="1"/>
        <v>5</v>
      </c>
      <c r="M572" s="17">
        <f t="shared" si="2"/>
        <v>5</v>
      </c>
      <c r="N572" s="18">
        <f t="shared" si="3"/>
        <v>2131.95</v>
      </c>
      <c r="O572" s="18">
        <f t="shared" si="4"/>
        <v>2131.95</v>
      </c>
      <c r="P572" s="18">
        <f t="shared" si="5"/>
        <v>2131.95</v>
      </c>
      <c r="Q572" s="8">
        <v>0.0</v>
      </c>
      <c r="R572" s="18">
        <f t="shared" si="6"/>
        <v>426.39</v>
      </c>
      <c r="S572" s="19" t="s">
        <v>29</v>
      </c>
      <c r="T572" s="19" t="s">
        <v>30</v>
      </c>
      <c r="U572" s="20" t="s">
        <v>767</v>
      </c>
      <c r="V572" s="37"/>
      <c r="W572" s="7"/>
      <c r="X572" s="7"/>
      <c r="Y572" s="7"/>
      <c r="Z572" s="7"/>
      <c r="AA572" s="7"/>
    </row>
    <row r="573" ht="18.75" customHeight="1">
      <c r="A573" s="22" t="s">
        <v>744</v>
      </c>
      <c r="B573" s="22" t="s">
        <v>768</v>
      </c>
      <c r="C573" s="23" t="s">
        <v>433</v>
      </c>
      <c r="D573" s="24">
        <v>1106.0</v>
      </c>
      <c r="E573" s="22" t="s">
        <v>769</v>
      </c>
      <c r="F573" s="25" t="s">
        <v>37</v>
      </c>
      <c r="G573" s="26" t="s">
        <v>27</v>
      </c>
      <c r="H573" s="27">
        <v>1300.12</v>
      </c>
      <c r="I573" s="28">
        <v>15.0</v>
      </c>
      <c r="J573" s="29" t="s">
        <v>28</v>
      </c>
      <c r="K573" s="30">
        <v>0.4</v>
      </c>
      <c r="L573" s="31">
        <f t="shared" si="1"/>
        <v>6</v>
      </c>
      <c r="M573" s="31">
        <f t="shared" si="2"/>
        <v>9</v>
      </c>
      <c r="N573" s="32">
        <f t="shared" si="3"/>
        <v>520.048</v>
      </c>
      <c r="O573" s="32">
        <f t="shared" si="4"/>
        <v>780.072</v>
      </c>
      <c r="P573" s="32">
        <f t="shared" si="5"/>
        <v>780.072</v>
      </c>
      <c r="Q573" s="22">
        <v>0.0</v>
      </c>
      <c r="R573" s="32">
        <f t="shared" si="6"/>
        <v>86.67466667</v>
      </c>
      <c r="S573" s="33" t="s">
        <v>29</v>
      </c>
      <c r="T573" s="33" t="s">
        <v>30</v>
      </c>
      <c r="U573" s="34" t="s">
        <v>459</v>
      </c>
      <c r="V573" s="35"/>
      <c r="W573" s="7"/>
      <c r="X573" s="7"/>
      <c r="Y573" s="7"/>
      <c r="Z573" s="7"/>
      <c r="AA573" s="7"/>
    </row>
    <row r="574" ht="18.75" customHeight="1">
      <c r="A574" s="8" t="s">
        <v>744</v>
      </c>
      <c r="B574" s="8" t="s">
        <v>770</v>
      </c>
      <c r="C574" s="9" t="s">
        <v>33</v>
      </c>
      <c r="D574" s="10">
        <v>1146.0</v>
      </c>
      <c r="E574" s="8" t="s">
        <v>771</v>
      </c>
      <c r="F574" s="11" t="s">
        <v>26</v>
      </c>
      <c r="G574" s="12" t="s">
        <v>27</v>
      </c>
      <c r="H574" s="13">
        <v>15638.9</v>
      </c>
      <c r="I574" s="14">
        <v>10.0</v>
      </c>
      <c r="J574" s="15" t="s">
        <v>28</v>
      </c>
      <c r="K574" s="16">
        <v>0.4</v>
      </c>
      <c r="L574" s="17">
        <f t="shared" si="1"/>
        <v>4</v>
      </c>
      <c r="M574" s="17">
        <f t="shared" si="2"/>
        <v>6</v>
      </c>
      <c r="N574" s="18">
        <f t="shared" si="3"/>
        <v>6255.56</v>
      </c>
      <c r="O574" s="18">
        <f t="shared" si="4"/>
        <v>9383.34</v>
      </c>
      <c r="P574" s="18">
        <f t="shared" si="5"/>
        <v>9383.34</v>
      </c>
      <c r="Q574" s="8">
        <v>0.0</v>
      </c>
      <c r="R574" s="18">
        <f t="shared" si="6"/>
        <v>1563.89</v>
      </c>
      <c r="S574" s="19" t="s">
        <v>29</v>
      </c>
      <c r="T574" s="19" t="s">
        <v>30</v>
      </c>
      <c r="U574" s="20" t="s">
        <v>35</v>
      </c>
      <c r="V574" s="37"/>
      <c r="W574" s="7"/>
      <c r="X574" s="7"/>
      <c r="Y574" s="7"/>
      <c r="Z574" s="7"/>
      <c r="AA574" s="7"/>
    </row>
    <row r="575" ht="18.75" customHeight="1">
      <c r="A575" s="22" t="s">
        <v>744</v>
      </c>
      <c r="B575" s="22" t="s">
        <v>772</v>
      </c>
      <c r="C575" s="23" t="s">
        <v>708</v>
      </c>
      <c r="D575" s="24">
        <v>1147.0</v>
      </c>
      <c r="E575" s="22" t="s">
        <v>773</v>
      </c>
      <c r="F575" s="25" t="s">
        <v>26</v>
      </c>
      <c r="G575" s="26" t="s">
        <v>27</v>
      </c>
      <c r="H575" s="27">
        <v>531.9</v>
      </c>
      <c r="I575" s="28">
        <v>10.0</v>
      </c>
      <c r="J575" s="29" t="s">
        <v>54</v>
      </c>
      <c r="K575" s="30">
        <v>0.3</v>
      </c>
      <c r="L575" s="31">
        <f t="shared" si="1"/>
        <v>3</v>
      </c>
      <c r="M575" s="31">
        <f t="shared" si="2"/>
        <v>7</v>
      </c>
      <c r="N575" s="32">
        <f t="shared" si="3"/>
        <v>159.57</v>
      </c>
      <c r="O575" s="32">
        <f t="shared" si="4"/>
        <v>372.33</v>
      </c>
      <c r="P575" s="32">
        <f t="shared" si="5"/>
        <v>372.33</v>
      </c>
      <c r="Q575" s="22">
        <v>0.0</v>
      </c>
      <c r="R575" s="32">
        <f t="shared" si="6"/>
        <v>53.19</v>
      </c>
      <c r="S575" s="33" t="s">
        <v>29</v>
      </c>
      <c r="T575" s="33" t="s">
        <v>30</v>
      </c>
      <c r="U575" s="34" t="s">
        <v>191</v>
      </c>
      <c r="V575" s="35"/>
      <c r="W575" s="7"/>
      <c r="X575" s="7"/>
      <c r="Y575" s="7"/>
      <c r="Z575" s="7"/>
      <c r="AA575" s="7"/>
    </row>
    <row r="576" ht="18.75" customHeight="1">
      <c r="A576" s="8" t="s">
        <v>744</v>
      </c>
      <c r="B576" s="8" t="s">
        <v>774</v>
      </c>
      <c r="C576" s="9" t="s">
        <v>708</v>
      </c>
      <c r="D576" s="10">
        <v>1148.0</v>
      </c>
      <c r="E576" s="8" t="s">
        <v>775</v>
      </c>
      <c r="F576" s="11" t="s">
        <v>26</v>
      </c>
      <c r="G576" s="12" t="s">
        <v>27</v>
      </c>
      <c r="H576" s="13">
        <v>37.9</v>
      </c>
      <c r="I576" s="14">
        <v>5.0</v>
      </c>
      <c r="J576" s="15" t="s">
        <v>38</v>
      </c>
      <c r="K576" s="16">
        <v>0.5</v>
      </c>
      <c r="L576" s="17">
        <f t="shared" si="1"/>
        <v>2.5</v>
      </c>
      <c r="M576" s="17">
        <f t="shared" si="2"/>
        <v>2.5</v>
      </c>
      <c r="N576" s="18">
        <f t="shared" si="3"/>
        <v>18.95</v>
      </c>
      <c r="O576" s="18">
        <f t="shared" si="4"/>
        <v>18.95</v>
      </c>
      <c r="P576" s="18">
        <f t="shared" si="5"/>
        <v>18.95</v>
      </c>
      <c r="Q576" s="8">
        <v>0.0</v>
      </c>
      <c r="R576" s="18">
        <f t="shared" si="6"/>
        <v>7.58</v>
      </c>
      <c r="S576" s="19" t="s">
        <v>29</v>
      </c>
      <c r="T576" s="19" t="s">
        <v>30</v>
      </c>
      <c r="U576" s="20" t="s">
        <v>302</v>
      </c>
      <c r="V576" s="37"/>
      <c r="W576" s="7"/>
      <c r="X576" s="7"/>
      <c r="Y576" s="7"/>
      <c r="Z576" s="7"/>
      <c r="AA576" s="7"/>
    </row>
    <row r="577" ht="18.75" customHeight="1">
      <c r="A577" s="22" t="s">
        <v>744</v>
      </c>
      <c r="B577" s="22" t="s">
        <v>776</v>
      </c>
      <c r="C577" s="23" t="s">
        <v>708</v>
      </c>
      <c r="D577" s="24">
        <v>1149.0</v>
      </c>
      <c r="E577" s="22" t="s">
        <v>777</v>
      </c>
      <c r="F577" s="25" t="s">
        <v>37</v>
      </c>
      <c r="G577" s="26" t="s">
        <v>27</v>
      </c>
      <c r="H577" s="27">
        <v>101.86</v>
      </c>
      <c r="I577" s="28">
        <v>10.0</v>
      </c>
      <c r="J577" s="29" t="s">
        <v>38</v>
      </c>
      <c r="K577" s="30">
        <v>0.5</v>
      </c>
      <c r="L577" s="31">
        <f t="shared" si="1"/>
        <v>5</v>
      </c>
      <c r="M577" s="31">
        <f t="shared" si="2"/>
        <v>5</v>
      </c>
      <c r="N577" s="32">
        <f t="shared" si="3"/>
        <v>50.93</v>
      </c>
      <c r="O577" s="32">
        <f t="shared" si="4"/>
        <v>50.93</v>
      </c>
      <c r="P577" s="32">
        <f t="shared" si="5"/>
        <v>50.93</v>
      </c>
      <c r="Q577" s="22">
        <v>0.0</v>
      </c>
      <c r="R577" s="32">
        <f t="shared" si="6"/>
        <v>10.186</v>
      </c>
      <c r="S577" s="33" t="s">
        <v>29</v>
      </c>
      <c r="T577" s="33" t="s">
        <v>30</v>
      </c>
      <c r="U577" s="38" t="s">
        <v>544</v>
      </c>
      <c r="V577" s="35"/>
      <c r="W577" s="7"/>
      <c r="X577" s="7"/>
      <c r="Y577" s="7"/>
      <c r="Z577" s="7"/>
      <c r="AA577" s="7"/>
    </row>
    <row r="578" ht="18.75" customHeight="1">
      <c r="A578" s="8" t="s">
        <v>744</v>
      </c>
      <c r="B578" s="8" t="s">
        <v>778</v>
      </c>
      <c r="C578" s="9" t="s">
        <v>708</v>
      </c>
      <c r="D578" s="10">
        <v>1150.0</v>
      </c>
      <c r="E578" s="8" t="s">
        <v>779</v>
      </c>
      <c r="F578" s="11" t="s">
        <v>37</v>
      </c>
      <c r="G578" s="12" t="s">
        <v>27</v>
      </c>
      <c r="H578" s="13">
        <v>338.58</v>
      </c>
      <c r="I578" s="14">
        <v>10.0</v>
      </c>
      <c r="J578" s="15" t="s">
        <v>54</v>
      </c>
      <c r="K578" s="16">
        <v>0.3</v>
      </c>
      <c r="L578" s="17">
        <f t="shared" si="1"/>
        <v>3</v>
      </c>
      <c r="M578" s="17">
        <f t="shared" si="2"/>
        <v>7</v>
      </c>
      <c r="N578" s="18">
        <f t="shared" si="3"/>
        <v>101.574</v>
      </c>
      <c r="O578" s="18">
        <f t="shared" si="4"/>
        <v>237.006</v>
      </c>
      <c r="P578" s="18">
        <f t="shared" si="5"/>
        <v>237.006</v>
      </c>
      <c r="Q578" s="8">
        <v>0.0</v>
      </c>
      <c r="R578" s="18">
        <f t="shared" si="6"/>
        <v>33.858</v>
      </c>
      <c r="S578" s="19" t="s">
        <v>29</v>
      </c>
      <c r="T578" s="19" t="s">
        <v>30</v>
      </c>
      <c r="U578" s="20" t="s">
        <v>304</v>
      </c>
      <c r="V578" s="37"/>
      <c r="W578" s="7"/>
      <c r="X578" s="7"/>
      <c r="Y578" s="7"/>
      <c r="Z578" s="7"/>
      <c r="AA578" s="7"/>
    </row>
    <row r="579" ht="18.75" customHeight="1">
      <c r="A579" s="22" t="s">
        <v>744</v>
      </c>
      <c r="B579" s="22" t="s">
        <v>780</v>
      </c>
      <c r="C579" s="23" t="s">
        <v>708</v>
      </c>
      <c r="D579" s="24">
        <v>1151.0</v>
      </c>
      <c r="E579" s="22" t="s">
        <v>781</v>
      </c>
      <c r="F579" s="25" t="s">
        <v>37</v>
      </c>
      <c r="G579" s="26" t="s">
        <v>27</v>
      </c>
      <c r="H579" s="27">
        <v>233.99</v>
      </c>
      <c r="I579" s="28">
        <v>10.0</v>
      </c>
      <c r="J579" s="29" t="s">
        <v>54</v>
      </c>
      <c r="K579" s="30">
        <v>0.3</v>
      </c>
      <c r="L579" s="31">
        <f t="shared" si="1"/>
        <v>3</v>
      </c>
      <c r="M579" s="31">
        <f t="shared" si="2"/>
        <v>7</v>
      </c>
      <c r="N579" s="32">
        <f t="shared" si="3"/>
        <v>70.197</v>
      </c>
      <c r="O579" s="32">
        <f t="shared" si="4"/>
        <v>163.793</v>
      </c>
      <c r="P579" s="32">
        <f t="shared" si="5"/>
        <v>163.793</v>
      </c>
      <c r="Q579" s="22">
        <v>0.0</v>
      </c>
      <c r="R579" s="32">
        <f t="shared" si="6"/>
        <v>23.399</v>
      </c>
      <c r="S579" s="33" t="s">
        <v>29</v>
      </c>
      <c r="T579" s="33" t="s">
        <v>30</v>
      </c>
      <c r="U579" s="34" t="s">
        <v>75</v>
      </c>
      <c r="V579" s="35"/>
      <c r="W579" s="7"/>
      <c r="X579" s="7"/>
      <c r="Y579" s="7"/>
      <c r="Z579" s="7"/>
      <c r="AA579" s="7"/>
    </row>
    <row r="580" ht="18.75" customHeight="1">
      <c r="A580" s="8" t="s">
        <v>744</v>
      </c>
      <c r="B580" s="8" t="s">
        <v>782</v>
      </c>
      <c r="C580" s="9" t="s">
        <v>708</v>
      </c>
      <c r="D580" s="10">
        <v>1152.0</v>
      </c>
      <c r="E580" s="8" t="s">
        <v>783</v>
      </c>
      <c r="F580" s="11" t="s">
        <v>37</v>
      </c>
      <c r="G580" s="12" t="s">
        <v>27</v>
      </c>
      <c r="H580" s="13">
        <v>578.76</v>
      </c>
      <c r="I580" s="14">
        <v>10.0</v>
      </c>
      <c r="J580" s="15" t="s">
        <v>54</v>
      </c>
      <c r="K580" s="16">
        <v>0.3</v>
      </c>
      <c r="L580" s="17">
        <f t="shared" si="1"/>
        <v>3</v>
      </c>
      <c r="M580" s="17">
        <f t="shared" si="2"/>
        <v>7</v>
      </c>
      <c r="N580" s="18">
        <f t="shared" si="3"/>
        <v>173.628</v>
      </c>
      <c r="O580" s="18">
        <f t="shared" si="4"/>
        <v>405.132</v>
      </c>
      <c r="P580" s="18">
        <f t="shared" si="5"/>
        <v>405.132</v>
      </c>
      <c r="Q580" s="8">
        <v>0.0</v>
      </c>
      <c r="R580" s="18">
        <f t="shared" si="6"/>
        <v>57.876</v>
      </c>
      <c r="S580" s="19" t="s">
        <v>29</v>
      </c>
      <c r="T580" s="19" t="s">
        <v>30</v>
      </c>
      <c r="U580" s="36" t="s">
        <v>784</v>
      </c>
      <c r="V580" s="37"/>
      <c r="W580" s="7"/>
      <c r="X580" s="7"/>
      <c r="Y580" s="7"/>
      <c r="Z580" s="7"/>
      <c r="AA580" s="7"/>
    </row>
    <row r="581" ht="18.75" customHeight="1">
      <c r="A581" s="22" t="s">
        <v>744</v>
      </c>
      <c r="B581" s="22" t="s">
        <v>785</v>
      </c>
      <c r="C581" s="23" t="s">
        <v>433</v>
      </c>
      <c r="D581" s="24">
        <v>1153.0</v>
      </c>
      <c r="E581" s="22" t="s">
        <v>786</v>
      </c>
      <c r="F581" s="25" t="s">
        <v>37</v>
      </c>
      <c r="G581" s="26" t="s">
        <v>27</v>
      </c>
      <c r="H581" s="27">
        <v>332.91</v>
      </c>
      <c r="I581" s="28">
        <v>10.0</v>
      </c>
      <c r="J581" s="29" t="s">
        <v>54</v>
      </c>
      <c r="K581" s="30">
        <v>0.3</v>
      </c>
      <c r="L581" s="31">
        <f t="shared" si="1"/>
        <v>3</v>
      </c>
      <c r="M581" s="31">
        <f t="shared" si="2"/>
        <v>7</v>
      </c>
      <c r="N581" s="32">
        <f t="shared" si="3"/>
        <v>99.873</v>
      </c>
      <c r="O581" s="32">
        <f t="shared" si="4"/>
        <v>233.037</v>
      </c>
      <c r="P581" s="32">
        <f t="shared" si="5"/>
        <v>233.037</v>
      </c>
      <c r="Q581" s="22">
        <v>0.0</v>
      </c>
      <c r="R581" s="32">
        <f t="shared" si="6"/>
        <v>33.291</v>
      </c>
      <c r="S581" s="33" t="s">
        <v>29</v>
      </c>
      <c r="T581" s="33" t="s">
        <v>30</v>
      </c>
      <c r="U581" s="38" t="s">
        <v>787</v>
      </c>
      <c r="V581" s="35"/>
      <c r="W581" s="7"/>
      <c r="X581" s="7"/>
      <c r="Y581" s="7"/>
      <c r="Z581" s="7"/>
      <c r="AA581" s="7"/>
    </row>
    <row r="582" ht="18.75" customHeight="1">
      <c r="A582" s="8" t="s">
        <v>744</v>
      </c>
      <c r="B582" s="8" t="s">
        <v>788</v>
      </c>
      <c r="C582" s="9" t="s">
        <v>708</v>
      </c>
      <c r="D582" s="10">
        <v>1154.0</v>
      </c>
      <c r="E582" s="8" t="s">
        <v>789</v>
      </c>
      <c r="F582" s="11" t="s">
        <v>37</v>
      </c>
      <c r="G582" s="12" t="s">
        <v>27</v>
      </c>
      <c r="H582" s="13">
        <v>285.0</v>
      </c>
      <c r="I582" s="14">
        <v>10.0</v>
      </c>
      <c r="J582" s="15" t="s">
        <v>54</v>
      </c>
      <c r="K582" s="16">
        <v>0.3</v>
      </c>
      <c r="L582" s="17">
        <f t="shared" si="1"/>
        <v>3</v>
      </c>
      <c r="M582" s="17">
        <f t="shared" si="2"/>
        <v>7</v>
      </c>
      <c r="N582" s="18">
        <f t="shared" si="3"/>
        <v>85.5</v>
      </c>
      <c r="O582" s="18">
        <f t="shared" si="4"/>
        <v>199.5</v>
      </c>
      <c r="P582" s="18">
        <f t="shared" si="5"/>
        <v>199.5</v>
      </c>
      <c r="Q582" s="8">
        <v>0.0</v>
      </c>
      <c r="R582" s="18">
        <f t="shared" si="6"/>
        <v>28.5</v>
      </c>
      <c r="S582" s="19" t="s">
        <v>29</v>
      </c>
      <c r="T582" s="19" t="s">
        <v>30</v>
      </c>
      <c r="U582" s="20" t="s">
        <v>527</v>
      </c>
      <c r="V582" s="37"/>
      <c r="W582" s="7"/>
      <c r="X582" s="7"/>
      <c r="Y582" s="7"/>
      <c r="Z582" s="7"/>
      <c r="AA582" s="7"/>
    </row>
    <row r="583" ht="18.75" customHeight="1">
      <c r="A583" s="22" t="s">
        <v>744</v>
      </c>
      <c r="B583" s="22" t="s">
        <v>790</v>
      </c>
      <c r="C583" s="23" t="s">
        <v>33</v>
      </c>
      <c r="D583" s="24">
        <v>1157.0</v>
      </c>
      <c r="E583" s="22" t="s">
        <v>791</v>
      </c>
      <c r="F583" s="25" t="s">
        <v>37</v>
      </c>
      <c r="G583" s="26" t="s">
        <v>27</v>
      </c>
      <c r="H583" s="27">
        <v>1044.42</v>
      </c>
      <c r="I583" s="28">
        <v>10.0</v>
      </c>
      <c r="J583" s="29" t="s">
        <v>54</v>
      </c>
      <c r="K583" s="30">
        <v>0.3</v>
      </c>
      <c r="L583" s="31">
        <f t="shared" si="1"/>
        <v>3</v>
      </c>
      <c r="M583" s="31">
        <f t="shared" si="2"/>
        <v>7</v>
      </c>
      <c r="N583" s="32">
        <f t="shared" si="3"/>
        <v>313.326</v>
      </c>
      <c r="O583" s="32">
        <f t="shared" si="4"/>
        <v>731.094</v>
      </c>
      <c r="P583" s="32">
        <f t="shared" si="5"/>
        <v>731.094</v>
      </c>
      <c r="Q583" s="22">
        <v>0.0</v>
      </c>
      <c r="R583" s="32">
        <f t="shared" si="6"/>
        <v>104.442</v>
      </c>
      <c r="S583" s="33" t="s">
        <v>29</v>
      </c>
      <c r="T583" s="33" t="s">
        <v>30</v>
      </c>
      <c r="U583" s="34" t="s">
        <v>346</v>
      </c>
      <c r="V583" s="35"/>
      <c r="W583" s="7"/>
      <c r="X583" s="7"/>
      <c r="Y583" s="7"/>
      <c r="Z583" s="7"/>
      <c r="AA583" s="7"/>
    </row>
    <row r="584" ht="18.75" customHeight="1">
      <c r="A584" s="8" t="s">
        <v>744</v>
      </c>
      <c r="B584" s="8" t="s">
        <v>792</v>
      </c>
      <c r="C584" s="9" t="s">
        <v>33</v>
      </c>
      <c r="D584" s="10">
        <v>1159.0</v>
      </c>
      <c r="E584" s="8" t="s">
        <v>793</v>
      </c>
      <c r="F584" s="11" t="s">
        <v>26</v>
      </c>
      <c r="G584" s="12" t="s">
        <v>27</v>
      </c>
      <c r="H584" s="13">
        <v>450.0</v>
      </c>
      <c r="I584" s="14">
        <v>5.0</v>
      </c>
      <c r="J584" s="15" t="s">
        <v>38</v>
      </c>
      <c r="K584" s="16">
        <v>0.5</v>
      </c>
      <c r="L584" s="17">
        <f t="shared" si="1"/>
        <v>2.5</v>
      </c>
      <c r="M584" s="17">
        <f t="shared" si="2"/>
        <v>2.5</v>
      </c>
      <c r="N584" s="18">
        <f t="shared" si="3"/>
        <v>225</v>
      </c>
      <c r="O584" s="18">
        <f t="shared" si="4"/>
        <v>225</v>
      </c>
      <c r="P584" s="18">
        <f t="shared" si="5"/>
        <v>225</v>
      </c>
      <c r="Q584" s="8">
        <v>0.0</v>
      </c>
      <c r="R584" s="18">
        <f t="shared" si="6"/>
        <v>90</v>
      </c>
      <c r="S584" s="19" t="s">
        <v>29</v>
      </c>
      <c r="T584" s="19" t="s">
        <v>30</v>
      </c>
      <c r="U584" s="20" t="s">
        <v>292</v>
      </c>
      <c r="V584" s="37"/>
      <c r="W584" s="7"/>
      <c r="X584" s="7"/>
      <c r="Y584" s="7"/>
      <c r="Z584" s="7"/>
      <c r="AA584" s="7"/>
    </row>
    <row r="585" ht="18.75" customHeight="1">
      <c r="A585" s="22" t="s">
        <v>744</v>
      </c>
      <c r="B585" s="22" t="s">
        <v>794</v>
      </c>
      <c r="C585" s="23" t="s">
        <v>33</v>
      </c>
      <c r="D585" s="24">
        <v>1160.0</v>
      </c>
      <c r="E585" s="22" t="s">
        <v>795</v>
      </c>
      <c r="F585" s="25" t="s">
        <v>37</v>
      </c>
      <c r="G585" s="26" t="s">
        <v>27</v>
      </c>
      <c r="H585" s="27">
        <v>285.0</v>
      </c>
      <c r="I585" s="28">
        <v>10.0</v>
      </c>
      <c r="J585" s="29" t="s">
        <v>38</v>
      </c>
      <c r="K585" s="30">
        <v>0.5</v>
      </c>
      <c r="L585" s="31">
        <f t="shared" si="1"/>
        <v>5</v>
      </c>
      <c r="M585" s="31">
        <f t="shared" si="2"/>
        <v>5</v>
      </c>
      <c r="N585" s="32">
        <f t="shared" si="3"/>
        <v>142.5</v>
      </c>
      <c r="O585" s="32">
        <f t="shared" si="4"/>
        <v>142.5</v>
      </c>
      <c r="P585" s="32">
        <f t="shared" si="5"/>
        <v>142.5</v>
      </c>
      <c r="Q585" s="22">
        <v>0.0</v>
      </c>
      <c r="R585" s="32">
        <f t="shared" si="6"/>
        <v>28.5</v>
      </c>
      <c r="S585" s="33" t="s">
        <v>29</v>
      </c>
      <c r="T585" s="33" t="s">
        <v>30</v>
      </c>
      <c r="U585" s="34" t="s">
        <v>527</v>
      </c>
      <c r="V585" s="35"/>
      <c r="W585" s="7"/>
      <c r="X585" s="7"/>
      <c r="Y585" s="7"/>
      <c r="Z585" s="7"/>
      <c r="AA585" s="7"/>
    </row>
    <row r="586" ht="18.75" customHeight="1">
      <c r="A586" s="8" t="s">
        <v>744</v>
      </c>
      <c r="B586" s="8" t="s">
        <v>796</v>
      </c>
      <c r="C586" s="9" t="s">
        <v>33</v>
      </c>
      <c r="D586" s="10">
        <v>1161.0</v>
      </c>
      <c r="E586" s="8" t="s">
        <v>797</v>
      </c>
      <c r="F586" s="11" t="s">
        <v>37</v>
      </c>
      <c r="G586" s="12" t="s">
        <v>27</v>
      </c>
      <c r="H586" s="13">
        <v>1044.42</v>
      </c>
      <c r="I586" s="14">
        <v>10.0</v>
      </c>
      <c r="J586" s="15" t="s">
        <v>28</v>
      </c>
      <c r="K586" s="16">
        <v>0.4</v>
      </c>
      <c r="L586" s="17">
        <f t="shared" si="1"/>
        <v>4</v>
      </c>
      <c r="M586" s="17">
        <f t="shared" si="2"/>
        <v>6</v>
      </c>
      <c r="N586" s="18">
        <f t="shared" si="3"/>
        <v>417.768</v>
      </c>
      <c r="O586" s="18">
        <f t="shared" si="4"/>
        <v>626.652</v>
      </c>
      <c r="P586" s="18">
        <f t="shared" si="5"/>
        <v>626.652</v>
      </c>
      <c r="Q586" s="8">
        <v>0.0</v>
      </c>
      <c r="R586" s="18">
        <f t="shared" si="6"/>
        <v>104.442</v>
      </c>
      <c r="S586" s="19" t="s">
        <v>29</v>
      </c>
      <c r="T586" s="19" t="s">
        <v>30</v>
      </c>
      <c r="U586" s="20" t="s">
        <v>346</v>
      </c>
      <c r="V586" s="37"/>
      <c r="W586" s="7"/>
      <c r="X586" s="7"/>
      <c r="Y586" s="7"/>
      <c r="Z586" s="7"/>
      <c r="AA586" s="7"/>
    </row>
    <row r="587" ht="18.75" customHeight="1">
      <c r="A587" s="22" t="s">
        <v>744</v>
      </c>
      <c r="B587" s="22" t="s">
        <v>798</v>
      </c>
      <c r="C587" s="23" t="s">
        <v>33</v>
      </c>
      <c r="D587" s="24">
        <v>1162.0</v>
      </c>
      <c r="E587" s="22" t="s">
        <v>412</v>
      </c>
      <c r="F587" s="25" t="s">
        <v>26</v>
      </c>
      <c r="G587" s="26" t="s">
        <v>27</v>
      </c>
      <c r="H587" s="27">
        <v>1351.57</v>
      </c>
      <c r="I587" s="28">
        <v>10.0</v>
      </c>
      <c r="J587" s="29" t="s">
        <v>28</v>
      </c>
      <c r="K587" s="30">
        <v>0.4</v>
      </c>
      <c r="L587" s="31">
        <f t="shared" si="1"/>
        <v>4</v>
      </c>
      <c r="M587" s="31">
        <f t="shared" si="2"/>
        <v>6</v>
      </c>
      <c r="N587" s="32">
        <f t="shared" si="3"/>
        <v>540.628</v>
      </c>
      <c r="O587" s="32">
        <f t="shared" si="4"/>
        <v>810.942</v>
      </c>
      <c r="P587" s="32">
        <f t="shared" si="5"/>
        <v>810.942</v>
      </c>
      <c r="Q587" s="22">
        <v>0.0</v>
      </c>
      <c r="R587" s="32">
        <f t="shared" si="6"/>
        <v>135.157</v>
      </c>
      <c r="S587" s="33" t="s">
        <v>29</v>
      </c>
      <c r="T587" s="33" t="s">
        <v>30</v>
      </c>
      <c r="U587" s="34" t="s">
        <v>41</v>
      </c>
      <c r="V587" s="35"/>
      <c r="W587" s="7"/>
      <c r="X587" s="7"/>
      <c r="Y587" s="7"/>
      <c r="Z587" s="7"/>
      <c r="AA587" s="7"/>
    </row>
    <row r="588" ht="18.75" customHeight="1">
      <c r="A588" s="8" t="s">
        <v>744</v>
      </c>
      <c r="B588" s="8" t="s">
        <v>799</v>
      </c>
      <c r="C588" s="9" t="s">
        <v>33</v>
      </c>
      <c r="D588" s="10">
        <v>1163.0</v>
      </c>
      <c r="E588" s="8" t="s">
        <v>800</v>
      </c>
      <c r="F588" s="11" t="s">
        <v>26</v>
      </c>
      <c r="G588" s="12" t="s">
        <v>27</v>
      </c>
      <c r="H588" s="13">
        <v>2338.0</v>
      </c>
      <c r="I588" s="14">
        <v>10.0</v>
      </c>
      <c r="J588" s="15" t="s">
        <v>38</v>
      </c>
      <c r="K588" s="16">
        <v>0.5</v>
      </c>
      <c r="L588" s="17">
        <f t="shared" si="1"/>
        <v>5</v>
      </c>
      <c r="M588" s="17">
        <f t="shared" si="2"/>
        <v>5</v>
      </c>
      <c r="N588" s="18">
        <f t="shared" si="3"/>
        <v>1169</v>
      </c>
      <c r="O588" s="18">
        <f t="shared" si="4"/>
        <v>1169</v>
      </c>
      <c r="P588" s="18">
        <f t="shared" si="5"/>
        <v>1169</v>
      </c>
      <c r="Q588" s="8">
        <v>0.0</v>
      </c>
      <c r="R588" s="18">
        <f t="shared" si="6"/>
        <v>233.8</v>
      </c>
      <c r="S588" s="19" t="s">
        <v>29</v>
      </c>
      <c r="T588" s="19" t="s">
        <v>30</v>
      </c>
      <c r="U588" s="36" t="s">
        <v>45</v>
      </c>
      <c r="V588" s="37"/>
      <c r="W588" s="7"/>
      <c r="X588" s="7"/>
      <c r="Y588" s="7"/>
      <c r="Z588" s="7"/>
      <c r="AA588" s="7"/>
    </row>
    <row r="589" ht="18.75" customHeight="1">
      <c r="A589" s="22" t="s">
        <v>744</v>
      </c>
      <c r="B589" s="22" t="s">
        <v>801</v>
      </c>
      <c r="C589" s="23" t="s">
        <v>33</v>
      </c>
      <c r="D589" s="24">
        <v>1164.0</v>
      </c>
      <c r="E589" s="22" t="s">
        <v>802</v>
      </c>
      <c r="F589" s="25" t="s">
        <v>26</v>
      </c>
      <c r="G589" s="26" t="s">
        <v>27</v>
      </c>
      <c r="H589" s="27">
        <v>22652.48</v>
      </c>
      <c r="I589" s="28">
        <v>10.0</v>
      </c>
      <c r="J589" s="29" t="s">
        <v>38</v>
      </c>
      <c r="K589" s="30">
        <v>0.5</v>
      </c>
      <c r="L589" s="31">
        <f t="shared" si="1"/>
        <v>5</v>
      </c>
      <c r="M589" s="31">
        <f t="shared" si="2"/>
        <v>5</v>
      </c>
      <c r="N589" s="32">
        <f t="shared" si="3"/>
        <v>11326.24</v>
      </c>
      <c r="O589" s="32">
        <f t="shared" si="4"/>
        <v>11326.24</v>
      </c>
      <c r="P589" s="32">
        <f t="shared" si="5"/>
        <v>11326.24</v>
      </c>
      <c r="Q589" s="22">
        <v>0.0</v>
      </c>
      <c r="R589" s="32">
        <f t="shared" si="6"/>
        <v>2265.248</v>
      </c>
      <c r="S589" s="33" t="s">
        <v>29</v>
      </c>
      <c r="T589" s="33" t="s">
        <v>30</v>
      </c>
      <c r="U589" s="34" t="s">
        <v>50</v>
      </c>
      <c r="V589" s="35"/>
      <c r="W589" s="7"/>
      <c r="X589" s="7"/>
      <c r="Y589" s="7"/>
      <c r="Z589" s="7"/>
      <c r="AA589" s="7"/>
    </row>
    <row r="590" ht="18.75" customHeight="1">
      <c r="A590" s="8" t="s">
        <v>744</v>
      </c>
      <c r="B590" s="8" t="s">
        <v>803</v>
      </c>
      <c r="C590" s="9" t="s">
        <v>33</v>
      </c>
      <c r="D590" s="10">
        <v>1165.0</v>
      </c>
      <c r="E590" s="8" t="s">
        <v>413</v>
      </c>
      <c r="F590" s="11" t="s">
        <v>26</v>
      </c>
      <c r="G590" s="12" t="s">
        <v>27</v>
      </c>
      <c r="H590" s="13">
        <v>1897.0</v>
      </c>
      <c r="I590" s="14">
        <v>10.0</v>
      </c>
      <c r="J590" s="15" t="s">
        <v>38</v>
      </c>
      <c r="K590" s="16">
        <v>0.5</v>
      </c>
      <c r="L590" s="17">
        <f t="shared" si="1"/>
        <v>5</v>
      </c>
      <c r="M590" s="17">
        <f t="shared" si="2"/>
        <v>5</v>
      </c>
      <c r="N590" s="18">
        <f t="shared" si="3"/>
        <v>948.5</v>
      </c>
      <c r="O590" s="18">
        <f t="shared" si="4"/>
        <v>948.5</v>
      </c>
      <c r="P590" s="18">
        <f t="shared" si="5"/>
        <v>948.5</v>
      </c>
      <c r="Q590" s="8">
        <v>0.0</v>
      </c>
      <c r="R590" s="18">
        <f t="shared" si="6"/>
        <v>189.7</v>
      </c>
      <c r="S590" s="19" t="s">
        <v>29</v>
      </c>
      <c r="T590" s="19" t="s">
        <v>30</v>
      </c>
      <c r="U590" s="20" t="s">
        <v>43</v>
      </c>
      <c r="V590" s="37"/>
      <c r="W590" s="7"/>
      <c r="X590" s="7"/>
      <c r="Y590" s="7"/>
      <c r="Z590" s="7"/>
      <c r="AA590" s="7"/>
    </row>
    <row r="591" ht="18.75" customHeight="1">
      <c r="A591" s="22" t="s">
        <v>744</v>
      </c>
      <c r="B591" s="22" t="s">
        <v>804</v>
      </c>
      <c r="C591" s="23" t="s">
        <v>33</v>
      </c>
      <c r="D591" s="24">
        <v>1166.0</v>
      </c>
      <c r="E591" s="22" t="s">
        <v>523</v>
      </c>
      <c r="F591" s="25" t="s">
        <v>37</v>
      </c>
      <c r="G591" s="26" t="s">
        <v>27</v>
      </c>
      <c r="H591" s="27">
        <v>469.2</v>
      </c>
      <c r="I591" s="28">
        <v>10.0</v>
      </c>
      <c r="J591" s="29" t="s">
        <v>38</v>
      </c>
      <c r="K591" s="30">
        <v>0.5</v>
      </c>
      <c r="L591" s="31">
        <f t="shared" si="1"/>
        <v>5</v>
      </c>
      <c r="M591" s="31">
        <f t="shared" si="2"/>
        <v>5</v>
      </c>
      <c r="N591" s="32">
        <f t="shared" si="3"/>
        <v>234.6</v>
      </c>
      <c r="O591" s="32">
        <f t="shared" si="4"/>
        <v>234.6</v>
      </c>
      <c r="P591" s="32">
        <f t="shared" si="5"/>
        <v>234.6</v>
      </c>
      <c r="Q591" s="22">
        <v>0.0</v>
      </c>
      <c r="R591" s="32">
        <f t="shared" si="6"/>
        <v>46.92</v>
      </c>
      <c r="S591" s="33" t="s">
        <v>29</v>
      </c>
      <c r="T591" s="33" t="s">
        <v>30</v>
      </c>
      <c r="U591" s="38" t="s">
        <v>52</v>
      </c>
      <c r="V591" s="35"/>
      <c r="W591" s="7"/>
      <c r="X591" s="7"/>
      <c r="Y591" s="7"/>
      <c r="Z591" s="7"/>
      <c r="AA591" s="7"/>
    </row>
    <row r="592" ht="18.75" customHeight="1">
      <c r="A592" s="8" t="s">
        <v>744</v>
      </c>
      <c r="B592" s="8" t="s">
        <v>805</v>
      </c>
      <c r="C592" s="9" t="s">
        <v>33</v>
      </c>
      <c r="D592" s="10">
        <v>1168.0</v>
      </c>
      <c r="E592" s="8" t="s">
        <v>806</v>
      </c>
      <c r="F592" s="11" t="s">
        <v>37</v>
      </c>
      <c r="G592" s="12" t="s">
        <v>27</v>
      </c>
      <c r="H592" s="13">
        <v>332.91</v>
      </c>
      <c r="I592" s="14">
        <v>10.0</v>
      </c>
      <c r="J592" s="15" t="s">
        <v>54</v>
      </c>
      <c r="K592" s="16">
        <v>0.3</v>
      </c>
      <c r="L592" s="17">
        <f t="shared" si="1"/>
        <v>3</v>
      </c>
      <c r="M592" s="17">
        <f t="shared" si="2"/>
        <v>7</v>
      </c>
      <c r="N592" s="18">
        <f t="shared" si="3"/>
        <v>99.873</v>
      </c>
      <c r="O592" s="18">
        <f t="shared" si="4"/>
        <v>233.037</v>
      </c>
      <c r="P592" s="18">
        <f t="shared" si="5"/>
        <v>233.037</v>
      </c>
      <c r="Q592" s="8">
        <v>0.0</v>
      </c>
      <c r="R592" s="18">
        <f t="shared" si="6"/>
        <v>33.291</v>
      </c>
      <c r="S592" s="19" t="s">
        <v>29</v>
      </c>
      <c r="T592" s="19" t="s">
        <v>30</v>
      </c>
      <c r="U592" s="36" t="s">
        <v>787</v>
      </c>
      <c r="V592" s="37"/>
      <c r="W592" s="7"/>
      <c r="X592" s="7"/>
      <c r="Y592" s="7"/>
      <c r="Z592" s="7"/>
      <c r="AA592" s="7"/>
    </row>
    <row r="593" ht="18.75" customHeight="1">
      <c r="A593" s="22" t="s">
        <v>744</v>
      </c>
      <c r="B593" s="22" t="s">
        <v>807</v>
      </c>
      <c r="C593" s="23" t="s">
        <v>33</v>
      </c>
      <c r="D593" s="24">
        <v>1169.0</v>
      </c>
      <c r="E593" s="22" t="s">
        <v>808</v>
      </c>
      <c r="F593" s="25" t="s">
        <v>26</v>
      </c>
      <c r="G593" s="26" t="s">
        <v>27</v>
      </c>
      <c r="H593" s="56">
        <v>840.42</v>
      </c>
      <c r="I593" s="28">
        <v>10.0</v>
      </c>
      <c r="J593" s="29" t="s">
        <v>38</v>
      </c>
      <c r="K593" s="30">
        <v>0.5</v>
      </c>
      <c r="L593" s="31">
        <f t="shared" si="1"/>
        <v>5</v>
      </c>
      <c r="M593" s="31">
        <f t="shared" si="2"/>
        <v>5</v>
      </c>
      <c r="N593" s="32">
        <f t="shared" si="3"/>
        <v>420.21</v>
      </c>
      <c r="O593" s="32">
        <f t="shared" si="4"/>
        <v>420.21</v>
      </c>
      <c r="P593" s="32">
        <f t="shared" si="5"/>
        <v>420.21</v>
      </c>
      <c r="Q593" s="22">
        <v>0.0</v>
      </c>
      <c r="R593" s="32">
        <f t="shared" si="6"/>
        <v>84.042</v>
      </c>
      <c r="S593" s="33" t="s">
        <v>29</v>
      </c>
      <c r="T593" s="33" t="s">
        <v>30</v>
      </c>
      <c r="U593" s="34" t="s">
        <v>102</v>
      </c>
      <c r="V593" s="35"/>
      <c r="W593" s="7"/>
      <c r="X593" s="7"/>
      <c r="Y593" s="7"/>
      <c r="Z593" s="7"/>
      <c r="AA593" s="7"/>
    </row>
    <row r="594" ht="18.75" customHeight="1">
      <c r="A594" s="8" t="s">
        <v>744</v>
      </c>
      <c r="B594" s="8" t="s">
        <v>809</v>
      </c>
      <c r="C594" s="9" t="s">
        <v>33</v>
      </c>
      <c r="D594" s="58">
        <v>1170.0</v>
      </c>
      <c r="E594" s="8" t="s">
        <v>810</v>
      </c>
      <c r="F594" s="11" t="s">
        <v>26</v>
      </c>
      <c r="G594" s="12" t="s">
        <v>27</v>
      </c>
      <c r="H594" s="55">
        <v>1260.63</v>
      </c>
      <c r="I594" s="14">
        <v>10.0</v>
      </c>
      <c r="J594" s="15" t="s">
        <v>38</v>
      </c>
      <c r="K594" s="16">
        <v>0.5</v>
      </c>
      <c r="L594" s="17">
        <f t="shared" si="1"/>
        <v>5</v>
      </c>
      <c r="M594" s="17">
        <f t="shared" si="2"/>
        <v>5</v>
      </c>
      <c r="N594" s="18">
        <f t="shared" si="3"/>
        <v>630.315</v>
      </c>
      <c r="O594" s="18">
        <f t="shared" si="4"/>
        <v>630.315</v>
      </c>
      <c r="P594" s="18">
        <f t="shared" si="5"/>
        <v>630.315</v>
      </c>
      <c r="Q594" s="8">
        <v>0.0</v>
      </c>
      <c r="R594" s="18">
        <f t="shared" si="6"/>
        <v>126.063</v>
      </c>
      <c r="S594" s="19" t="s">
        <v>29</v>
      </c>
      <c r="T594" s="19" t="s">
        <v>30</v>
      </c>
      <c r="U594" s="20" t="s">
        <v>102</v>
      </c>
      <c r="V594" s="37"/>
      <c r="W594" s="7"/>
      <c r="X594" s="7"/>
      <c r="Y594" s="7"/>
      <c r="Z594" s="7"/>
      <c r="AA594" s="7"/>
    </row>
    <row r="595" ht="18.75" customHeight="1">
      <c r="A595" s="22" t="s">
        <v>744</v>
      </c>
      <c r="B595" s="22" t="s">
        <v>811</v>
      </c>
      <c r="C595" s="23" t="s">
        <v>33</v>
      </c>
      <c r="D595" s="24">
        <v>1171.0</v>
      </c>
      <c r="E595" s="22" t="s">
        <v>812</v>
      </c>
      <c r="F595" s="25" t="s">
        <v>26</v>
      </c>
      <c r="G595" s="26" t="s">
        <v>27</v>
      </c>
      <c r="H595" s="27">
        <v>2219.0</v>
      </c>
      <c r="I595" s="28">
        <v>10.0</v>
      </c>
      <c r="J595" s="29" t="s">
        <v>54</v>
      </c>
      <c r="K595" s="30">
        <v>0.3</v>
      </c>
      <c r="L595" s="31">
        <f t="shared" si="1"/>
        <v>3</v>
      </c>
      <c r="M595" s="31">
        <f t="shared" si="2"/>
        <v>7</v>
      </c>
      <c r="N595" s="32">
        <f t="shared" si="3"/>
        <v>665.7</v>
      </c>
      <c r="O595" s="32">
        <f t="shared" si="4"/>
        <v>1553.3</v>
      </c>
      <c r="P595" s="32">
        <f t="shared" si="5"/>
        <v>1553.3</v>
      </c>
      <c r="Q595" s="22">
        <v>0.0</v>
      </c>
      <c r="R595" s="32">
        <f t="shared" si="6"/>
        <v>221.9</v>
      </c>
      <c r="S595" s="33" t="s">
        <v>29</v>
      </c>
      <c r="T595" s="33" t="s">
        <v>30</v>
      </c>
      <c r="U595" s="34" t="s">
        <v>418</v>
      </c>
      <c r="V595" s="35"/>
      <c r="W595" s="7"/>
      <c r="X595" s="7"/>
      <c r="Y595" s="7"/>
      <c r="Z595" s="7"/>
      <c r="AA595" s="7"/>
    </row>
    <row r="596" ht="18.75" customHeight="1">
      <c r="A596" s="8" t="s">
        <v>744</v>
      </c>
      <c r="B596" s="8" t="s">
        <v>813</v>
      </c>
      <c r="C596" s="9" t="s">
        <v>33</v>
      </c>
      <c r="D596" s="10">
        <v>1173.0</v>
      </c>
      <c r="E596" s="8" t="s">
        <v>814</v>
      </c>
      <c r="F596" s="11" t="s">
        <v>37</v>
      </c>
      <c r="G596" s="12" t="s">
        <v>27</v>
      </c>
      <c r="H596" s="13">
        <v>1044.42</v>
      </c>
      <c r="I596" s="14">
        <v>10.0</v>
      </c>
      <c r="J596" s="15" t="s">
        <v>28</v>
      </c>
      <c r="K596" s="16">
        <v>0.4</v>
      </c>
      <c r="L596" s="17">
        <f t="shared" si="1"/>
        <v>4</v>
      </c>
      <c r="M596" s="17">
        <f t="shared" si="2"/>
        <v>6</v>
      </c>
      <c r="N596" s="18">
        <f t="shared" si="3"/>
        <v>417.768</v>
      </c>
      <c r="O596" s="18">
        <f t="shared" si="4"/>
        <v>626.652</v>
      </c>
      <c r="P596" s="18">
        <f t="shared" si="5"/>
        <v>626.652</v>
      </c>
      <c r="Q596" s="8">
        <v>0.0</v>
      </c>
      <c r="R596" s="18">
        <f t="shared" si="6"/>
        <v>104.442</v>
      </c>
      <c r="S596" s="19" t="s">
        <v>29</v>
      </c>
      <c r="T596" s="19" t="s">
        <v>30</v>
      </c>
      <c r="U596" s="20" t="s">
        <v>346</v>
      </c>
      <c r="V596" s="37"/>
      <c r="W596" s="7"/>
      <c r="X596" s="7"/>
      <c r="Y596" s="7"/>
      <c r="Z596" s="7"/>
      <c r="AA596" s="7"/>
    </row>
    <row r="597" ht="18.75" customHeight="1">
      <c r="A597" s="22" t="s">
        <v>744</v>
      </c>
      <c r="B597" s="22" t="s">
        <v>815</v>
      </c>
      <c r="C597" s="23" t="s">
        <v>33</v>
      </c>
      <c r="D597" s="24">
        <v>1175.0</v>
      </c>
      <c r="E597" s="22" t="s">
        <v>816</v>
      </c>
      <c r="F597" s="25" t="s">
        <v>26</v>
      </c>
      <c r="G597" s="26" t="s">
        <v>27</v>
      </c>
      <c r="H597" s="27">
        <v>1741.5</v>
      </c>
      <c r="I597" s="28">
        <v>5.0</v>
      </c>
      <c r="J597" s="29" t="s">
        <v>38</v>
      </c>
      <c r="K597" s="30">
        <v>0.5</v>
      </c>
      <c r="L597" s="31">
        <f t="shared" si="1"/>
        <v>2.5</v>
      </c>
      <c r="M597" s="31">
        <f t="shared" si="2"/>
        <v>2.5</v>
      </c>
      <c r="N597" s="32">
        <f t="shared" si="3"/>
        <v>870.75</v>
      </c>
      <c r="O597" s="32">
        <f t="shared" si="4"/>
        <v>870.75</v>
      </c>
      <c r="P597" s="32">
        <f t="shared" si="5"/>
        <v>870.75</v>
      </c>
      <c r="Q597" s="22">
        <v>0.0</v>
      </c>
      <c r="R597" s="32">
        <f t="shared" si="6"/>
        <v>348.3</v>
      </c>
      <c r="S597" s="33" t="s">
        <v>29</v>
      </c>
      <c r="T597" s="33" t="s">
        <v>30</v>
      </c>
      <c r="U597" s="34" t="s">
        <v>452</v>
      </c>
      <c r="V597" s="35"/>
      <c r="W597" s="7"/>
      <c r="X597" s="7"/>
      <c r="Y597" s="7"/>
      <c r="Z597" s="7"/>
      <c r="AA597" s="7"/>
    </row>
    <row r="598" ht="18.75" customHeight="1">
      <c r="A598" s="8" t="s">
        <v>744</v>
      </c>
      <c r="B598" s="8" t="s">
        <v>817</v>
      </c>
      <c r="C598" s="9" t="s">
        <v>33</v>
      </c>
      <c r="D598" s="10">
        <v>1176.0</v>
      </c>
      <c r="E598" s="8" t="s">
        <v>818</v>
      </c>
      <c r="F598" s="11" t="s">
        <v>37</v>
      </c>
      <c r="G598" s="12" t="s">
        <v>27</v>
      </c>
      <c r="H598" s="13">
        <v>1044.42</v>
      </c>
      <c r="I598" s="14">
        <v>10.0</v>
      </c>
      <c r="J598" s="15" t="s">
        <v>28</v>
      </c>
      <c r="K598" s="16">
        <v>0.4</v>
      </c>
      <c r="L598" s="17">
        <f t="shared" si="1"/>
        <v>4</v>
      </c>
      <c r="M598" s="17">
        <f t="shared" si="2"/>
        <v>6</v>
      </c>
      <c r="N598" s="18">
        <f t="shared" si="3"/>
        <v>417.768</v>
      </c>
      <c r="O598" s="18">
        <f t="shared" si="4"/>
        <v>626.652</v>
      </c>
      <c r="P598" s="18">
        <f t="shared" si="5"/>
        <v>626.652</v>
      </c>
      <c r="Q598" s="8">
        <v>0.0</v>
      </c>
      <c r="R598" s="18">
        <f t="shared" si="6"/>
        <v>104.442</v>
      </c>
      <c r="S598" s="19" t="s">
        <v>29</v>
      </c>
      <c r="T598" s="19" t="s">
        <v>30</v>
      </c>
      <c r="U598" s="20" t="s">
        <v>346</v>
      </c>
      <c r="V598" s="37"/>
      <c r="W598" s="7"/>
      <c r="X598" s="7"/>
      <c r="Y598" s="7"/>
      <c r="Z598" s="7"/>
      <c r="AA598" s="7"/>
    </row>
    <row r="599" ht="18.75" customHeight="1">
      <c r="A599" s="22" t="s">
        <v>744</v>
      </c>
      <c r="B599" s="22" t="s">
        <v>819</v>
      </c>
      <c r="C599" s="23" t="s">
        <v>433</v>
      </c>
      <c r="D599" s="24">
        <v>1178.0</v>
      </c>
      <c r="E599" s="22" t="s">
        <v>820</v>
      </c>
      <c r="F599" s="25" t="s">
        <v>37</v>
      </c>
      <c r="G599" s="26" t="s">
        <v>27</v>
      </c>
      <c r="H599" s="27">
        <v>1044.42</v>
      </c>
      <c r="I599" s="28">
        <v>10.0</v>
      </c>
      <c r="J599" s="29" t="s">
        <v>54</v>
      </c>
      <c r="K599" s="30">
        <v>0.3</v>
      </c>
      <c r="L599" s="31">
        <f t="shared" si="1"/>
        <v>3</v>
      </c>
      <c r="M599" s="31">
        <f t="shared" si="2"/>
        <v>7</v>
      </c>
      <c r="N599" s="32">
        <f t="shared" si="3"/>
        <v>313.326</v>
      </c>
      <c r="O599" s="32">
        <f t="shared" si="4"/>
        <v>731.094</v>
      </c>
      <c r="P599" s="32">
        <f t="shared" si="5"/>
        <v>731.094</v>
      </c>
      <c r="Q599" s="22">
        <v>0.0</v>
      </c>
      <c r="R599" s="32">
        <f t="shared" si="6"/>
        <v>104.442</v>
      </c>
      <c r="S599" s="33" t="s">
        <v>29</v>
      </c>
      <c r="T599" s="33" t="s">
        <v>30</v>
      </c>
      <c r="U599" s="34" t="s">
        <v>346</v>
      </c>
      <c r="V599" s="35"/>
      <c r="W599" s="7"/>
      <c r="X599" s="7"/>
      <c r="Y599" s="7"/>
      <c r="Z599" s="7"/>
      <c r="AA599" s="7"/>
    </row>
    <row r="600" ht="18.75" customHeight="1">
      <c r="A600" s="8" t="s">
        <v>744</v>
      </c>
      <c r="B600" s="8" t="s">
        <v>821</v>
      </c>
      <c r="C600" s="9" t="s">
        <v>433</v>
      </c>
      <c r="D600" s="10">
        <v>1180.0</v>
      </c>
      <c r="E600" s="8" t="s">
        <v>822</v>
      </c>
      <c r="F600" s="11" t="s">
        <v>37</v>
      </c>
      <c r="G600" s="12" t="s">
        <v>27</v>
      </c>
      <c r="H600" s="13">
        <v>578.76</v>
      </c>
      <c r="I600" s="14">
        <v>10.0</v>
      </c>
      <c r="J600" s="15" t="s">
        <v>54</v>
      </c>
      <c r="K600" s="16">
        <v>0.3</v>
      </c>
      <c r="L600" s="17">
        <f t="shared" si="1"/>
        <v>3</v>
      </c>
      <c r="M600" s="17">
        <f t="shared" si="2"/>
        <v>7</v>
      </c>
      <c r="N600" s="18">
        <f t="shared" si="3"/>
        <v>173.628</v>
      </c>
      <c r="O600" s="18">
        <f t="shared" si="4"/>
        <v>405.132</v>
      </c>
      <c r="P600" s="18">
        <f t="shared" si="5"/>
        <v>405.132</v>
      </c>
      <c r="Q600" s="8">
        <v>0.0</v>
      </c>
      <c r="R600" s="18">
        <f t="shared" si="6"/>
        <v>57.876</v>
      </c>
      <c r="S600" s="19" t="s">
        <v>29</v>
      </c>
      <c r="T600" s="19" t="s">
        <v>30</v>
      </c>
      <c r="U600" s="36" t="s">
        <v>784</v>
      </c>
      <c r="V600" s="37"/>
      <c r="W600" s="7"/>
      <c r="X600" s="7"/>
      <c r="Y600" s="7"/>
      <c r="Z600" s="7"/>
      <c r="AA600" s="7"/>
    </row>
    <row r="601" ht="18.75" customHeight="1">
      <c r="A601" s="22" t="s">
        <v>744</v>
      </c>
      <c r="B601" s="22" t="s">
        <v>823</v>
      </c>
      <c r="C601" s="23" t="s">
        <v>433</v>
      </c>
      <c r="D601" s="24">
        <v>1181.0</v>
      </c>
      <c r="E601" s="22" t="s">
        <v>824</v>
      </c>
      <c r="F601" s="25" t="s">
        <v>202</v>
      </c>
      <c r="G601" s="26" t="s">
        <v>27</v>
      </c>
      <c r="H601" s="27">
        <v>764.99</v>
      </c>
      <c r="I601" s="28">
        <v>5.0</v>
      </c>
      <c r="J601" s="29" t="s">
        <v>38</v>
      </c>
      <c r="K601" s="30">
        <v>0.5</v>
      </c>
      <c r="L601" s="31">
        <f t="shared" si="1"/>
        <v>2.5</v>
      </c>
      <c r="M601" s="31">
        <f t="shared" si="2"/>
        <v>2.5</v>
      </c>
      <c r="N601" s="32">
        <f t="shared" si="3"/>
        <v>382.495</v>
      </c>
      <c r="O601" s="32">
        <f t="shared" si="4"/>
        <v>382.495</v>
      </c>
      <c r="P601" s="32">
        <f t="shared" si="5"/>
        <v>382.495</v>
      </c>
      <c r="Q601" s="22">
        <v>0.0</v>
      </c>
      <c r="R601" s="32">
        <f t="shared" si="6"/>
        <v>152.998</v>
      </c>
      <c r="S601" s="33" t="s">
        <v>29</v>
      </c>
      <c r="T601" s="33" t="s">
        <v>30</v>
      </c>
      <c r="U601" s="34" t="s">
        <v>203</v>
      </c>
      <c r="V601" s="35"/>
      <c r="W601" s="7"/>
      <c r="X601" s="7"/>
      <c r="Y601" s="7"/>
      <c r="Z601" s="7"/>
      <c r="AA601" s="7"/>
    </row>
    <row r="602" ht="18.75" customHeight="1">
      <c r="A602" s="8" t="s">
        <v>744</v>
      </c>
      <c r="B602" s="8" t="s">
        <v>825</v>
      </c>
      <c r="C602" s="9" t="s">
        <v>433</v>
      </c>
      <c r="D602" s="10">
        <v>1183.0</v>
      </c>
      <c r="E602" s="8" t="s">
        <v>532</v>
      </c>
      <c r="F602" s="11" t="s">
        <v>37</v>
      </c>
      <c r="G602" s="12" t="s">
        <v>27</v>
      </c>
      <c r="H602" s="13">
        <v>417.6</v>
      </c>
      <c r="I602" s="14">
        <v>10.0</v>
      </c>
      <c r="J602" s="48" t="s">
        <v>63</v>
      </c>
      <c r="K602" s="59">
        <v>0.700000000000003</v>
      </c>
      <c r="L602" s="17">
        <f t="shared" si="1"/>
        <v>7</v>
      </c>
      <c r="M602" s="17">
        <f t="shared" si="2"/>
        <v>3</v>
      </c>
      <c r="N602" s="18">
        <f t="shared" si="3"/>
        <v>292.32</v>
      </c>
      <c r="O602" s="18">
        <f t="shared" si="4"/>
        <v>125.28</v>
      </c>
      <c r="P602" s="18">
        <f t="shared" si="5"/>
        <v>125.28</v>
      </c>
      <c r="Q602" s="8">
        <v>0.0</v>
      </c>
      <c r="R602" s="18">
        <f t="shared" si="6"/>
        <v>41.76</v>
      </c>
      <c r="S602" s="19" t="s">
        <v>29</v>
      </c>
      <c r="T602" s="19" t="s">
        <v>30</v>
      </c>
      <c r="U602" s="20" t="s">
        <v>533</v>
      </c>
      <c r="V602" s="37"/>
      <c r="W602" s="7"/>
      <c r="X602" s="7"/>
      <c r="Y602" s="7"/>
      <c r="Z602" s="7"/>
      <c r="AA602" s="7"/>
    </row>
    <row r="603" ht="18.75" customHeight="1">
      <c r="A603" s="22" t="s">
        <v>744</v>
      </c>
      <c r="B603" s="22" t="s">
        <v>826</v>
      </c>
      <c r="C603" s="23" t="s">
        <v>433</v>
      </c>
      <c r="D603" s="24">
        <v>1184.0</v>
      </c>
      <c r="E603" s="22" t="s">
        <v>827</v>
      </c>
      <c r="F603" s="25" t="s">
        <v>26</v>
      </c>
      <c r="G603" s="26" t="s">
        <v>27</v>
      </c>
      <c r="H603" s="27">
        <v>511.41</v>
      </c>
      <c r="I603" s="28">
        <v>10.0</v>
      </c>
      <c r="J603" s="29" t="s">
        <v>54</v>
      </c>
      <c r="K603" s="30">
        <v>0.3</v>
      </c>
      <c r="L603" s="31">
        <f t="shared" si="1"/>
        <v>3</v>
      </c>
      <c r="M603" s="31">
        <f t="shared" si="2"/>
        <v>7</v>
      </c>
      <c r="N603" s="32">
        <f t="shared" si="3"/>
        <v>153.423</v>
      </c>
      <c r="O603" s="32">
        <f t="shared" si="4"/>
        <v>357.987</v>
      </c>
      <c r="P603" s="32">
        <f t="shared" si="5"/>
        <v>357.987</v>
      </c>
      <c r="Q603" s="22">
        <v>0.0</v>
      </c>
      <c r="R603" s="32">
        <f t="shared" si="6"/>
        <v>51.141</v>
      </c>
      <c r="S603" s="33" t="s">
        <v>29</v>
      </c>
      <c r="T603" s="33" t="s">
        <v>30</v>
      </c>
      <c r="U603" s="38" t="s">
        <v>828</v>
      </c>
      <c r="V603" s="35"/>
      <c r="W603" s="7"/>
      <c r="X603" s="7"/>
      <c r="Y603" s="7"/>
      <c r="Z603" s="7"/>
      <c r="AA603" s="7"/>
    </row>
    <row r="604" ht="18.75" customHeight="1">
      <c r="A604" s="8" t="s">
        <v>744</v>
      </c>
      <c r="B604" s="8" t="s">
        <v>829</v>
      </c>
      <c r="C604" s="9" t="s">
        <v>433</v>
      </c>
      <c r="D604" s="10">
        <v>1187.0</v>
      </c>
      <c r="E604" s="8" t="s">
        <v>830</v>
      </c>
      <c r="F604" s="11" t="s">
        <v>37</v>
      </c>
      <c r="G604" s="12" t="s">
        <v>27</v>
      </c>
      <c r="H604" s="13">
        <v>74.17</v>
      </c>
      <c r="I604" s="14">
        <v>10.0</v>
      </c>
      <c r="J604" s="15" t="s">
        <v>28</v>
      </c>
      <c r="K604" s="16">
        <v>0.4</v>
      </c>
      <c r="L604" s="17">
        <f t="shared" si="1"/>
        <v>4</v>
      </c>
      <c r="M604" s="17">
        <f t="shared" si="2"/>
        <v>6</v>
      </c>
      <c r="N604" s="18">
        <f t="shared" si="3"/>
        <v>29.668</v>
      </c>
      <c r="O604" s="18">
        <f t="shared" si="4"/>
        <v>44.502</v>
      </c>
      <c r="P604" s="18">
        <f t="shared" si="5"/>
        <v>44.502</v>
      </c>
      <c r="Q604" s="8">
        <v>0.0</v>
      </c>
      <c r="R604" s="18">
        <f t="shared" si="6"/>
        <v>7.417</v>
      </c>
      <c r="S604" s="19" t="s">
        <v>29</v>
      </c>
      <c r="T604" s="19" t="s">
        <v>30</v>
      </c>
      <c r="U604" s="36" t="s">
        <v>831</v>
      </c>
      <c r="V604" s="37"/>
      <c r="W604" s="7"/>
      <c r="X604" s="7"/>
      <c r="Y604" s="7"/>
      <c r="Z604" s="7"/>
      <c r="AA604" s="7"/>
    </row>
    <row r="605" ht="18.75" customHeight="1">
      <c r="A605" s="22" t="s">
        <v>744</v>
      </c>
      <c r="B605" s="22" t="s">
        <v>832</v>
      </c>
      <c r="C605" s="23" t="s">
        <v>433</v>
      </c>
      <c r="D605" s="24">
        <v>1188.0</v>
      </c>
      <c r="E605" s="22" t="s">
        <v>830</v>
      </c>
      <c r="F605" s="25" t="s">
        <v>37</v>
      </c>
      <c r="G605" s="26" t="s">
        <v>27</v>
      </c>
      <c r="H605" s="27">
        <v>74.17</v>
      </c>
      <c r="I605" s="28">
        <v>5.0</v>
      </c>
      <c r="J605" s="29" t="s">
        <v>28</v>
      </c>
      <c r="K605" s="30">
        <v>0.4</v>
      </c>
      <c r="L605" s="31">
        <f t="shared" si="1"/>
        <v>2</v>
      </c>
      <c r="M605" s="31">
        <f t="shared" si="2"/>
        <v>3</v>
      </c>
      <c r="N605" s="32">
        <f t="shared" si="3"/>
        <v>29.668</v>
      </c>
      <c r="O605" s="32">
        <f t="shared" si="4"/>
        <v>44.502</v>
      </c>
      <c r="P605" s="32">
        <f t="shared" si="5"/>
        <v>44.502</v>
      </c>
      <c r="Q605" s="22">
        <v>0.0</v>
      </c>
      <c r="R605" s="32">
        <f t="shared" si="6"/>
        <v>14.834</v>
      </c>
      <c r="S605" s="33" t="s">
        <v>29</v>
      </c>
      <c r="T605" s="33" t="s">
        <v>30</v>
      </c>
      <c r="U605" s="38" t="s">
        <v>831</v>
      </c>
      <c r="V605" s="35"/>
      <c r="W605" s="7"/>
      <c r="X605" s="7"/>
      <c r="Y605" s="7"/>
      <c r="Z605" s="7"/>
      <c r="AA605" s="7"/>
    </row>
    <row r="606" ht="18.75" customHeight="1">
      <c r="A606" s="8" t="s">
        <v>744</v>
      </c>
      <c r="B606" s="8" t="s">
        <v>833</v>
      </c>
      <c r="C606" s="9" t="s">
        <v>433</v>
      </c>
      <c r="D606" s="10">
        <v>1189.0</v>
      </c>
      <c r="E606" s="8" t="s">
        <v>830</v>
      </c>
      <c r="F606" s="11" t="s">
        <v>37</v>
      </c>
      <c r="G606" s="12" t="s">
        <v>27</v>
      </c>
      <c r="H606" s="13">
        <v>74.17</v>
      </c>
      <c r="I606" s="14">
        <v>5.0</v>
      </c>
      <c r="J606" s="15" t="s">
        <v>28</v>
      </c>
      <c r="K606" s="16">
        <v>0.4</v>
      </c>
      <c r="L606" s="17">
        <f t="shared" si="1"/>
        <v>2</v>
      </c>
      <c r="M606" s="17">
        <f t="shared" si="2"/>
        <v>3</v>
      </c>
      <c r="N606" s="18">
        <f t="shared" si="3"/>
        <v>29.668</v>
      </c>
      <c r="O606" s="18">
        <f t="shared" si="4"/>
        <v>44.502</v>
      </c>
      <c r="P606" s="18">
        <f t="shared" si="5"/>
        <v>44.502</v>
      </c>
      <c r="Q606" s="8">
        <v>0.0</v>
      </c>
      <c r="R606" s="18">
        <f t="shared" si="6"/>
        <v>14.834</v>
      </c>
      <c r="S606" s="19" t="s">
        <v>29</v>
      </c>
      <c r="T606" s="19" t="s">
        <v>30</v>
      </c>
      <c r="U606" s="36" t="s">
        <v>831</v>
      </c>
      <c r="V606" s="37"/>
      <c r="W606" s="7"/>
      <c r="X606" s="7"/>
      <c r="Y606" s="7"/>
      <c r="Z606" s="7"/>
      <c r="AA606" s="7"/>
    </row>
    <row r="607" ht="18.75" customHeight="1">
      <c r="A607" s="22" t="s">
        <v>744</v>
      </c>
      <c r="B607" s="22" t="s">
        <v>834</v>
      </c>
      <c r="C607" s="23" t="s">
        <v>433</v>
      </c>
      <c r="D607" s="24">
        <v>1190.0</v>
      </c>
      <c r="E607" s="22" t="s">
        <v>830</v>
      </c>
      <c r="F607" s="25" t="s">
        <v>37</v>
      </c>
      <c r="G607" s="26" t="s">
        <v>27</v>
      </c>
      <c r="H607" s="27">
        <v>74.17</v>
      </c>
      <c r="I607" s="28">
        <v>5.0</v>
      </c>
      <c r="J607" s="29" t="s">
        <v>28</v>
      </c>
      <c r="K607" s="30">
        <v>0.4</v>
      </c>
      <c r="L607" s="31">
        <f t="shared" si="1"/>
        <v>2</v>
      </c>
      <c r="M607" s="31">
        <f t="shared" si="2"/>
        <v>3</v>
      </c>
      <c r="N607" s="32">
        <f t="shared" si="3"/>
        <v>29.668</v>
      </c>
      <c r="O607" s="32">
        <f t="shared" si="4"/>
        <v>44.502</v>
      </c>
      <c r="P607" s="32">
        <f t="shared" si="5"/>
        <v>44.502</v>
      </c>
      <c r="Q607" s="22">
        <v>0.0</v>
      </c>
      <c r="R607" s="32">
        <f t="shared" si="6"/>
        <v>14.834</v>
      </c>
      <c r="S607" s="33" t="s">
        <v>29</v>
      </c>
      <c r="T607" s="33" t="s">
        <v>30</v>
      </c>
      <c r="U607" s="38" t="s">
        <v>831</v>
      </c>
      <c r="V607" s="35"/>
      <c r="W607" s="7"/>
      <c r="X607" s="7"/>
      <c r="Y607" s="7"/>
      <c r="Z607" s="7"/>
      <c r="AA607" s="7"/>
    </row>
    <row r="608" ht="18.75" customHeight="1">
      <c r="A608" s="8" t="s">
        <v>744</v>
      </c>
      <c r="B608" s="8" t="s">
        <v>835</v>
      </c>
      <c r="C608" s="9" t="s">
        <v>433</v>
      </c>
      <c r="D608" s="10">
        <v>1191.0</v>
      </c>
      <c r="E608" s="8" t="s">
        <v>836</v>
      </c>
      <c r="F608" s="11" t="s">
        <v>26</v>
      </c>
      <c r="G608" s="12" t="s">
        <v>27</v>
      </c>
      <c r="H608" s="13">
        <v>1583.6</v>
      </c>
      <c r="I608" s="14">
        <v>10.0</v>
      </c>
      <c r="J608" s="15" t="s">
        <v>38</v>
      </c>
      <c r="K608" s="16">
        <v>0.5</v>
      </c>
      <c r="L608" s="17">
        <f t="shared" si="1"/>
        <v>5</v>
      </c>
      <c r="M608" s="17">
        <f t="shared" si="2"/>
        <v>5</v>
      </c>
      <c r="N608" s="18">
        <f t="shared" si="3"/>
        <v>791.8</v>
      </c>
      <c r="O608" s="18">
        <f t="shared" si="4"/>
        <v>791.8</v>
      </c>
      <c r="P608" s="18">
        <f t="shared" si="5"/>
        <v>791.8</v>
      </c>
      <c r="Q608" s="8">
        <v>0.0</v>
      </c>
      <c r="R608" s="18">
        <f t="shared" si="6"/>
        <v>158.36</v>
      </c>
      <c r="S608" s="19" t="s">
        <v>29</v>
      </c>
      <c r="T608" s="19" t="s">
        <v>30</v>
      </c>
      <c r="U608" s="20" t="s">
        <v>102</v>
      </c>
      <c r="V608" s="37"/>
      <c r="W608" s="7"/>
      <c r="X608" s="7"/>
      <c r="Y608" s="7"/>
      <c r="Z608" s="7"/>
      <c r="AA608" s="7"/>
    </row>
    <row r="609" ht="18.75" customHeight="1">
      <c r="A609" s="22" t="s">
        <v>744</v>
      </c>
      <c r="B609" s="22" t="s">
        <v>837</v>
      </c>
      <c r="C609" s="23" t="s">
        <v>433</v>
      </c>
      <c r="D609" s="24">
        <v>1192.0</v>
      </c>
      <c r="E609" s="22" t="s">
        <v>838</v>
      </c>
      <c r="F609" s="25" t="s">
        <v>26</v>
      </c>
      <c r="G609" s="26" t="s">
        <v>27</v>
      </c>
      <c r="H609" s="27">
        <v>2375.4</v>
      </c>
      <c r="I609" s="28">
        <v>10.0</v>
      </c>
      <c r="J609" s="29" t="s">
        <v>38</v>
      </c>
      <c r="K609" s="30">
        <v>0.5</v>
      </c>
      <c r="L609" s="31">
        <f t="shared" si="1"/>
        <v>5</v>
      </c>
      <c r="M609" s="31">
        <f t="shared" si="2"/>
        <v>5</v>
      </c>
      <c r="N609" s="32">
        <f t="shared" si="3"/>
        <v>1187.7</v>
      </c>
      <c r="O609" s="32">
        <f t="shared" si="4"/>
        <v>1187.7</v>
      </c>
      <c r="P609" s="32">
        <f t="shared" si="5"/>
        <v>1187.7</v>
      </c>
      <c r="Q609" s="22">
        <v>0.0</v>
      </c>
      <c r="R609" s="32">
        <f t="shared" si="6"/>
        <v>237.54</v>
      </c>
      <c r="S609" s="33" t="s">
        <v>29</v>
      </c>
      <c r="T609" s="33" t="s">
        <v>30</v>
      </c>
      <c r="U609" s="34" t="s">
        <v>102</v>
      </c>
      <c r="V609" s="35"/>
      <c r="W609" s="7"/>
      <c r="X609" s="7"/>
      <c r="Y609" s="7"/>
      <c r="Z609" s="7"/>
      <c r="AA609" s="7"/>
    </row>
    <row r="610" ht="18.75" customHeight="1">
      <c r="A610" s="8" t="s">
        <v>744</v>
      </c>
      <c r="B610" s="8" t="s">
        <v>839</v>
      </c>
      <c r="C610" s="9" t="s">
        <v>33</v>
      </c>
      <c r="D610" s="10">
        <v>1193.0</v>
      </c>
      <c r="E610" s="8" t="s">
        <v>840</v>
      </c>
      <c r="F610" s="11" t="s">
        <v>26</v>
      </c>
      <c r="G610" s="12" t="s">
        <v>27</v>
      </c>
      <c r="H610" s="13">
        <v>603.0</v>
      </c>
      <c r="I610" s="14">
        <v>5.0</v>
      </c>
      <c r="J610" s="15" t="s">
        <v>38</v>
      </c>
      <c r="K610" s="16">
        <v>0.5</v>
      </c>
      <c r="L610" s="17">
        <f t="shared" si="1"/>
        <v>2.5</v>
      </c>
      <c r="M610" s="17">
        <f t="shared" si="2"/>
        <v>2.5</v>
      </c>
      <c r="N610" s="18">
        <f t="shared" si="3"/>
        <v>301.5</v>
      </c>
      <c r="O610" s="18">
        <f t="shared" si="4"/>
        <v>301.5</v>
      </c>
      <c r="P610" s="18">
        <f t="shared" si="5"/>
        <v>301.5</v>
      </c>
      <c r="Q610" s="8">
        <v>0.0</v>
      </c>
      <c r="R610" s="18">
        <f t="shared" si="6"/>
        <v>120.6</v>
      </c>
      <c r="S610" s="19" t="s">
        <v>29</v>
      </c>
      <c r="T610" s="19" t="s">
        <v>30</v>
      </c>
      <c r="U610" s="20" t="s">
        <v>79</v>
      </c>
      <c r="V610" s="37"/>
      <c r="W610" s="7"/>
      <c r="X610" s="7"/>
      <c r="Y610" s="7"/>
      <c r="Z610" s="7"/>
      <c r="AA610" s="7"/>
    </row>
    <row r="611" ht="18.75" customHeight="1">
      <c r="A611" s="22" t="s">
        <v>744</v>
      </c>
      <c r="B611" s="22" t="s">
        <v>841</v>
      </c>
      <c r="C611" s="23" t="s">
        <v>433</v>
      </c>
      <c r="D611" s="24">
        <v>1194.0</v>
      </c>
      <c r="E611" s="22" t="s">
        <v>842</v>
      </c>
      <c r="F611" s="25" t="s">
        <v>37</v>
      </c>
      <c r="G611" s="26" t="s">
        <v>27</v>
      </c>
      <c r="H611" s="27">
        <v>1880.55</v>
      </c>
      <c r="I611" s="28">
        <v>10.0</v>
      </c>
      <c r="J611" s="29" t="s">
        <v>38</v>
      </c>
      <c r="K611" s="30">
        <v>0.5</v>
      </c>
      <c r="L611" s="31">
        <f t="shared" si="1"/>
        <v>5</v>
      </c>
      <c r="M611" s="31">
        <f t="shared" si="2"/>
        <v>5</v>
      </c>
      <c r="N611" s="32">
        <f t="shared" si="3"/>
        <v>940.275</v>
      </c>
      <c r="O611" s="32">
        <f t="shared" si="4"/>
        <v>940.275</v>
      </c>
      <c r="P611" s="32">
        <f t="shared" si="5"/>
        <v>940.275</v>
      </c>
      <c r="Q611" s="22">
        <v>0.0</v>
      </c>
      <c r="R611" s="32">
        <f t="shared" si="6"/>
        <v>188.055</v>
      </c>
      <c r="S611" s="33" t="s">
        <v>29</v>
      </c>
      <c r="T611" s="33" t="s">
        <v>30</v>
      </c>
      <c r="U611" s="34" t="s">
        <v>69</v>
      </c>
      <c r="V611" s="35"/>
      <c r="W611" s="7"/>
      <c r="X611" s="7"/>
      <c r="Y611" s="7"/>
      <c r="Z611" s="7"/>
      <c r="AA611" s="7"/>
    </row>
    <row r="612" ht="18.75" customHeight="1">
      <c r="A612" s="8" t="s">
        <v>744</v>
      </c>
      <c r="B612" s="8" t="s">
        <v>843</v>
      </c>
      <c r="C612" s="9" t="s">
        <v>844</v>
      </c>
      <c r="D612" s="10">
        <v>1196.0</v>
      </c>
      <c r="E612" s="8" t="s">
        <v>532</v>
      </c>
      <c r="F612" s="11" t="s">
        <v>37</v>
      </c>
      <c r="G612" s="12" t="s">
        <v>27</v>
      </c>
      <c r="H612" s="13">
        <v>417.6</v>
      </c>
      <c r="I612" s="14">
        <v>10.0</v>
      </c>
      <c r="J612" s="15" t="s">
        <v>28</v>
      </c>
      <c r="K612" s="16">
        <v>0.4</v>
      </c>
      <c r="L612" s="17">
        <f t="shared" si="1"/>
        <v>4</v>
      </c>
      <c r="M612" s="17">
        <f t="shared" si="2"/>
        <v>6</v>
      </c>
      <c r="N612" s="18">
        <f t="shared" si="3"/>
        <v>167.04</v>
      </c>
      <c r="O612" s="18">
        <f t="shared" si="4"/>
        <v>250.56</v>
      </c>
      <c r="P612" s="18">
        <f t="shared" si="5"/>
        <v>250.56</v>
      </c>
      <c r="Q612" s="8">
        <v>0.0</v>
      </c>
      <c r="R612" s="18">
        <f t="shared" si="6"/>
        <v>41.76</v>
      </c>
      <c r="S612" s="19" t="s">
        <v>29</v>
      </c>
      <c r="T612" s="19" t="s">
        <v>30</v>
      </c>
      <c r="U612" s="20" t="s">
        <v>533</v>
      </c>
      <c r="V612" s="37"/>
      <c r="W612" s="7"/>
      <c r="X612" s="7"/>
      <c r="Y612" s="7"/>
      <c r="Z612" s="7"/>
      <c r="AA612" s="7"/>
    </row>
    <row r="613" ht="18.75" customHeight="1">
      <c r="A613" s="22" t="s">
        <v>744</v>
      </c>
      <c r="B613" s="22" t="s">
        <v>845</v>
      </c>
      <c r="C613" s="23" t="s">
        <v>844</v>
      </c>
      <c r="D613" s="24">
        <v>1198.0</v>
      </c>
      <c r="E613" s="22" t="s">
        <v>846</v>
      </c>
      <c r="F613" s="25" t="s">
        <v>37</v>
      </c>
      <c r="G613" s="26" t="s">
        <v>27</v>
      </c>
      <c r="H613" s="27">
        <v>945.0</v>
      </c>
      <c r="I613" s="28">
        <v>15.0</v>
      </c>
      <c r="J613" s="29" t="s">
        <v>28</v>
      </c>
      <c r="K613" s="30">
        <v>0.4</v>
      </c>
      <c r="L613" s="31">
        <f t="shared" si="1"/>
        <v>6</v>
      </c>
      <c r="M613" s="31">
        <f t="shared" si="2"/>
        <v>9</v>
      </c>
      <c r="N613" s="32">
        <f t="shared" si="3"/>
        <v>378</v>
      </c>
      <c r="O613" s="32">
        <f t="shared" si="4"/>
        <v>567</v>
      </c>
      <c r="P613" s="32">
        <f t="shared" si="5"/>
        <v>567</v>
      </c>
      <c r="Q613" s="22">
        <v>0.0</v>
      </c>
      <c r="R613" s="32">
        <f t="shared" si="6"/>
        <v>63</v>
      </c>
      <c r="S613" s="33" t="s">
        <v>29</v>
      </c>
      <c r="T613" s="33" t="s">
        <v>30</v>
      </c>
      <c r="U613" s="34" t="s">
        <v>205</v>
      </c>
      <c r="V613" s="35"/>
      <c r="W613" s="7"/>
      <c r="X613" s="7"/>
      <c r="Y613" s="7"/>
      <c r="Z613" s="7"/>
      <c r="AA613" s="7"/>
    </row>
    <row r="614" ht="18.75" customHeight="1">
      <c r="A614" s="8" t="s">
        <v>744</v>
      </c>
      <c r="B614" s="8" t="s">
        <v>847</v>
      </c>
      <c r="C614" s="9" t="s">
        <v>433</v>
      </c>
      <c r="D614" s="10">
        <v>1202.0</v>
      </c>
      <c r="E614" s="8" t="s">
        <v>848</v>
      </c>
      <c r="F614" s="11" t="s">
        <v>37</v>
      </c>
      <c r="G614" s="12" t="s">
        <v>27</v>
      </c>
      <c r="H614" s="13">
        <v>332.91</v>
      </c>
      <c r="I614" s="14">
        <v>10.0</v>
      </c>
      <c r="J614" s="15" t="s">
        <v>54</v>
      </c>
      <c r="K614" s="16">
        <v>0.3</v>
      </c>
      <c r="L614" s="17">
        <f t="shared" si="1"/>
        <v>3</v>
      </c>
      <c r="M614" s="17">
        <f t="shared" si="2"/>
        <v>7</v>
      </c>
      <c r="N614" s="18">
        <f t="shared" si="3"/>
        <v>99.873</v>
      </c>
      <c r="O614" s="18">
        <f t="shared" si="4"/>
        <v>233.037</v>
      </c>
      <c r="P614" s="18">
        <f t="shared" si="5"/>
        <v>233.037</v>
      </c>
      <c r="Q614" s="8">
        <v>0.0</v>
      </c>
      <c r="R614" s="18">
        <f t="shared" si="6"/>
        <v>33.291</v>
      </c>
      <c r="S614" s="19" t="s">
        <v>29</v>
      </c>
      <c r="T614" s="19" t="s">
        <v>30</v>
      </c>
      <c r="U614" s="36" t="s">
        <v>787</v>
      </c>
      <c r="V614" s="37"/>
      <c r="W614" s="7"/>
      <c r="X614" s="7"/>
      <c r="Y614" s="7"/>
      <c r="Z614" s="7"/>
      <c r="AA614" s="7"/>
    </row>
    <row r="615" ht="18.75" customHeight="1">
      <c r="A615" s="22" t="s">
        <v>744</v>
      </c>
      <c r="B615" s="22" t="s">
        <v>849</v>
      </c>
      <c r="C615" s="23" t="s">
        <v>433</v>
      </c>
      <c r="D615" s="24">
        <v>1206.0</v>
      </c>
      <c r="E615" s="22" t="s">
        <v>850</v>
      </c>
      <c r="F615" s="25" t="s">
        <v>26</v>
      </c>
      <c r="G615" s="26" t="s">
        <v>27</v>
      </c>
      <c r="H615" s="27">
        <v>1.0</v>
      </c>
      <c r="I615" s="28">
        <v>5.0</v>
      </c>
      <c r="J615" s="29" t="s">
        <v>28</v>
      </c>
      <c r="K615" s="30">
        <v>0.4</v>
      </c>
      <c r="L615" s="31">
        <f t="shared" si="1"/>
        <v>2</v>
      </c>
      <c r="M615" s="31">
        <f t="shared" si="2"/>
        <v>3</v>
      </c>
      <c r="N615" s="32">
        <f t="shared" si="3"/>
        <v>0.4</v>
      </c>
      <c r="O615" s="32">
        <f t="shared" si="4"/>
        <v>0.6</v>
      </c>
      <c r="P615" s="32">
        <f t="shared" si="5"/>
        <v>0.6</v>
      </c>
      <c r="Q615" s="22">
        <v>0.0</v>
      </c>
      <c r="R615" s="32">
        <f t="shared" si="6"/>
        <v>0.2</v>
      </c>
      <c r="S615" s="33" t="s">
        <v>29</v>
      </c>
      <c r="T615" s="33" t="s">
        <v>30</v>
      </c>
      <c r="U615" s="34"/>
      <c r="V615" s="35"/>
      <c r="W615" s="7"/>
      <c r="X615" s="7"/>
      <c r="Y615" s="7"/>
      <c r="Z615" s="7"/>
      <c r="AA615" s="7"/>
    </row>
    <row r="616" ht="18.75" customHeight="1">
      <c r="A616" s="8" t="s">
        <v>744</v>
      </c>
      <c r="B616" s="8" t="s">
        <v>851</v>
      </c>
      <c r="C616" s="9" t="s">
        <v>145</v>
      </c>
      <c r="D616" s="10">
        <v>1761.0</v>
      </c>
      <c r="E616" s="8" t="s">
        <v>852</v>
      </c>
      <c r="F616" s="11" t="s">
        <v>26</v>
      </c>
      <c r="G616" s="12" t="s">
        <v>27</v>
      </c>
      <c r="H616" s="13">
        <v>6583.2</v>
      </c>
      <c r="I616" s="14">
        <v>10.0</v>
      </c>
      <c r="J616" s="15" t="s">
        <v>28</v>
      </c>
      <c r="K616" s="16">
        <v>0.4</v>
      </c>
      <c r="L616" s="17">
        <f t="shared" si="1"/>
        <v>4</v>
      </c>
      <c r="M616" s="17">
        <f t="shared" si="2"/>
        <v>6</v>
      </c>
      <c r="N616" s="18">
        <f t="shared" si="3"/>
        <v>2633.28</v>
      </c>
      <c r="O616" s="18">
        <f t="shared" si="4"/>
        <v>3949.92</v>
      </c>
      <c r="P616" s="18">
        <f t="shared" si="5"/>
        <v>3949.92</v>
      </c>
      <c r="Q616" s="8">
        <v>0.0</v>
      </c>
      <c r="R616" s="18">
        <f t="shared" si="6"/>
        <v>658.32</v>
      </c>
      <c r="S616" s="19" t="s">
        <v>29</v>
      </c>
      <c r="T616" s="19" t="s">
        <v>30</v>
      </c>
      <c r="U616" s="20" t="s">
        <v>312</v>
      </c>
      <c r="V616" s="37"/>
      <c r="W616" s="7"/>
      <c r="X616" s="7"/>
      <c r="Y616" s="7"/>
      <c r="Z616" s="7"/>
      <c r="AA616" s="7"/>
    </row>
    <row r="617" ht="18.75" customHeight="1">
      <c r="A617" s="22" t="s">
        <v>744</v>
      </c>
      <c r="B617" s="22" t="s">
        <v>853</v>
      </c>
      <c r="C617" s="23" t="s">
        <v>236</v>
      </c>
      <c r="D617" s="24">
        <v>1762.0</v>
      </c>
      <c r="E617" s="22" t="s">
        <v>854</v>
      </c>
      <c r="F617" s="25" t="s">
        <v>37</v>
      </c>
      <c r="G617" s="26" t="s">
        <v>27</v>
      </c>
      <c r="H617" s="27">
        <v>285.0</v>
      </c>
      <c r="I617" s="28">
        <v>10.0</v>
      </c>
      <c r="J617" s="29" t="s">
        <v>38</v>
      </c>
      <c r="K617" s="30">
        <v>0.5</v>
      </c>
      <c r="L617" s="31">
        <f t="shared" si="1"/>
        <v>5</v>
      </c>
      <c r="M617" s="31">
        <f t="shared" si="2"/>
        <v>5</v>
      </c>
      <c r="N617" s="32">
        <f t="shared" si="3"/>
        <v>142.5</v>
      </c>
      <c r="O617" s="32">
        <f t="shared" si="4"/>
        <v>142.5</v>
      </c>
      <c r="P617" s="32">
        <f t="shared" si="5"/>
        <v>142.5</v>
      </c>
      <c r="Q617" s="22">
        <v>0.0</v>
      </c>
      <c r="R617" s="32">
        <f t="shared" si="6"/>
        <v>28.5</v>
      </c>
      <c r="S617" s="33" t="s">
        <v>29</v>
      </c>
      <c r="T617" s="33" t="s">
        <v>30</v>
      </c>
      <c r="U617" s="34" t="s">
        <v>527</v>
      </c>
      <c r="V617" s="35"/>
      <c r="W617" s="7"/>
      <c r="X617" s="7"/>
      <c r="Y617" s="7"/>
      <c r="Z617" s="7"/>
      <c r="AA617" s="7"/>
    </row>
    <row r="618" ht="18.75" customHeight="1">
      <c r="A618" s="8" t="s">
        <v>744</v>
      </c>
      <c r="B618" s="8" t="s">
        <v>855</v>
      </c>
      <c r="C618" s="9" t="s">
        <v>433</v>
      </c>
      <c r="D618" s="10">
        <v>1874.0</v>
      </c>
      <c r="E618" s="8" t="s">
        <v>856</v>
      </c>
      <c r="F618" s="11" t="s">
        <v>128</v>
      </c>
      <c r="G618" s="12" t="s">
        <v>27</v>
      </c>
      <c r="H618" s="13">
        <v>1669.0</v>
      </c>
      <c r="I618" s="14">
        <v>5.0</v>
      </c>
      <c r="J618" s="15" t="s">
        <v>38</v>
      </c>
      <c r="K618" s="16">
        <v>0.5</v>
      </c>
      <c r="L618" s="17">
        <f t="shared" si="1"/>
        <v>2.5</v>
      </c>
      <c r="M618" s="17">
        <f t="shared" si="2"/>
        <v>2.5</v>
      </c>
      <c r="N618" s="18">
        <f t="shared" si="3"/>
        <v>834.5</v>
      </c>
      <c r="O618" s="18">
        <f t="shared" si="4"/>
        <v>834.5</v>
      </c>
      <c r="P618" s="18">
        <f t="shared" si="5"/>
        <v>834.5</v>
      </c>
      <c r="Q618" s="8">
        <v>0.0</v>
      </c>
      <c r="R618" s="18">
        <f t="shared" si="6"/>
        <v>333.8</v>
      </c>
      <c r="S618" s="19" t="s">
        <v>29</v>
      </c>
      <c r="T618" s="19" t="s">
        <v>30</v>
      </c>
      <c r="U618" s="20" t="s">
        <v>129</v>
      </c>
      <c r="V618" s="37"/>
      <c r="W618" s="7"/>
      <c r="X618" s="7"/>
      <c r="Y618" s="7"/>
      <c r="Z618" s="7"/>
      <c r="AA618" s="7"/>
    </row>
    <row r="619" ht="18.75" customHeight="1">
      <c r="A619" s="22" t="s">
        <v>744</v>
      </c>
      <c r="B619" s="22" t="s">
        <v>857</v>
      </c>
      <c r="C619" s="23" t="s">
        <v>433</v>
      </c>
      <c r="D619" s="24">
        <v>2117.0</v>
      </c>
      <c r="E619" s="22" t="s">
        <v>858</v>
      </c>
      <c r="F619" s="25" t="s">
        <v>26</v>
      </c>
      <c r="G619" s="26" t="s">
        <v>27</v>
      </c>
      <c r="H619" s="27">
        <v>37.9</v>
      </c>
      <c r="I619" s="28">
        <v>5.0</v>
      </c>
      <c r="J619" s="29" t="s">
        <v>38</v>
      </c>
      <c r="K619" s="30">
        <v>0.5</v>
      </c>
      <c r="L619" s="31">
        <f t="shared" si="1"/>
        <v>2.5</v>
      </c>
      <c r="M619" s="31">
        <f t="shared" si="2"/>
        <v>2.5</v>
      </c>
      <c r="N619" s="32">
        <f t="shared" si="3"/>
        <v>18.95</v>
      </c>
      <c r="O619" s="32">
        <f t="shared" si="4"/>
        <v>18.95</v>
      </c>
      <c r="P619" s="32">
        <f t="shared" si="5"/>
        <v>18.95</v>
      </c>
      <c r="Q619" s="22">
        <v>0.0</v>
      </c>
      <c r="R619" s="32">
        <f t="shared" si="6"/>
        <v>7.58</v>
      </c>
      <c r="S619" s="33" t="s">
        <v>29</v>
      </c>
      <c r="T619" s="33" t="s">
        <v>30</v>
      </c>
      <c r="U619" s="34" t="s">
        <v>302</v>
      </c>
      <c r="V619" s="35"/>
      <c r="W619" s="7"/>
      <c r="X619" s="7"/>
      <c r="Y619" s="7"/>
      <c r="Z619" s="7"/>
      <c r="AA619" s="7"/>
    </row>
    <row r="620" ht="18.75" customHeight="1">
      <c r="A620" s="8" t="s">
        <v>744</v>
      </c>
      <c r="B620" s="8" t="s">
        <v>859</v>
      </c>
      <c r="C620" s="9" t="s">
        <v>433</v>
      </c>
      <c r="D620" s="10">
        <v>2118.0</v>
      </c>
      <c r="E620" s="8" t="s">
        <v>860</v>
      </c>
      <c r="F620" s="11" t="s">
        <v>37</v>
      </c>
      <c r="G620" s="12" t="s">
        <v>27</v>
      </c>
      <c r="H620" s="13">
        <v>174.6</v>
      </c>
      <c r="I620" s="14">
        <v>10.0</v>
      </c>
      <c r="J620" s="15" t="s">
        <v>28</v>
      </c>
      <c r="K620" s="16">
        <v>0.4</v>
      </c>
      <c r="L620" s="17">
        <f t="shared" si="1"/>
        <v>4</v>
      </c>
      <c r="M620" s="17">
        <f t="shared" si="2"/>
        <v>6</v>
      </c>
      <c r="N620" s="18">
        <f t="shared" si="3"/>
        <v>69.84</v>
      </c>
      <c r="O620" s="18">
        <f t="shared" si="4"/>
        <v>104.76</v>
      </c>
      <c r="P620" s="18">
        <f t="shared" si="5"/>
        <v>104.76</v>
      </c>
      <c r="Q620" s="8">
        <v>0.0</v>
      </c>
      <c r="R620" s="18">
        <f t="shared" si="6"/>
        <v>17.46</v>
      </c>
      <c r="S620" s="19" t="s">
        <v>29</v>
      </c>
      <c r="T620" s="19" t="s">
        <v>30</v>
      </c>
      <c r="U620" s="36" t="s">
        <v>861</v>
      </c>
      <c r="V620" s="37"/>
      <c r="W620" s="7"/>
      <c r="X620" s="7"/>
      <c r="Y620" s="7"/>
      <c r="Z620" s="7"/>
      <c r="AA620" s="7"/>
    </row>
    <row r="621" ht="18.75" customHeight="1">
      <c r="A621" s="22" t="s">
        <v>744</v>
      </c>
      <c r="B621" s="22" t="s">
        <v>862</v>
      </c>
      <c r="C621" s="23" t="s">
        <v>145</v>
      </c>
      <c r="D621" s="24">
        <v>2380.0</v>
      </c>
      <c r="E621" s="22" t="s">
        <v>863</v>
      </c>
      <c r="F621" s="25" t="s">
        <v>26</v>
      </c>
      <c r="G621" s="26" t="s">
        <v>27</v>
      </c>
      <c r="H621" s="27">
        <v>4899.9</v>
      </c>
      <c r="I621" s="28">
        <v>5.0</v>
      </c>
      <c r="J621" s="29" t="s">
        <v>54</v>
      </c>
      <c r="K621" s="30">
        <v>0.3</v>
      </c>
      <c r="L621" s="31">
        <f t="shared" si="1"/>
        <v>1.5</v>
      </c>
      <c r="M621" s="31">
        <f t="shared" si="2"/>
        <v>3.5</v>
      </c>
      <c r="N621" s="32">
        <f t="shared" si="3"/>
        <v>1469.97</v>
      </c>
      <c r="O621" s="32">
        <f t="shared" si="4"/>
        <v>3429.93</v>
      </c>
      <c r="P621" s="32">
        <f t="shared" si="5"/>
        <v>3429.93</v>
      </c>
      <c r="Q621" s="22">
        <v>0.0</v>
      </c>
      <c r="R621" s="32">
        <f t="shared" si="6"/>
        <v>979.98</v>
      </c>
      <c r="S621" s="33" t="s">
        <v>29</v>
      </c>
      <c r="T621" s="33" t="s">
        <v>30</v>
      </c>
      <c r="U621" s="34" t="s">
        <v>67</v>
      </c>
      <c r="V621" s="35"/>
      <c r="W621" s="7"/>
      <c r="X621" s="7"/>
      <c r="Y621" s="7"/>
      <c r="Z621" s="7"/>
      <c r="AA621" s="7"/>
    </row>
    <row r="622" ht="18.75" customHeight="1">
      <c r="A622" s="8" t="s">
        <v>744</v>
      </c>
      <c r="B622" s="8" t="s">
        <v>864</v>
      </c>
      <c r="C622" s="9" t="s">
        <v>433</v>
      </c>
      <c r="D622" s="10" t="s">
        <v>865</v>
      </c>
      <c r="E622" s="8" t="s">
        <v>866</v>
      </c>
      <c r="F622" s="11" t="s">
        <v>26</v>
      </c>
      <c r="G622" s="69">
        <v>45433.0</v>
      </c>
      <c r="H622" s="13">
        <v>2069.1</v>
      </c>
      <c r="I622" s="14">
        <v>10.0</v>
      </c>
      <c r="J622" s="15" t="s">
        <v>54</v>
      </c>
      <c r="K622" s="16">
        <v>0.3</v>
      </c>
      <c r="L622" s="17">
        <f t="shared" si="1"/>
        <v>3</v>
      </c>
      <c r="M622" s="17">
        <f t="shared" si="2"/>
        <v>7</v>
      </c>
      <c r="N622" s="18">
        <f t="shared" si="3"/>
        <v>620.73</v>
      </c>
      <c r="O622" s="18">
        <f t="shared" si="4"/>
        <v>1448.37</v>
      </c>
      <c r="P622" s="18">
        <f t="shared" si="5"/>
        <v>1448.37</v>
      </c>
      <c r="Q622" s="8">
        <v>0.0</v>
      </c>
      <c r="R622" s="18">
        <f t="shared" si="6"/>
        <v>206.91</v>
      </c>
      <c r="S622" s="19" t="s">
        <v>29</v>
      </c>
      <c r="T622" s="19" t="s">
        <v>30</v>
      </c>
      <c r="U622" s="20"/>
      <c r="V622" s="75">
        <v>1157531.0</v>
      </c>
      <c r="W622" s="7"/>
      <c r="X622" s="7"/>
      <c r="Y622" s="7"/>
      <c r="Z622" s="7"/>
      <c r="AA622" s="7"/>
    </row>
    <row r="623" ht="18.75" customHeight="1">
      <c r="A623" s="22" t="s">
        <v>867</v>
      </c>
      <c r="B623" s="22" t="s">
        <v>868</v>
      </c>
      <c r="C623" s="63" t="s">
        <v>24</v>
      </c>
      <c r="D623" s="64">
        <v>0.0</v>
      </c>
      <c r="E623" s="22" t="s">
        <v>869</v>
      </c>
      <c r="F623" s="25" t="s">
        <v>26</v>
      </c>
      <c r="G623" s="26" t="s">
        <v>27</v>
      </c>
      <c r="H623" s="27">
        <v>46.41</v>
      </c>
      <c r="I623" s="28">
        <v>5.0</v>
      </c>
      <c r="J623" s="29" t="s">
        <v>54</v>
      </c>
      <c r="K623" s="30">
        <v>0.3</v>
      </c>
      <c r="L623" s="31">
        <f t="shared" si="1"/>
        <v>1.5</v>
      </c>
      <c r="M623" s="31">
        <f t="shared" si="2"/>
        <v>3.5</v>
      </c>
      <c r="N623" s="32">
        <f t="shared" si="3"/>
        <v>13.923</v>
      </c>
      <c r="O623" s="32">
        <f t="shared" si="4"/>
        <v>32.487</v>
      </c>
      <c r="P623" s="32">
        <f t="shared" si="5"/>
        <v>32.487</v>
      </c>
      <c r="Q623" s="22">
        <v>0.0</v>
      </c>
      <c r="R623" s="32">
        <f t="shared" si="6"/>
        <v>9.282</v>
      </c>
      <c r="S623" s="33" t="s">
        <v>29</v>
      </c>
      <c r="T623" s="33" t="s">
        <v>30</v>
      </c>
      <c r="U623" s="34" t="s">
        <v>870</v>
      </c>
      <c r="V623" s="35"/>
      <c r="W623" s="7"/>
      <c r="X623" s="7"/>
      <c r="Y623" s="7"/>
      <c r="Z623" s="7"/>
      <c r="AA623" s="7"/>
    </row>
    <row r="624" ht="18.75" customHeight="1">
      <c r="A624" s="8" t="s">
        <v>867</v>
      </c>
      <c r="B624" s="8" t="s">
        <v>868</v>
      </c>
      <c r="C624" s="61" t="s">
        <v>433</v>
      </c>
      <c r="D624" s="62">
        <v>0.0</v>
      </c>
      <c r="E624" s="8" t="s">
        <v>871</v>
      </c>
      <c r="F624" s="11" t="s">
        <v>26</v>
      </c>
      <c r="G624" s="12" t="s">
        <v>27</v>
      </c>
      <c r="H624" s="13">
        <v>35.48</v>
      </c>
      <c r="I624" s="14">
        <v>5.0</v>
      </c>
      <c r="J624" s="15" t="s">
        <v>54</v>
      </c>
      <c r="K624" s="16">
        <v>0.3</v>
      </c>
      <c r="L624" s="17">
        <f t="shared" si="1"/>
        <v>1.5</v>
      </c>
      <c r="M624" s="17">
        <f t="shared" si="2"/>
        <v>3.5</v>
      </c>
      <c r="N624" s="18">
        <f t="shared" si="3"/>
        <v>10.644</v>
      </c>
      <c r="O624" s="18">
        <f t="shared" si="4"/>
        <v>24.836</v>
      </c>
      <c r="P624" s="18">
        <f t="shared" si="5"/>
        <v>24.836</v>
      </c>
      <c r="Q624" s="8">
        <v>0.0</v>
      </c>
      <c r="R624" s="18">
        <f t="shared" si="6"/>
        <v>7.096</v>
      </c>
      <c r="S624" s="19" t="s">
        <v>29</v>
      </c>
      <c r="T624" s="19" t="s">
        <v>30</v>
      </c>
      <c r="U624" s="20" t="s">
        <v>133</v>
      </c>
      <c r="V624" s="37"/>
      <c r="W624" s="7"/>
      <c r="X624" s="7"/>
      <c r="Y624" s="7"/>
      <c r="Z624" s="7"/>
      <c r="AA624" s="7"/>
    </row>
    <row r="625" ht="18.75" customHeight="1">
      <c r="A625" s="22" t="s">
        <v>867</v>
      </c>
      <c r="B625" s="22" t="s">
        <v>868</v>
      </c>
      <c r="C625" s="63" t="s">
        <v>24</v>
      </c>
      <c r="D625" s="64">
        <v>0.0</v>
      </c>
      <c r="E625" s="22" t="s">
        <v>872</v>
      </c>
      <c r="F625" s="25" t="s">
        <v>26</v>
      </c>
      <c r="G625" s="26" t="s">
        <v>27</v>
      </c>
      <c r="H625" s="27">
        <v>83.13</v>
      </c>
      <c r="I625" s="28">
        <v>5.0</v>
      </c>
      <c r="J625" s="29" t="s">
        <v>54</v>
      </c>
      <c r="K625" s="30">
        <v>0.3</v>
      </c>
      <c r="L625" s="31">
        <f t="shared" si="1"/>
        <v>1.5</v>
      </c>
      <c r="M625" s="31">
        <f t="shared" si="2"/>
        <v>3.5</v>
      </c>
      <c r="N625" s="32">
        <f t="shared" si="3"/>
        <v>24.939</v>
      </c>
      <c r="O625" s="32">
        <f t="shared" si="4"/>
        <v>58.191</v>
      </c>
      <c r="P625" s="32">
        <f t="shared" si="5"/>
        <v>58.191</v>
      </c>
      <c r="Q625" s="22">
        <v>0.0</v>
      </c>
      <c r="R625" s="32">
        <f t="shared" si="6"/>
        <v>16.626</v>
      </c>
      <c r="S625" s="33" t="s">
        <v>29</v>
      </c>
      <c r="T625" s="33" t="s">
        <v>30</v>
      </c>
      <c r="U625" s="34" t="s">
        <v>137</v>
      </c>
      <c r="V625" s="35"/>
      <c r="W625" s="7"/>
      <c r="X625" s="7"/>
      <c r="Y625" s="7"/>
      <c r="Z625" s="7"/>
      <c r="AA625" s="7"/>
    </row>
    <row r="626" ht="18.75" customHeight="1">
      <c r="A626" s="8" t="s">
        <v>867</v>
      </c>
      <c r="B626" s="8" t="s">
        <v>868</v>
      </c>
      <c r="C626" s="61" t="s">
        <v>24</v>
      </c>
      <c r="D626" s="50">
        <v>0.0</v>
      </c>
      <c r="E626" s="8" t="s">
        <v>873</v>
      </c>
      <c r="F626" s="11" t="s">
        <v>26</v>
      </c>
      <c r="G626" s="12" t="s">
        <v>27</v>
      </c>
      <c r="H626" s="13">
        <v>99.14</v>
      </c>
      <c r="I626" s="14">
        <v>5.0</v>
      </c>
      <c r="J626" s="15" t="s">
        <v>38</v>
      </c>
      <c r="K626" s="16">
        <v>0.5</v>
      </c>
      <c r="L626" s="17">
        <f t="shared" si="1"/>
        <v>2.5</v>
      </c>
      <c r="M626" s="17">
        <f t="shared" si="2"/>
        <v>2.5</v>
      </c>
      <c r="N626" s="18">
        <f t="shared" si="3"/>
        <v>49.57</v>
      </c>
      <c r="O626" s="18">
        <f t="shared" si="4"/>
        <v>49.57</v>
      </c>
      <c r="P626" s="18">
        <f t="shared" si="5"/>
        <v>49.57</v>
      </c>
      <c r="Q626" s="8">
        <v>0.0</v>
      </c>
      <c r="R626" s="18">
        <f t="shared" si="6"/>
        <v>19.828</v>
      </c>
      <c r="S626" s="19" t="s">
        <v>29</v>
      </c>
      <c r="T626" s="19" t="s">
        <v>30</v>
      </c>
      <c r="U626" s="20" t="s">
        <v>874</v>
      </c>
      <c r="V626" s="37"/>
      <c r="W626" s="7"/>
      <c r="X626" s="7"/>
      <c r="Y626" s="7"/>
      <c r="Z626" s="7"/>
      <c r="AA626" s="7"/>
    </row>
    <row r="627" ht="18.75" customHeight="1">
      <c r="A627" s="22" t="s">
        <v>867</v>
      </c>
      <c r="B627" s="22" t="s">
        <v>868</v>
      </c>
      <c r="C627" s="63" t="s">
        <v>24</v>
      </c>
      <c r="D627" s="51">
        <v>0.0</v>
      </c>
      <c r="E627" s="22" t="s">
        <v>875</v>
      </c>
      <c r="F627" s="25" t="s">
        <v>26</v>
      </c>
      <c r="G627" s="26" t="s">
        <v>27</v>
      </c>
      <c r="H627" s="27">
        <v>80.59</v>
      </c>
      <c r="I627" s="28">
        <v>5.0</v>
      </c>
      <c r="J627" s="29" t="s">
        <v>81</v>
      </c>
      <c r="K627" s="30">
        <v>0.15</v>
      </c>
      <c r="L627" s="31">
        <f t="shared" si="1"/>
        <v>0.75</v>
      </c>
      <c r="M627" s="31">
        <f t="shared" si="2"/>
        <v>4.25</v>
      </c>
      <c r="N627" s="32">
        <f t="shared" si="3"/>
        <v>12.0885</v>
      </c>
      <c r="O627" s="32">
        <f t="shared" si="4"/>
        <v>68.5015</v>
      </c>
      <c r="P627" s="32">
        <f t="shared" si="5"/>
        <v>68.5015</v>
      </c>
      <c r="Q627" s="22">
        <v>0.0</v>
      </c>
      <c r="R627" s="32">
        <f t="shared" si="6"/>
        <v>16.118</v>
      </c>
      <c r="S627" s="33" t="s">
        <v>29</v>
      </c>
      <c r="T627" s="33" t="s">
        <v>30</v>
      </c>
      <c r="U627" s="34" t="s">
        <v>876</v>
      </c>
      <c r="V627" s="35"/>
      <c r="W627" s="7"/>
      <c r="X627" s="7"/>
      <c r="Y627" s="7"/>
      <c r="Z627" s="7"/>
      <c r="AA627" s="7"/>
    </row>
    <row r="628" ht="18.75" customHeight="1">
      <c r="A628" s="8" t="s">
        <v>867</v>
      </c>
      <c r="B628" s="8" t="s">
        <v>868</v>
      </c>
      <c r="C628" s="61" t="s">
        <v>33</v>
      </c>
      <c r="D628" s="50">
        <v>0.0</v>
      </c>
      <c r="E628" s="8" t="s">
        <v>877</v>
      </c>
      <c r="F628" s="11" t="s">
        <v>26</v>
      </c>
      <c r="G628" s="12" t="s">
        <v>27</v>
      </c>
      <c r="H628" s="13">
        <v>463.56</v>
      </c>
      <c r="I628" s="14">
        <v>5.0</v>
      </c>
      <c r="J628" s="15" t="s">
        <v>54</v>
      </c>
      <c r="K628" s="16">
        <v>0.3</v>
      </c>
      <c r="L628" s="17">
        <f t="shared" si="1"/>
        <v>1.5</v>
      </c>
      <c r="M628" s="17">
        <f t="shared" si="2"/>
        <v>3.5</v>
      </c>
      <c r="N628" s="18">
        <f t="shared" si="3"/>
        <v>139.068</v>
      </c>
      <c r="O628" s="18">
        <f t="shared" si="4"/>
        <v>324.492</v>
      </c>
      <c r="P628" s="18">
        <f t="shared" si="5"/>
        <v>324.492</v>
      </c>
      <c r="Q628" s="8">
        <v>0.0</v>
      </c>
      <c r="R628" s="18">
        <f t="shared" si="6"/>
        <v>92.712</v>
      </c>
      <c r="S628" s="19" t="s">
        <v>29</v>
      </c>
      <c r="T628" s="19" t="s">
        <v>30</v>
      </c>
      <c r="U628" s="20" t="s">
        <v>125</v>
      </c>
      <c r="V628" s="37"/>
      <c r="W628" s="7"/>
      <c r="X628" s="7"/>
      <c r="Y628" s="7"/>
      <c r="Z628" s="7"/>
      <c r="AA628" s="7"/>
    </row>
    <row r="629" ht="18.75" customHeight="1">
      <c r="A629" s="22" t="s">
        <v>867</v>
      </c>
      <c r="B629" s="22" t="s">
        <v>868</v>
      </c>
      <c r="C629" s="63" t="s">
        <v>33</v>
      </c>
      <c r="D629" s="64">
        <v>0.0</v>
      </c>
      <c r="E629" s="22" t="s">
        <v>878</v>
      </c>
      <c r="F629" s="25" t="s">
        <v>26</v>
      </c>
      <c r="G629" s="26" t="s">
        <v>27</v>
      </c>
      <c r="H629" s="27">
        <v>463.56</v>
      </c>
      <c r="I629" s="28">
        <v>5.0</v>
      </c>
      <c r="J629" s="29" t="s">
        <v>54</v>
      </c>
      <c r="K629" s="30">
        <v>0.3</v>
      </c>
      <c r="L629" s="31">
        <f t="shared" si="1"/>
        <v>1.5</v>
      </c>
      <c r="M629" s="31">
        <f t="shared" si="2"/>
        <v>3.5</v>
      </c>
      <c r="N629" s="32">
        <f t="shared" si="3"/>
        <v>139.068</v>
      </c>
      <c r="O629" s="32">
        <f t="shared" si="4"/>
        <v>324.492</v>
      </c>
      <c r="P629" s="32">
        <f t="shared" si="5"/>
        <v>324.492</v>
      </c>
      <c r="Q629" s="22">
        <v>0.0</v>
      </c>
      <c r="R629" s="32">
        <f t="shared" si="6"/>
        <v>92.712</v>
      </c>
      <c r="S629" s="33" t="s">
        <v>29</v>
      </c>
      <c r="T629" s="33" t="s">
        <v>30</v>
      </c>
      <c r="U629" s="34" t="s">
        <v>125</v>
      </c>
      <c r="V629" s="35"/>
      <c r="W629" s="7"/>
      <c r="X629" s="7"/>
      <c r="Y629" s="7"/>
      <c r="Z629" s="7"/>
      <c r="AA629" s="7"/>
    </row>
    <row r="630" ht="18.75" customHeight="1">
      <c r="A630" s="8" t="s">
        <v>867</v>
      </c>
      <c r="B630" s="8" t="s">
        <v>868</v>
      </c>
      <c r="C630" s="61" t="s">
        <v>33</v>
      </c>
      <c r="D630" s="50">
        <v>0.0</v>
      </c>
      <c r="E630" s="8" t="s">
        <v>879</v>
      </c>
      <c r="F630" s="11" t="s">
        <v>26</v>
      </c>
      <c r="G630" s="12" t="s">
        <v>27</v>
      </c>
      <c r="H630" s="13">
        <v>463.56</v>
      </c>
      <c r="I630" s="14">
        <v>5.0</v>
      </c>
      <c r="J630" s="15" t="s">
        <v>54</v>
      </c>
      <c r="K630" s="16">
        <v>0.3</v>
      </c>
      <c r="L630" s="17">
        <f t="shared" si="1"/>
        <v>1.5</v>
      </c>
      <c r="M630" s="17">
        <f t="shared" si="2"/>
        <v>3.5</v>
      </c>
      <c r="N630" s="18">
        <f t="shared" si="3"/>
        <v>139.068</v>
      </c>
      <c r="O630" s="18">
        <f t="shared" si="4"/>
        <v>324.492</v>
      </c>
      <c r="P630" s="18">
        <f t="shared" si="5"/>
        <v>324.492</v>
      </c>
      <c r="Q630" s="8">
        <v>0.0</v>
      </c>
      <c r="R630" s="18">
        <f t="shared" si="6"/>
        <v>92.712</v>
      </c>
      <c r="S630" s="19" t="s">
        <v>29</v>
      </c>
      <c r="T630" s="19" t="s">
        <v>30</v>
      </c>
      <c r="U630" s="20" t="s">
        <v>125</v>
      </c>
      <c r="V630" s="37"/>
      <c r="W630" s="7"/>
      <c r="X630" s="7"/>
      <c r="Y630" s="7"/>
      <c r="Z630" s="7"/>
      <c r="AA630" s="7"/>
    </row>
    <row r="631" ht="18.75" customHeight="1">
      <c r="A631" s="22" t="s">
        <v>867</v>
      </c>
      <c r="B631" s="22" t="s">
        <v>868</v>
      </c>
      <c r="C631" s="63" t="s">
        <v>33</v>
      </c>
      <c r="D631" s="51">
        <v>0.0</v>
      </c>
      <c r="E631" s="22" t="s">
        <v>880</v>
      </c>
      <c r="F631" s="25" t="s">
        <v>26</v>
      </c>
      <c r="G631" s="26" t="s">
        <v>27</v>
      </c>
      <c r="H631" s="27">
        <v>463.56</v>
      </c>
      <c r="I631" s="28">
        <v>5.0</v>
      </c>
      <c r="J631" s="29" t="s">
        <v>54</v>
      </c>
      <c r="K631" s="30">
        <v>0.3</v>
      </c>
      <c r="L631" s="31">
        <f t="shared" si="1"/>
        <v>1.5</v>
      </c>
      <c r="M631" s="31">
        <f t="shared" si="2"/>
        <v>3.5</v>
      </c>
      <c r="N631" s="32">
        <f t="shared" si="3"/>
        <v>139.068</v>
      </c>
      <c r="O631" s="32">
        <f t="shared" si="4"/>
        <v>324.492</v>
      </c>
      <c r="P631" s="32">
        <f t="shared" si="5"/>
        <v>324.492</v>
      </c>
      <c r="Q631" s="22">
        <v>0.0</v>
      </c>
      <c r="R631" s="32">
        <f t="shared" si="6"/>
        <v>92.712</v>
      </c>
      <c r="S631" s="33" t="s">
        <v>29</v>
      </c>
      <c r="T631" s="33" t="s">
        <v>30</v>
      </c>
      <c r="U631" s="34" t="s">
        <v>125</v>
      </c>
      <c r="V631" s="35"/>
      <c r="W631" s="7"/>
      <c r="X631" s="7"/>
      <c r="Y631" s="7"/>
      <c r="Z631" s="7"/>
      <c r="AA631" s="7"/>
    </row>
    <row r="632" ht="18.75" customHeight="1">
      <c r="A632" s="8" t="s">
        <v>867</v>
      </c>
      <c r="B632" s="8" t="s">
        <v>868</v>
      </c>
      <c r="C632" s="61" t="s">
        <v>33</v>
      </c>
      <c r="D632" s="50">
        <v>0.0</v>
      </c>
      <c r="E632" s="8" t="s">
        <v>881</v>
      </c>
      <c r="F632" s="11" t="s">
        <v>26</v>
      </c>
      <c r="G632" s="12" t="s">
        <v>27</v>
      </c>
      <c r="H632" s="13">
        <v>651.75</v>
      </c>
      <c r="I632" s="14">
        <v>5.0</v>
      </c>
      <c r="J632" s="15" t="s">
        <v>54</v>
      </c>
      <c r="K632" s="16">
        <v>0.3</v>
      </c>
      <c r="L632" s="17">
        <f t="shared" si="1"/>
        <v>1.5</v>
      </c>
      <c r="M632" s="17">
        <f t="shared" si="2"/>
        <v>3.5</v>
      </c>
      <c r="N632" s="18">
        <f t="shared" si="3"/>
        <v>195.525</v>
      </c>
      <c r="O632" s="18">
        <f t="shared" si="4"/>
        <v>456.225</v>
      </c>
      <c r="P632" s="18">
        <f t="shared" si="5"/>
        <v>456.225</v>
      </c>
      <c r="Q632" s="8">
        <v>0.0</v>
      </c>
      <c r="R632" s="18">
        <f t="shared" si="6"/>
        <v>130.35</v>
      </c>
      <c r="S632" s="19" t="s">
        <v>29</v>
      </c>
      <c r="T632" s="19" t="s">
        <v>30</v>
      </c>
      <c r="U632" s="20" t="s">
        <v>121</v>
      </c>
      <c r="V632" s="37"/>
      <c r="W632" s="7"/>
      <c r="X632" s="7"/>
      <c r="Y632" s="7"/>
      <c r="Z632" s="7"/>
      <c r="AA632" s="7"/>
    </row>
    <row r="633" ht="18.75" customHeight="1">
      <c r="A633" s="22" t="s">
        <v>867</v>
      </c>
      <c r="B633" s="22" t="s">
        <v>868</v>
      </c>
      <c r="C633" s="63" t="s">
        <v>33</v>
      </c>
      <c r="D633" s="51">
        <v>0.0</v>
      </c>
      <c r="E633" s="22" t="s">
        <v>882</v>
      </c>
      <c r="F633" s="25" t="s">
        <v>26</v>
      </c>
      <c r="G633" s="26" t="s">
        <v>27</v>
      </c>
      <c r="H633" s="27">
        <v>651.75</v>
      </c>
      <c r="I633" s="28">
        <v>5.0</v>
      </c>
      <c r="J633" s="29" t="s">
        <v>54</v>
      </c>
      <c r="K633" s="30">
        <v>0.3</v>
      </c>
      <c r="L633" s="31">
        <f t="shared" si="1"/>
        <v>1.5</v>
      </c>
      <c r="M633" s="31">
        <f t="shared" si="2"/>
        <v>3.5</v>
      </c>
      <c r="N633" s="32">
        <f t="shared" si="3"/>
        <v>195.525</v>
      </c>
      <c r="O633" s="32">
        <f t="shared" si="4"/>
        <v>456.225</v>
      </c>
      <c r="P633" s="32">
        <f t="shared" si="5"/>
        <v>456.225</v>
      </c>
      <c r="Q633" s="22">
        <v>0.0</v>
      </c>
      <c r="R633" s="32">
        <f t="shared" si="6"/>
        <v>130.35</v>
      </c>
      <c r="S633" s="33" t="s">
        <v>29</v>
      </c>
      <c r="T633" s="33" t="s">
        <v>30</v>
      </c>
      <c r="U633" s="34" t="s">
        <v>121</v>
      </c>
      <c r="V633" s="35"/>
      <c r="W633" s="7"/>
      <c r="X633" s="7"/>
      <c r="Y633" s="7"/>
      <c r="Z633" s="7"/>
      <c r="AA633" s="7"/>
    </row>
    <row r="634" ht="18.75" customHeight="1">
      <c r="A634" s="8" t="s">
        <v>867</v>
      </c>
      <c r="B634" s="8" t="s">
        <v>868</v>
      </c>
      <c r="C634" s="61" t="s">
        <v>24</v>
      </c>
      <c r="D634" s="62">
        <v>0.0</v>
      </c>
      <c r="E634" s="8" t="s">
        <v>883</v>
      </c>
      <c r="F634" s="11" t="s">
        <v>26</v>
      </c>
      <c r="G634" s="12" t="s">
        <v>27</v>
      </c>
      <c r="H634" s="13">
        <v>47.11</v>
      </c>
      <c r="I634" s="14">
        <v>5.0</v>
      </c>
      <c r="J634" s="15" t="s">
        <v>54</v>
      </c>
      <c r="K634" s="16">
        <v>0.3</v>
      </c>
      <c r="L634" s="17">
        <f t="shared" si="1"/>
        <v>1.5</v>
      </c>
      <c r="M634" s="17">
        <f t="shared" si="2"/>
        <v>3.5</v>
      </c>
      <c r="N634" s="18">
        <f t="shared" si="3"/>
        <v>14.133</v>
      </c>
      <c r="O634" s="18">
        <f t="shared" si="4"/>
        <v>32.977</v>
      </c>
      <c r="P634" s="18">
        <f t="shared" si="5"/>
        <v>32.977</v>
      </c>
      <c r="Q634" s="8">
        <v>0.0</v>
      </c>
      <c r="R634" s="18">
        <f t="shared" si="6"/>
        <v>9.422</v>
      </c>
      <c r="S634" s="19" t="s">
        <v>29</v>
      </c>
      <c r="T634" s="19" t="s">
        <v>30</v>
      </c>
      <c r="U634" s="20" t="s">
        <v>884</v>
      </c>
      <c r="V634" s="37"/>
      <c r="W634" s="7"/>
      <c r="X634" s="7"/>
      <c r="Y634" s="7"/>
      <c r="Z634" s="7"/>
      <c r="AA634" s="7"/>
    </row>
    <row r="635" ht="18.75" customHeight="1">
      <c r="A635" s="22" t="s">
        <v>867</v>
      </c>
      <c r="B635" s="22" t="s">
        <v>868</v>
      </c>
      <c r="C635" s="63" t="s">
        <v>24</v>
      </c>
      <c r="D635" s="64">
        <v>0.0</v>
      </c>
      <c r="E635" s="22" t="s">
        <v>885</v>
      </c>
      <c r="F635" s="25" t="s">
        <v>26</v>
      </c>
      <c r="G635" s="26" t="s">
        <v>27</v>
      </c>
      <c r="H635" s="27">
        <v>13.9</v>
      </c>
      <c r="I635" s="28">
        <v>5.0</v>
      </c>
      <c r="J635" s="29" t="s">
        <v>154</v>
      </c>
      <c r="K635" s="30">
        <v>0.8</v>
      </c>
      <c r="L635" s="31">
        <f t="shared" si="1"/>
        <v>4</v>
      </c>
      <c r="M635" s="31">
        <f t="shared" si="2"/>
        <v>1</v>
      </c>
      <c r="N635" s="32">
        <f t="shared" si="3"/>
        <v>11.12</v>
      </c>
      <c r="O635" s="32">
        <f t="shared" si="4"/>
        <v>2.78</v>
      </c>
      <c r="P635" s="32">
        <f t="shared" si="5"/>
        <v>2.78</v>
      </c>
      <c r="Q635" s="22">
        <v>0.0</v>
      </c>
      <c r="R635" s="32">
        <f t="shared" si="6"/>
        <v>2.78</v>
      </c>
      <c r="S635" s="33" t="s">
        <v>29</v>
      </c>
      <c r="T635" s="33" t="s">
        <v>30</v>
      </c>
      <c r="U635" s="34" t="s">
        <v>886</v>
      </c>
      <c r="V635" s="35"/>
      <c r="W635" s="7"/>
      <c r="X635" s="7"/>
      <c r="Y635" s="7"/>
      <c r="Z635" s="7"/>
      <c r="AA635" s="7"/>
    </row>
    <row r="636" ht="18.75" customHeight="1">
      <c r="A636" s="8" t="s">
        <v>867</v>
      </c>
      <c r="B636" s="8" t="s">
        <v>868</v>
      </c>
      <c r="C636" s="61" t="s">
        <v>24</v>
      </c>
      <c r="D636" s="62">
        <v>0.0</v>
      </c>
      <c r="E636" s="8" t="s">
        <v>887</v>
      </c>
      <c r="F636" s="11" t="s">
        <v>26</v>
      </c>
      <c r="G636" s="12" t="s">
        <v>27</v>
      </c>
      <c r="H636" s="13">
        <v>20.9</v>
      </c>
      <c r="I636" s="14">
        <v>20.0</v>
      </c>
      <c r="J636" s="15" t="s">
        <v>54</v>
      </c>
      <c r="K636" s="16">
        <v>0.3</v>
      </c>
      <c r="L636" s="17">
        <f t="shared" si="1"/>
        <v>6</v>
      </c>
      <c r="M636" s="17">
        <f t="shared" si="2"/>
        <v>14</v>
      </c>
      <c r="N636" s="18">
        <f t="shared" si="3"/>
        <v>6.27</v>
      </c>
      <c r="O636" s="18">
        <f t="shared" si="4"/>
        <v>14.63</v>
      </c>
      <c r="P636" s="18">
        <f t="shared" si="5"/>
        <v>14.63</v>
      </c>
      <c r="Q636" s="8">
        <v>0.0</v>
      </c>
      <c r="R636" s="18">
        <f t="shared" si="6"/>
        <v>1.045</v>
      </c>
      <c r="S636" s="19" t="s">
        <v>29</v>
      </c>
      <c r="T636" s="19" t="s">
        <v>30</v>
      </c>
      <c r="U636" s="20" t="s">
        <v>888</v>
      </c>
      <c r="V636" s="37"/>
      <c r="W636" s="7"/>
      <c r="X636" s="7"/>
      <c r="Y636" s="7"/>
      <c r="Z636" s="7"/>
      <c r="AA636" s="7"/>
    </row>
    <row r="637" ht="18.75" customHeight="1">
      <c r="A637" s="22" t="s">
        <v>867</v>
      </c>
      <c r="B637" s="22" t="s">
        <v>868</v>
      </c>
      <c r="C637" s="63" t="s">
        <v>24</v>
      </c>
      <c r="D637" s="64">
        <v>0.0</v>
      </c>
      <c r="E637" s="22" t="s">
        <v>889</v>
      </c>
      <c r="F637" s="25" t="s">
        <v>26</v>
      </c>
      <c r="G637" s="26" t="s">
        <v>27</v>
      </c>
      <c r="H637" s="27">
        <v>29.0</v>
      </c>
      <c r="I637" s="28">
        <v>20.0</v>
      </c>
      <c r="J637" s="29" t="s">
        <v>54</v>
      </c>
      <c r="K637" s="30">
        <v>0.3</v>
      </c>
      <c r="L637" s="31">
        <f t="shared" si="1"/>
        <v>6</v>
      </c>
      <c r="M637" s="31">
        <f t="shared" si="2"/>
        <v>14</v>
      </c>
      <c r="N637" s="32">
        <f t="shared" si="3"/>
        <v>8.7</v>
      </c>
      <c r="O637" s="32">
        <f t="shared" si="4"/>
        <v>20.3</v>
      </c>
      <c r="P637" s="32">
        <f t="shared" si="5"/>
        <v>20.3</v>
      </c>
      <c r="Q637" s="22">
        <v>0.0</v>
      </c>
      <c r="R637" s="32">
        <f t="shared" si="6"/>
        <v>1.45</v>
      </c>
      <c r="S637" s="33" t="s">
        <v>29</v>
      </c>
      <c r="T637" s="33" t="s">
        <v>30</v>
      </c>
      <c r="U637" s="34" t="s">
        <v>497</v>
      </c>
      <c r="V637" s="35"/>
      <c r="W637" s="7"/>
      <c r="X637" s="7"/>
      <c r="Y637" s="7"/>
      <c r="Z637" s="7"/>
      <c r="AA637" s="7"/>
    </row>
    <row r="638" ht="18.75" customHeight="1">
      <c r="A638" s="8" t="s">
        <v>867</v>
      </c>
      <c r="B638" s="8" t="s">
        <v>868</v>
      </c>
      <c r="C638" s="61" t="s">
        <v>24</v>
      </c>
      <c r="D638" s="62">
        <v>0.0</v>
      </c>
      <c r="E638" s="8" t="s">
        <v>890</v>
      </c>
      <c r="F638" s="11" t="s">
        <v>26</v>
      </c>
      <c r="G638" s="12" t="s">
        <v>27</v>
      </c>
      <c r="H638" s="13">
        <v>18.95</v>
      </c>
      <c r="I638" s="14">
        <v>20.0</v>
      </c>
      <c r="J638" s="15" t="s">
        <v>54</v>
      </c>
      <c r="K638" s="16">
        <v>0.3</v>
      </c>
      <c r="L638" s="17">
        <f t="shared" si="1"/>
        <v>6</v>
      </c>
      <c r="M638" s="17">
        <f t="shared" si="2"/>
        <v>14</v>
      </c>
      <c r="N638" s="18">
        <f t="shared" si="3"/>
        <v>5.685</v>
      </c>
      <c r="O638" s="18">
        <f t="shared" si="4"/>
        <v>13.265</v>
      </c>
      <c r="P638" s="18">
        <f t="shared" si="5"/>
        <v>13.265</v>
      </c>
      <c r="Q638" s="8">
        <v>0.0</v>
      </c>
      <c r="R638" s="18">
        <f t="shared" si="6"/>
        <v>0.9475</v>
      </c>
      <c r="S638" s="19" t="s">
        <v>29</v>
      </c>
      <c r="T638" s="19" t="s">
        <v>30</v>
      </c>
      <c r="U638" s="20" t="s">
        <v>519</v>
      </c>
      <c r="V638" s="37"/>
      <c r="W638" s="7"/>
      <c r="X638" s="7"/>
      <c r="Y638" s="7"/>
      <c r="Z638" s="7"/>
      <c r="AA638" s="7"/>
    </row>
    <row r="639" ht="18.75" customHeight="1">
      <c r="A639" s="22" t="s">
        <v>867</v>
      </c>
      <c r="B639" s="22" t="s">
        <v>868</v>
      </c>
      <c r="C639" s="63" t="s">
        <v>33</v>
      </c>
      <c r="D639" s="51">
        <v>0.0</v>
      </c>
      <c r="E639" s="22" t="s">
        <v>891</v>
      </c>
      <c r="F639" s="25" t="s">
        <v>26</v>
      </c>
      <c r="G639" s="26" t="s">
        <v>27</v>
      </c>
      <c r="H639" s="27">
        <v>576.47</v>
      </c>
      <c r="I639" s="28">
        <v>5.0</v>
      </c>
      <c r="J639" s="29" t="s">
        <v>54</v>
      </c>
      <c r="K639" s="30">
        <v>0.3</v>
      </c>
      <c r="L639" s="31">
        <f t="shared" si="1"/>
        <v>1.5</v>
      </c>
      <c r="M639" s="31">
        <f t="shared" si="2"/>
        <v>3.5</v>
      </c>
      <c r="N639" s="32">
        <f t="shared" si="3"/>
        <v>172.941</v>
      </c>
      <c r="O639" s="32">
        <f t="shared" si="4"/>
        <v>403.529</v>
      </c>
      <c r="P639" s="32">
        <f t="shared" si="5"/>
        <v>403.529</v>
      </c>
      <c r="Q639" s="22">
        <v>0.0</v>
      </c>
      <c r="R639" s="32">
        <f t="shared" si="6"/>
        <v>115.294</v>
      </c>
      <c r="S639" s="33" t="s">
        <v>29</v>
      </c>
      <c r="T639" s="33" t="s">
        <v>30</v>
      </c>
      <c r="U639" s="34" t="s">
        <v>114</v>
      </c>
      <c r="V639" s="35"/>
      <c r="W639" s="7"/>
      <c r="X639" s="7"/>
      <c r="Y639" s="7"/>
      <c r="Z639" s="7"/>
      <c r="AA639" s="7"/>
    </row>
    <row r="640" ht="18.75" customHeight="1">
      <c r="A640" s="8" t="s">
        <v>867</v>
      </c>
      <c r="B640" s="8" t="s">
        <v>868</v>
      </c>
      <c r="C640" s="61" t="s">
        <v>433</v>
      </c>
      <c r="D640" s="62">
        <v>0.0</v>
      </c>
      <c r="E640" s="8" t="s">
        <v>892</v>
      </c>
      <c r="F640" s="11" t="s">
        <v>26</v>
      </c>
      <c r="G640" s="12" t="s">
        <v>27</v>
      </c>
      <c r="H640" s="13">
        <v>30.99</v>
      </c>
      <c r="I640" s="14">
        <v>5.0</v>
      </c>
      <c r="J640" s="48" t="s">
        <v>63</v>
      </c>
      <c r="K640" s="16">
        <v>0.700000000000003</v>
      </c>
      <c r="L640" s="17">
        <f t="shared" si="1"/>
        <v>3.5</v>
      </c>
      <c r="M640" s="17">
        <f t="shared" si="2"/>
        <v>1.5</v>
      </c>
      <c r="N640" s="18">
        <f t="shared" si="3"/>
        <v>21.693</v>
      </c>
      <c r="O640" s="18">
        <f t="shared" si="4"/>
        <v>9.297</v>
      </c>
      <c r="P640" s="18">
        <f t="shared" si="5"/>
        <v>9.297</v>
      </c>
      <c r="Q640" s="8">
        <v>0.0</v>
      </c>
      <c r="R640" s="18">
        <f t="shared" si="6"/>
        <v>6.198</v>
      </c>
      <c r="S640" s="19" t="s">
        <v>29</v>
      </c>
      <c r="T640" s="19" t="s">
        <v>30</v>
      </c>
      <c r="U640" s="20" t="s">
        <v>177</v>
      </c>
      <c r="V640" s="37"/>
      <c r="W640" s="7"/>
      <c r="X640" s="7"/>
      <c r="Y640" s="7"/>
      <c r="Z640" s="7"/>
      <c r="AA640" s="7"/>
    </row>
    <row r="641" ht="18.75" customHeight="1">
      <c r="A641" s="22" t="s">
        <v>867</v>
      </c>
      <c r="B641" s="22" t="s">
        <v>868</v>
      </c>
      <c r="C641" s="63" t="s">
        <v>433</v>
      </c>
      <c r="D641" s="64">
        <v>0.0</v>
      </c>
      <c r="E641" s="22" t="s">
        <v>893</v>
      </c>
      <c r="F641" s="25" t="s">
        <v>26</v>
      </c>
      <c r="G641" s="26" t="s">
        <v>27</v>
      </c>
      <c r="H641" s="27">
        <v>58.0</v>
      </c>
      <c r="I641" s="28">
        <v>5.0</v>
      </c>
      <c r="J641" s="29" t="s">
        <v>38</v>
      </c>
      <c r="K641" s="30">
        <v>0.5</v>
      </c>
      <c r="L641" s="31">
        <f t="shared" si="1"/>
        <v>2.5</v>
      </c>
      <c r="M641" s="31">
        <f t="shared" si="2"/>
        <v>2.5</v>
      </c>
      <c r="N641" s="32">
        <f t="shared" si="3"/>
        <v>29</v>
      </c>
      <c r="O641" s="32">
        <f t="shared" si="4"/>
        <v>29</v>
      </c>
      <c r="P641" s="32">
        <f t="shared" si="5"/>
        <v>29</v>
      </c>
      <c r="Q641" s="22">
        <v>0.0</v>
      </c>
      <c r="R641" s="32">
        <f t="shared" si="6"/>
        <v>11.6</v>
      </c>
      <c r="S641" s="33" t="s">
        <v>29</v>
      </c>
      <c r="T641" s="33" t="s">
        <v>30</v>
      </c>
      <c r="U641" s="34" t="s">
        <v>169</v>
      </c>
      <c r="V641" s="35"/>
      <c r="W641" s="7"/>
      <c r="X641" s="7"/>
      <c r="Y641" s="7"/>
      <c r="Z641" s="7"/>
      <c r="AA641" s="7"/>
    </row>
    <row r="642" ht="18.75" customHeight="1">
      <c r="A642" s="8" t="s">
        <v>867</v>
      </c>
      <c r="B642" s="8" t="s">
        <v>868</v>
      </c>
      <c r="C642" s="61" t="s">
        <v>24</v>
      </c>
      <c r="D642" s="50">
        <v>0.0</v>
      </c>
      <c r="E642" s="8" t="s">
        <v>894</v>
      </c>
      <c r="F642" s="11" t="s">
        <v>26</v>
      </c>
      <c r="G642" s="12" t="s">
        <v>27</v>
      </c>
      <c r="H642" s="13">
        <v>39.43</v>
      </c>
      <c r="I642" s="14">
        <v>5.0</v>
      </c>
      <c r="J642" s="15" t="s">
        <v>81</v>
      </c>
      <c r="K642" s="16">
        <v>0.15</v>
      </c>
      <c r="L642" s="17">
        <f t="shared" si="1"/>
        <v>0.75</v>
      </c>
      <c r="M642" s="17">
        <f t="shared" si="2"/>
        <v>4.25</v>
      </c>
      <c r="N642" s="18">
        <f t="shared" si="3"/>
        <v>5.9145</v>
      </c>
      <c r="O642" s="18">
        <f t="shared" si="4"/>
        <v>33.5155</v>
      </c>
      <c r="P642" s="18">
        <f t="shared" si="5"/>
        <v>33.5155</v>
      </c>
      <c r="Q642" s="8">
        <v>0.0</v>
      </c>
      <c r="R642" s="18">
        <f t="shared" si="6"/>
        <v>7.886</v>
      </c>
      <c r="S642" s="19" t="s">
        <v>29</v>
      </c>
      <c r="T642" s="19" t="s">
        <v>30</v>
      </c>
      <c r="U642" s="20" t="s">
        <v>502</v>
      </c>
      <c r="V642" s="37"/>
      <c r="W642" s="7"/>
      <c r="X642" s="7"/>
      <c r="Y642" s="7"/>
      <c r="Z642" s="7"/>
      <c r="AA642" s="7"/>
    </row>
    <row r="643" ht="18.75" customHeight="1">
      <c r="A643" s="22" t="s">
        <v>867</v>
      </c>
      <c r="B643" s="22" t="s">
        <v>868</v>
      </c>
      <c r="C643" s="63" t="s">
        <v>24</v>
      </c>
      <c r="D643" s="51">
        <v>0.0</v>
      </c>
      <c r="E643" s="22" t="s">
        <v>895</v>
      </c>
      <c r="F643" s="25" t="s">
        <v>26</v>
      </c>
      <c r="G643" s="26" t="s">
        <v>27</v>
      </c>
      <c r="H643" s="27">
        <v>54.15</v>
      </c>
      <c r="I643" s="28">
        <v>5.0</v>
      </c>
      <c r="J643" s="29" t="s">
        <v>81</v>
      </c>
      <c r="K643" s="30">
        <v>0.15</v>
      </c>
      <c r="L643" s="31">
        <f t="shared" si="1"/>
        <v>0.75</v>
      </c>
      <c r="M643" s="31">
        <f t="shared" si="2"/>
        <v>4.25</v>
      </c>
      <c r="N643" s="32">
        <f t="shared" si="3"/>
        <v>8.1225</v>
      </c>
      <c r="O643" s="32">
        <f t="shared" si="4"/>
        <v>46.0275</v>
      </c>
      <c r="P643" s="32">
        <f t="shared" si="5"/>
        <v>46.0275</v>
      </c>
      <c r="Q643" s="22">
        <v>0.0</v>
      </c>
      <c r="R643" s="32">
        <f t="shared" si="6"/>
        <v>10.83</v>
      </c>
      <c r="S643" s="33" t="s">
        <v>29</v>
      </c>
      <c r="T643" s="33" t="s">
        <v>30</v>
      </c>
      <c r="U643" s="34" t="s">
        <v>513</v>
      </c>
      <c r="V643" s="35"/>
      <c r="W643" s="7"/>
      <c r="X643" s="7"/>
      <c r="Y643" s="7"/>
      <c r="Z643" s="7"/>
      <c r="AA643" s="7"/>
    </row>
    <row r="644" ht="18.75" customHeight="1">
      <c r="A644" s="8" t="s">
        <v>867</v>
      </c>
      <c r="B644" s="8" t="s">
        <v>868</v>
      </c>
      <c r="C644" s="61" t="s">
        <v>24</v>
      </c>
      <c r="D644" s="50">
        <v>0.0</v>
      </c>
      <c r="E644" s="8" t="s">
        <v>896</v>
      </c>
      <c r="F644" s="11" t="s">
        <v>26</v>
      </c>
      <c r="G644" s="12" t="s">
        <v>27</v>
      </c>
      <c r="H644" s="13">
        <v>65.08</v>
      </c>
      <c r="I644" s="14">
        <v>5.0</v>
      </c>
      <c r="J644" s="15" t="s">
        <v>81</v>
      </c>
      <c r="K644" s="16">
        <v>0.15</v>
      </c>
      <c r="L644" s="17">
        <f t="shared" si="1"/>
        <v>0.75</v>
      </c>
      <c r="M644" s="17">
        <f t="shared" si="2"/>
        <v>4.25</v>
      </c>
      <c r="N644" s="18">
        <f t="shared" si="3"/>
        <v>9.762</v>
      </c>
      <c r="O644" s="18">
        <f t="shared" si="4"/>
        <v>55.318</v>
      </c>
      <c r="P644" s="18">
        <f t="shared" si="5"/>
        <v>55.318</v>
      </c>
      <c r="Q644" s="8">
        <v>0.0</v>
      </c>
      <c r="R644" s="18">
        <f t="shared" si="6"/>
        <v>13.016</v>
      </c>
      <c r="S644" s="19" t="s">
        <v>29</v>
      </c>
      <c r="T644" s="19" t="s">
        <v>30</v>
      </c>
      <c r="U644" s="20" t="s">
        <v>515</v>
      </c>
      <c r="V644" s="37"/>
      <c r="W644" s="7"/>
      <c r="X644" s="7"/>
      <c r="Y644" s="7"/>
      <c r="Z644" s="7"/>
      <c r="AA644" s="7"/>
    </row>
    <row r="645" ht="18.75" customHeight="1">
      <c r="A645" s="22" t="s">
        <v>867</v>
      </c>
      <c r="B645" s="22" t="s">
        <v>868</v>
      </c>
      <c r="C645" s="63" t="s">
        <v>24</v>
      </c>
      <c r="D645" s="51">
        <v>0.0</v>
      </c>
      <c r="E645" s="22" t="s">
        <v>897</v>
      </c>
      <c r="F645" s="25" t="s">
        <v>26</v>
      </c>
      <c r="G645" s="26" t="s">
        <v>27</v>
      </c>
      <c r="H645" s="27">
        <v>88.83</v>
      </c>
      <c r="I645" s="28">
        <v>5.0</v>
      </c>
      <c r="J645" s="29" t="s">
        <v>81</v>
      </c>
      <c r="K645" s="30">
        <v>0.15</v>
      </c>
      <c r="L645" s="31">
        <f t="shared" si="1"/>
        <v>0.75</v>
      </c>
      <c r="M645" s="31">
        <f t="shared" si="2"/>
        <v>4.25</v>
      </c>
      <c r="N645" s="32">
        <f t="shared" si="3"/>
        <v>13.3245</v>
      </c>
      <c r="O645" s="32">
        <f t="shared" si="4"/>
        <v>75.5055</v>
      </c>
      <c r="P645" s="32">
        <f t="shared" si="5"/>
        <v>75.5055</v>
      </c>
      <c r="Q645" s="22">
        <v>0.0</v>
      </c>
      <c r="R645" s="32">
        <f t="shared" si="6"/>
        <v>17.766</v>
      </c>
      <c r="S645" s="33" t="s">
        <v>29</v>
      </c>
      <c r="T645" s="33" t="s">
        <v>30</v>
      </c>
      <c r="U645" s="34" t="s">
        <v>517</v>
      </c>
      <c r="V645" s="35"/>
      <c r="W645" s="7"/>
      <c r="X645" s="7"/>
      <c r="Y645" s="7"/>
      <c r="Z645" s="7"/>
      <c r="AA645" s="7"/>
    </row>
    <row r="646" ht="18.75" customHeight="1">
      <c r="A646" s="8" t="s">
        <v>867</v>
      </c>
      <c r="B646" s="8" t="s">
        <v>868</v>
      </c>
      <c r="C646" s="61" t="s">
        <v>24</v>
      </c>
      <c r="D646" s="50">
        <v>0.0</v>
      </c>
      <c r="E646" s="8" t="s">
        <v>898</v>
      </c>
      <c r="F646" s="11" t="s">
        <v>26</v>
      </c>
      <c r="G646" s="12" t="s">
        <v>27</v>
      </c>
      <c r="H646" s="13">
        <v>92.63</v>
      </c>
      <c r="I646" s="14">
        <v>5.0</v>
      </c>
      <c r="J646" s="15" t="s">
        <v>81</v>
      </c>
      <c r="K646" s="16">
        <v>0.15</v>
      </c>
      <c r="L646" s="17">
        <f t="shared" si="1"/>
        <v>0.75</v>
      </c>
      <c r="M646" s="17">
        <f t="shared" si="2"/>
        <v>4.25</v>
      </c>
      <c r="N646" s="18">
        <f t="shared" si="3"/>
        <v>13.8945</v>
      </c>
      <c r="O646" s="18">
        <f t="shared" si="4"/>
        <v>78.7355</v>
      </c>
      <c r="P646" s="18">
        <f t="shared" si="5"/>
        <v>78.7355</v>
      </c>
      <c r="Q646" s="8">
        <v>0.0</v>
      </c>
      <c r="R646" s="18">
        <f t="shared" si="6"/>
        <v>18.526</v>
      </c>
      <c r="S646" s="19" t="s">
        <v>29</v>
      </c>
      <c r="T646" s="19" t="s">
        <v>30</v>
      </c>
      <c r="U646" s="20" t="s">
        <v>899</v>
      </c>
      <c r="V646" s="37"/>
      <c r="W646" s="7"/>
      <c r="X646" s="7"/>
      <c r="Y646" s="7"/>
      <c r="Z646" s="7"/>
      <c r="AA646" s="7"/>
    </row>
    <row r="647" ht="18.75" customHeight="1">
      <c r="A647" s="22" t="s">
        <v>867</v>
      </c>
      <c r="B647" s="22" t="s">
        <v>868</v>
      </c>
      <c r="C647" s="63" t="s">
        <v>24</v>
      </c>
      <c r="D647" s="64">
        <v>0.0</v>
      </c>
      <c r="E647" s="22" t="s">
        <v>900</v>
      </c>
      <c r="F647" s="25" t="s">
        <v>26</v>
      </c>
      <c r="G647" s="26" t="s">
        <v>27</v>
      </c>
      <c r="H647" s="27">
        <v>47.49</v>
      </c>
      <c r="I647" s="28">
        <v>5.0</v>
      </c>
      <c r="J647" s="29" t="s">
        <v>38</v>
      </c>
      <c r="K647" s="30">
        <v>0.5</v>
      </c>
      <c r="L647" s="31">
        <f t="shared" si="1"/>
        <v>2.5</v>
      </c>
      <c r="M647" s="31">
        <f t="shared" si="2"/>
        <v>2.5</v>
      </c>
      <c r="N647" s="32">
        <f t="shared" si="3"/>
        <v>23.745</v>
      </c>
      <c r="O647" s="32">
        <f t="shared" si="4"/>
        <v>23.745</v>
      </c>
      <c r="P647" s="32">
        <f t="shared" si="5"/>
        <v>23.745</v>
      </c>
      <c r="Q647" s="22">
        <v>0.0</v>
      </c>
      <c r="R647" s="32">
        <f t="shared" si="6"/>
        <v>9.498</v>
      </c>
      <c r="S647" s="33" t="s">
        <v>29</v>
      </c>
      <c r="T647" s="33" t="s">
        <v>30</v>
      </c>
      <c r="U647" s="34" t="s">
        <v>901</v>
      </c>
      <c r="V647" s="35"/>
      <c r="W647" s="7"/>
      <c r="X647" s="7"/>
      <c r="Y647" s="7"/>
      <c r="Z647" s="7"/>
      <c r="AA647" s="7"/>
    </row>
    <row r="648" ht="18.75" customHeight="1">
      <c r="A648" s="8" t="s">
        <v>867</v>
      </c>
      <c r="B648" s="8" t="s">
        <v>868</v>
      </c>
      <c r="C648" s="61" t="s">
        <v>24</v>
      </c>
      <c r="D648" s="62">
        <v>0.0</v>
      </c>
      <c r="E648" s="8" t="s">
        <v>902</v>
      </c>
      <c r="F648" s="11" t="s">
        <v>26</v>
      </c>
      <c r="G648" s="12" t="s">
        <v>27</v>
      </c>
      <c r="H648" s="13">
        <v>92.63</v>
      </c>
      <c r="I648" s="14">
        <v>5.0</v>
      </c>
      <c r="J648" s="15" t="s">
        <v>38</v>
      </c>
      <c r="K648" s="16">
        <v>0.5</v>
      </c>
      <c r="L648" s="17">
        <f t="shared" si="1"/>
        <v>2.5</v>
      </c>
      <c r="M648" s="17">
        <f t="shared" si="2"/>
        <v>2.5</v>
      </c>
      <c r="N648" s="18">
        <f t="shared" si="3"/>
        <v>46.315</v>
      </c>
      <c r="O648" s="18">
        <f t="shared" si="4"/>
        <v>46.315</v>
      </c>
      <c r="P648" s="18">
        <f t="shared" si="5"/>
        <v>46.315</v>
      </c>
      <c r="Q648" s="8">
        <v>0.0</v>
      </c>
      <c r="R648" s="18">
        <f t="shared" si="6"/>
        <v>18.526</v>
      </c>
      <c r="S648" s="19" t="s">
        <v>29</v>
      </c>
      <c r="T648" s="19" t="s">
        <v>30</v>
      </c>
      <c r="U648" s="20" t="s">
        <v>899</v>
      </c>
      <c r="V648" s="37"/>
      <c r="W648" s="7"/>
      <c r="X648" s="7"/>
      <c r="Y648" s="7"/>
      <c r="Z648" s="7"/>
      <c r="AA648" s="7"/>
    </row>
    <row r="649" ht="18.75" customHeight="1">
      <c r="A649" s="22" t="s">
        <v>867</v>
      </c>
      <c r="B649" s="22" t="s">
        <v>868</v>
      </c>
      <c r="C649" s="63" t="s">
        <v>24</v>
      </c>
      <c r="D649" s="64">
        <v>45.0</v>
      </c>
      <c r="E649" s="22" t="s">
        <v>903</v>
      </c>
      <c r="F649" s="25" t="s">
        <v>26</v>
      </c>
      <c r="G649" s="26" t="s">
        <v>27</v>
      </c>
      <c r="H649" s="27">
        <v>285.0</v>
      </c>
      <c r="I649" s="28">
        <v>5.0</v>
      </c>
      <c r="J649" s="29" t="s">
        <v>54</v>
      </c>
      <c r="K649" s="30">
        <v>0.3</v>
      </c>
      <c r="L649" s="31">
        <f t="shared" si="1"/>
        <v>1.5</v>
      </c>
      <c r="M649" s="31">
        <f t="shared" si="2"/>
        <v>3.5</v>
      </c>
      <c r="N649" s="32">
        <f t="shared" si="3"/>
        <v>85.5</v>
      </c>
      <c r="O649" s="32">
        <f t="shared" si="4"/>
        <v>199.5</v>
      </c>
      <c r="P649" s="32">
        <f t="shared" si="5"/>
        <v>199.5</v>
      </c>
      <c r="Q649" s="22">
        <v>0.0</v>
      </c>
      <c r="R649" s="32">
        <f t="shared" si="6"/>
        <v>57</v>
      </c>
      <c r="S649" s="33" t="s">
        <v>29</v>
      </c>
      <c r="T649" s="33" t="s">
        <v>30</v>
      </c>
      <c r="U649" s="34" t="s">
        <v>251</v>
      </c>
      <c r="V649" s="35"/>
      <c r="W649" s="7"/>
      <c r="X649" s="7"/>
      <c r="Y649" s="7"/>
      <c r="Z649" s="7"/>
      <c r="AA649" s="7"/>
    </row>
    <row r="650" ht="18.75" customHeight="1">
      <c r="A650" s="8" t="s">
        <v>867</v>
      </c>
      <c r="B650" s="8" t="s">
        <v>868</v>
      </c>
      <c r="C650" s="61" t="s">
        <v>24</v>
      </c>
      <c r="D650" s="62">
        <v>193.0</v>
      </c>
      <c r="E650" s="8" t="s">
        <v>904</v>
      </c>
      <c r="F650" s="11" t="s">
        <v>37</v>
      </c>
      <c r="G650" s="12" t="s">
        <v>27</v>
      </c>
      <c r="H650" s="13">
        <v>209.51</v>
      </c>
      <c r="I650" s="14">
        <v>10.0</v>
      </c>
      <c r="J650" s="15" t="s">
        <v>54</v>
      </c>
      <c r="K650" s="16">
        <v>0.3</v>
      </c>
      <c r="L650" s="17">
        <f t="shared" si="1"/>
        <v>3</v>
      </c>
      <c r="M650" s="17">
        <f t="shared" si="2"/>
        <v>7</v>
      </c>
      <c r="N650" s="18">
        <f t="shared" si="3"/>
        <v>62.853</v>
      </c>
      <c r="O650" s="18">
        <f t="shared" si="4"/>
        <v>146.657</v>
      </c>
      <c r="P650" s="18">
        <f t="shared" si="5"/>
        <v>146.657</v>
      </c>
      <c r="Q650" s="8">
        <v>0.0</v>
      </c>
      <c r="R650" s="18">
        <f t="shared" si="6"/>
        <v>20.951</v>
      </c>
      <c r="S650" s="19" t="s">
        <v>29</v>
      </c>
      <c r="T650" s="19" t="s">
        <v>30</v>
      </c>
      <c r="U650" s="20" t="s">
        <v>905</v>
      </c>
      <c r="V650" s="37"/>
      <c r="W650" s="7"/>
      <c r="X650" s="7"/>
      <c r="Y650" s="7"/>
      <c r="Z650" s="7"/>
      <c r="AA650" s="7"/>
    </row>
    <row r="651" ht="18.75" customHeight="1">
      <c r="A651" s="22" t="s">
        <v>867</v>
      </c>
      <c r="B651" s="22" t="s">
        <v>868</v>
      </c>
      <c r="C651" s="63" t="s">
        <v>24</v>
      </c>
      <c r="D651" s="64">
        <v>334.0</v>
      </c>
      <c r="E651" s="22" t="s">
        <v>906</v>
      </c>
      <c r="F651" s="25" t="s">
        <v>26</v>
      </c>
      <c r="G651" s="26" t="s">
        <v>27</v>
      </c>
      <c r="H651" s="27">
        <v>235.03</v>
      </c>
      <c r="I651" s="28">
        <v>10.0</v>
      </c>
      <c r="J651" s="29" t="s">
        <v>38</v>
      </c>
      <c r="K651" s="30">
        <v>0.5</v>
      </c>
      <c r="L651" s="31">
        <f t="shared" si="1"/>
        <v>5</v>
      </c>
      <c r="M651" s="31">
        <f t="shared" si="2"/>
        <v>5</v>
      </c>
      <c r="N651" s="32">
        <f t="shared" si="3"/>
        <v>117.515</v>
      </c>
      <c r="O651" s="32">
        <f t="shared" si="4"/>
        <v>117.515</v>
      </c>
      <c r="P651" s="32">
        <f t="shared" si="5"/>
        <v>117.515</v>
      </c>
      <c r="Q651" s="22">
        <v>0.0</v>
      </c>
      <c r="R651" s="32">
        <f t="shared" si="6"/>
        <v>23.503</v>
      </c>
      <c r="S651" s="33" t="s">
        <v>29</v>
      </c>
      <c r="T651" s="33" t="s">
        <v>30</v>
      </c>
      <c r="U651" s="34" t="s">
        <v>96</v>
      </c>
      <c r="V651" s="35"/>
      <c r="W651" s="7"/>
      <c r="X651" s="7"/>
      <c r="Y651" s="7"/>
      <c r="Z651" s="7"/>
      <c r="AA651" s="7"/>
    </row>
    <row r="652" ht="18.75" customHeight="1">
      <c r="A652" s="8" t="s">
        <v>867</v>
      </c>
      <c r="B652" s="8" t="s">
        <v>868</v>
      </c>
      <c r="C652" s="61" t="s">
        <v>24</v>
      </c>
      <c r="D652" s="62">
        <v>483.0</v>
      </c>
      <c r="E652" s="8" t="s">
        <v>907</v>
      </c>
      <c r="F652" s="11" t="s">
        <v>26</v>
      </c>
      <c r="G652" s="12" t="s">
        <v>27</v>
      </c>
      <c r="H652" s="13">
        <v>798.0</v>
      </c>
      <c r="I652" s="14">
        <v>5.0</v>
      </c>
      <c r="J652" s="15" t="s">
        <v>54</v>
      </c>
      <c r="K652" s="16">
        <v>0.3</v>
      </c>
      <c r="L652" s="17">
        <f t="shared" si="1"/>
        <v>1.5</v>
      </c>
      <c r="M652" s="17">
        <f t="shared" si="2"/>
        <v>3.5</v>
      </c>
      <c r="N652" s="18">
        <f t="shared" si="3"/>
        <v>239.4</v>
      </c>
      <c r="O652" s="18">
        <f t="shared" si="4"/>
        <v>558.6</v>
      </c>
      <c r="P652" s="18">
        <f t="shared" si="5"/>
        <v>558.6</v>
      </c>
      <c r="Q652" s="8">
        <v>0.0</v>
      </c>
      <c r="R652" s="18">
        <f t="shared" si="6"/>
        <v>159.6</v>
      </c>
      <c r="S652" s="19" t="s">
        <v>29</v>
      </c>
      <c r="T652" s="19" t="s">
        <v>30</v>
      </c>
      <c r="U652" s="20" t="s">
        <v>111</v>
      </c>
      <c r="V652" s="37"/>
      <c r="W652" s="7"/>
      <c r="X652" s="7"/>
      <c r="Y652" s="7"/>
      <c r="Z652" s="7"/>
      <c r="AA652" s="7"/>
    </row>
    <row r="653" ht="18.75" customHeight="1">
      <c r="A653" s="22" t="s">
        <v>867</v>
      </c>
      <c r="B653" s="22" t="s">
        <v>868</v>
      </c>
      <c r="C653" s="63" t="s">
        <v>24</v>
      </c>
      <c r="D653" s="64">
        <v>484.0</v>
      </c>
      <c r="E653" s="22" t="s">
        <v>908</v>
      </c>
      <c r="F653" s="25" t="s">
        <v>26</v>
      </c>
      <c r="G653" s="26" t="s">
        <v>27</v>
      </c>
      <c r="H653" s="27">
        <v>285.0</v>
      </c>
      <c r="I653" s="28">
        <v>5.0</v>
      </c>
      <c r="J653" s="29" t="s">
        <v>38</v>
      </c>
      <c r="K653" s="30">
        <v>0.5</v>
      </c>
      <c r="L653" s="31">
        <f t="shared" si="1"/>
        <v>2.5</v>
      </c>
      <c r="M653" s="31">
        <f t="shared" si="2"/>
        <v>2.5</v>
      </c>
      <c r="N653" s="32">
        <f t="shared" si="3"/>
        <v>142.5</v>
      </c>
      <c r="O653" s="32">
        <f t="shared" si="4"/>
        <v>142.5</v>
      </c>
      <c r="P653" s="32">
        <f t="shared" si="5"/>
        <v>142.5</v>
      </c>
      <c r="Q653" s="22">
        <v>0.0</v>
      </c>
      <c r="R653" s="32">
        <f t="shared" si="6"/>
        <v>57</v>
      </c>
      <c r="S653" s="33" t="s">
        <v>29</v>
      </c>
      <c r="T653" s="33" t="s">
        <v>30</v>
      </c>
      <c r="U653" s="34" t="s">
        <v>251</v>
      </c>
      <c r="V653" s="35"/>
      <c r="W653" s="7"/>
      <c r="X653" s="7"/>
      <c r="Y653" s="7"/>
      <c r="Z653" s="7"/>
      <c r="AA653" s="7"/>
    </row>
    <row r="654" ht="18.75" customHeight="1">
      <c r="A654" s="8" t="s">
        <v>867</v>
      </c>
      <c r="B654" s="8" t="s">
        <v>868</v>
      </c>
      <c r="C654" s="61" t="s">
        <v>24</v>
      </c>
      <c r="D654" s="62">
        <v>485.0</v>
      </c>
      <c r="E654" s="8" t="s">
        <v>909</v>
      </c>
      <c r="F654" s="11" t="s">
        <v>26</v>
      </c>
      <c r="G654" s="12" t="s">
        <v>27</v>
      </c>
      <c r="H654" s="13">
        <v>359.9</v>
      </c>
      <c r="I654" s="14">
        <v>5.0</v>
      </c>
      <c r="J654" s="15" t="s">
        <v>54</v>
      </c>
      <c r="K654" s="16">
        <v>0.3</v>
      </c>
      <c r="L654" s="17">
        <f t="shared" si="1"/>
        <v>1.5</v>
      </c>
      <c r="M654" s="17">
        <f t="shared" si="2"/>
        <v>3.5</v>
      </c>
      <c r="N654" s="18">
        <f t="shared" si="3"/>
        <v>107.97</v>
      </c>
      <c r="O654" s="18">
        <f t="shared" si="4"/>
        <v>251.93</v>
      </c>
      <c r="P654" s="18">
        <f t="shared" si="5"/>
        <v>251.93</v>
      </c>
      <c r="Q654" s="8">
        <v>0.0</v>
      </c>
      <c r="R654" s="18">
        <f t="shared" si="6"/>
        <v>71.98</v>
      </c>
      <c r="S654" s="19" t="s">
        <v>29</v>
      </c>
      <c r="T654" s="19" t="s">
        <v>30</v>
      </c>
      <c r="U654" s="20" t="s">
        <v>104</v>
      </c>
      <c r="V654" s="37"/>
      <c r="W654" s="7"/>
      <c r="X654" s="7"/>
      <c r="Y654" s="7"/>
      <c r="Z654" s="7"/>
      <c r="AA654" s="7"/>
    </row>
    <row r="655" ht="18.75" customHeight="1">
      <c r="A655" s="22" t="s">
        <v>867</v>
      </c>
      <c r="B655" s="22" t="s">
        <v>868</v>
      </c>
      <c r="C655" s="63" t="s">
        <v>24</v>
      </c>
      <c r="D655" s="64">
        <v>488.0</v>
      </c>
      <c r="E655" s="22" t="s">
        <v>910</v>
      </c>
      <c r="F655" s="25" t="s">
        <v>26</v>
      </c>
      <c r="G655" s="26" t="s">
        <v>27</v>
      </c>
      <c r="H655" s="27">
        <v>531.9</v>
      </c>
      <c r="I655" s="28">
        <v>10.0</v>
      </c>
      <c r="J655" s="29" t="s">
        <v>38</v>
      </c>
      <c r="K655" s="30">
        <v>0.5</v>
      </c>
      <c r="L655" s="31">
        <f t="shared" si="1"/>
        <v>5</v>
      </c>
      <c r="M655" s="31">
        <f t="shared" si="2"/>
        <v>5</v>
      </c>
      <c r="N655" s="32">
        <f t="shared" si="3"/>
        <v>265.95</v>
      </c>
      <c r="O655" s="32">
        <f t="shared" si="4"/>
        <v>265.95</v>
      </c>
      <c r="P655" s="32">
        <f t="shared" si="5"/>
        <v>265.95</v>
      </c>
      <c r="Q655" s="22">
        <v>0.0</v>
      </c>
      <c r="R655" s="32">
        <f t="shared" si="6"/>
        <v>53.19</v>
      </c>
      <c r="S655" s="33" t="s">
        <v>29</v>
      </c>
      <c r="T655" s="33" t="s">
        <v>30</v>
      </c>
      <c r="U655" s="34" t="s">
        <v>191</v>
      </c>
      <c r="V655" s="35"/>
      <c r="W655" s="7"/>
      <c r="X655" s="7"/>
      <c r="Y655" s="7"/>
      <c r="Z655" s="7"/>
      <c r="AA655" s="7"/>
    </row>
    <row r="656" ht="18.75" customHeight="1">
      <c r="A656" s="8" t="s">
        <v>867</v>
      </c>
      <c r="B656" s="8" t="s">
        <v>868</v>
      </c>
      <c r="C656" s="61" t="s">
        <v>230</v>
      </c>
      <c r="D656" s="62">
        <v>770.0</v>
      </c>
      <c r="E656" s="8" t="s">
        <v>911</v>
      </c>
      <c r="F656" s="11" t="s">
        <v>37</v>
      </c>
      <c r="G656" s="12" t="s">
        <v>27</v>
      </c>
      <c r="H656" s="13">
        <v>431.07</v>
      </c>
      <c r="I656" s="14">
        <v>10.0</v>
      </c>
      <c r="J656" s="15" t="s">
        <v>54</v>
      </c>
      <c r="K656" s="16">
        <v>0.3</v>
      </c>
      <c r="L656" s="17">
        <f t="shared" si="1"/>
        <v>3</v>
      </c>
      <c r="M656" s="17">
        <f t="shared" si="2"/>
        <v>7</v>
      </c>
      <c r="N656" s="18">
        <f t="shared" si="3"/>
        <v>129.321</v>
      </c>
      <c r="O656" s="18">
        <f t="shared" si="4"/>
        <v>301.749</v>
      </c>
      <c r="P656" s="18">
        <f t="shared" si="5"/>
        <v>301.749</v>
      </c>
      <c r="Q656" s="8">
        <v>0.0</v>
      </c>
      <c r="R656" s="18">
        <f t="shared" si="6"/>
        <v>43.107</v>
      </c>
      <c r="S656" s="19" t="s">
        <v>29</v>
      </c>
      <c r="T656" s="19" t="s">
        <v>30</v>
      </c>
      <c r="U656" s="20" t="s">
        <v>912</v>
      </c>
      <c r="V656" s="37"/>
      <c r="W656" s="7"/>
      <c r="X656" s="7"/>
      <c r="Y656" s="7"/>
      <c r="Z656" s="7"/>
      <c r="AA656" s="7"/>
    </row>
    <row r="657" ht="18.75" customHeight="1">
      <c r="A657" s="22" t="s">
        <v>867</v>
      </c>
      <c r="B657" s="22" t="s">
        <v>868</v>
      </c>
      <c r="C657" s="63" t="s">
        <v>230</v>
      </c>
      <c r="D657" s="64">
        <v>772.0</v>
      </c>
      <c r="E657" s="22" t="s">
        <v>911</v>
      </c>
      <c r="F657" s="25" t="s">
        <v>37</v>
      </c>
      <c r="G657" s="26" t="s">
        <v>27</v>
      </c>
      <c r="H657" s="27">
        <v>431.07</v>
      </c>
      <c r="I657" s="28">
        <v>10.0</v>
      </c>
      <c r="J657" s="29" t="s">
        <v>28</v>
      </c>
      <c r="K657" s="30">
        <v>0.4</v>
      </c>
      <c r="L657" s="31">
        <f t="shared" si="1"/>
        <v>4</v>
      </c>
      <c r="M657" s="31">
        <f t="shared" si="2"/>
        <v>6</v>
      </c>
      <c r="N657" s="32">
        <f t="shared" si="3"/>
        <v>172.428</v>
      </c>
      <c r="O657" s="32">
        <f t="shared" si="4"/>
        <v>258.642</v>
      </c>
      <c r="P657" s="32">
        <f t="shared" si="5"/>
        <v>258.642</v>
      </c>
      <c r="Q657" s="22">
        <v>0.0</v>
      </c>
      <c r="R657" s="32">
        <f t="shared" si="6"/>
        <v>43.107</v>
      </c>
      <c r="S657" s="33" t="s">
        <v>29</v>
      </c>
      <c r="T657" s="33" t="s">
        <v>30</v>
      </c>
      <c r="U657" s="34" t="s">
        <v>912</v>
      </c>
      <c r="V657" s="35"/>
      <c r="W657" s="7"/>
      <c r="X657" s="7"/>
      <c r="Y657" s="7"/>
      <c r="Z657" s="7"/>
      <c r="AA657" s="7"/>
    </row>
    <row r="658" ht="18.75" customHeight="1">
      <c r="A658" s="8" t="s">
        <v>867</v>
      </c>
      <c r="B658" s="8" t="s">
        <v>868</v>
      </c>
      <c r="C658" s="61" t="s">
        <v>230</v>
      </c>
      <c r="D658" s="62">
        <v>773.0</v>
      </c>
      <c r="E658" s="8" t="s">
        <v>911</v>
      </c>
      <c r="F658" s="11" t="s">
        <v>37</v>
      </c>
      <c r="G658" s="12" t="s">
        <v>27</v>
      </c>
      <c r="H658" s="13">
        <v>431.07</v>
      </c>
      <c r="I658" s="14">
        <v>10.0</v>
      </c>
      <c r="J658" s="15" t="s">
        <v>54</v>
      </c>
      <c r="K658" s="16">
        <v>0.3</v>
      </c>
      <c r="L658" s="17">
        <f t="shared" si="1"/>
        <v>3</v>
      </c>
      <c r="M658" s="17">
        <f t="shared" si="2"/>
        <v>7</v>
      </c>
      <c r="N658" s="18">
        <f t="shared" si="3"/>
        <v>129.321</v>
      </c>
      <c r="O658" s="18">
        <f t="shared" si="4"/>
        <v>301.749</v>
      </c>
      <c r="P658" s="18">
        <f t="shared" si="5"/>
        <v>301.749</v>
      </c>
      <c r="Q658" s="8">
        <v>0.0</v>
      </c>
      <c r="R658" s="18">
        <f t="shared" si="6"/>
        <v>43.107</v>
      </c>
      <c r="S658" s="19" t="s">
        <v>29</v>
      </c>
      <c r="T658" s="19" t="s">
        <v>30</v>
      </c>
      <c r="U658" s="20" t="s">
        <v>912</v>
      </c>
      <c r="V658" s="37"/>
      <c r="W658" s="7"/>
      <c r="X658" s="7"/>
      <c r="Y658" s="7"/>
      <c r="Z658" s="7"/>
      <c r="AA658" s="7"/>
    </row>
    <row r="659" ht="18.75" customHeight="1">
      <c r="A659" s="22" t="s">
        <v>867</v>
      </c>
      <c r="B659" s="22" t="s">
        <v>868</v>
      </c>
      <c r="C659" s="63" t="s">
        <v>433</v>
      </c>
      <c r="D659" s="64">
        <v>774.0</v>
      </c>
      <c r="E659" s="22" t="s">
        <v>913</v>
      </c>
      <c r="F659" s="25" t="s">
        <v>26</v>
      </c>
      <c r="G659" s="26" t="s">
        <v>27</v>
      </c>
      <c r="H659" s="27">
        <v>785.82</v>
      </c>
      <c r="I659" s="28">
        <v>10.0</v>
      </c>
      <c r="J659" s="29" t="s">
        <v>38</v>
      </c>
      <c r="K659" s="30">
        <v>0.5</v>
      </c>
      <c r="L659" s="31">
        <f t="shared" si="1"/>
        <v>5</v>
      </c>
      <c r="M659" s="31">
        <f t="shared" si="2"/>
        <v>5</v>
      </c>
      <c r="N659" s="32">
        <f t="shared" si="3"/>
        <v>392.91</v>
      </c>
      <c r="O659" s="32">
        <f t="shared" si="4"/>
        <v>392.91</v>
      </c>
      <c r="P659" s="32">
        <f t="shared" si="5"/>
        <v>392.91</v>
      </c>
      <c r="Q659" s="22">
        <v>0.0</v>
      </c>
      <c r="R659" s="32">
        <f t="shared" si="6"/>
        <v>78.582</v>
      </c>
      <c r="S659" s="33" t="s">
        <v>29</v>
      </c>
      <c r="T659" s="33" t="s">
        <v>30</v>
      </c>
      <c r="U659" s="34" t="s">
        <v>220</v>
      </c>
      <c r="V659" s="35"/>
      <c r="W659" s="7"/>
      <c r="X659" s="7"/>
      <c r="Y659" s="7"/>
      <c r="Z659" s="7"/>
      <c r="AA659" s="7"/>
    </row>
    <row r="660" ht="18.75" customHeight="1">
      <c r="A660" s="8" t="s">
        <v>867</v>
      </c>
      <c r="B660" s="8" t="s">
        <v>868</v>
      </c>
      <c r="C660" s="61" t="s">
        <v>433</v>
      </c>
      <c r="D660" s="62">
        <v>775.0</v>
      </c>
      <c r="E660" s="8" t="s">
        <v>914</v>
      </c>
      <c r="F660" s="11" t="s">
        <v>26</v>
      </c>
      <c r="G660" s="12" t="s">
        <v>27</v>
      </c>
      <c r="H660" s="13">
        <v>1178.73</v>
      </c>
      <c r="I660" s="14">
        <v>10.0</v>
      </c>
      <c r="J660" s="15" t="s">
        <v>38</v>
      </c>
      <c r="K660" s="16">
        <v>0.5</v>
      </c>
      <c r="L660" s="17">
        <f t="shared" si="1"/>
        <v>5</v>
      </c>
      <c r="M660" s="17">
        <f t="shared" si="2"/>
        <v>5</v>
      </c>
      <c r="N660" s="18">
        <f t="shared" si="3"/>
        <v>589.365</v>
      </c>
      <c r="O660" s="18">
        <f t="shared" si="4"/>
        <v>589.365</v>
      </c>
      <c r="P660" s="18">
        <f t="shared" si="5"/>
        <v>589.365</v>
      </c>
      <c r="Q660" s="8">
        <v>0.0</v>
      </c>
      <c r="R660" s="18">
        <f t="shared" si="6"/>
        <v>117.873</v>
      </c>
      <c r="S660" s="19" t="s">
        <v>29</v>
      </c>
      <c r="T660" s="19" t="s">
        <v>30</v>
      </c>
      <c r="U660" s="20" t="s">
        <v>220</v>
      </c>
      <c r="V660" s="37"/>
      <c r="W660" s="7"/>
      <c r="X660" s="7"/>
      <c r="Y660" s="7"/>
      <c r="Z660" s="7"/>
      <c r="AA660" s="7"/>
    </row>
    <row r="661" ht="18.75" customHeight="1">
      <c r="A661" s="22" t="s">
        <v>867</v>
      </c>
      <c r="B661" s="22" t="s">
        <v>868</v>
      </c>
      <c r="C661" s="63" t="s">
        <v>24</v>
      </c>
      <c r="D661" s="64">
        <v>776.0</v>
      </c>
      <c r="E661" s="22" t="s">
        <v>915</v>
      </c>
      <c r="F661" s="25" t="s">
        <v>37</v>
      </c>
      <c r="G661" s="26" t="s">
        <v>27</v>
      </c>
      <c r="H661" s="27">
        <v>1300.12</v>
      </c>
      <c r="I661" s="28">
        <v>15.0</v>
      </c>
      <c r="J661" s="29" t="s">
        <v>54</v>
      </c>
      <c r="K661" s="30">
        <v>0.3</v>
      </c>
      <c r="L661" s="31">
        <f t="shared" si="1"/>
        <v>4.5</v>
      </c>
      <c r="M661" s="31">
        <f t="shared" si="2"/>
        <v>10.5</v>
      </c>
      <c r="N661" s="32">
        <f t="shared" si="3"/>
        <v>390.036</v>
      </c>
      <c r="O661" s="32">
        <f t="shared" si="4"/>
        <v>910.084</v>
      </c>
      <c r="P661" s="32">
        <f t="shared" si="5"/>
        <v>910.084</v>
      </c>
      <c r="Q661" s="22">
        <v>0.0</v>
      </c>
      <c r="R661" s="32">
        <f t="shared" si="6"/>
        <v>86.67466667</v>
      </c>
      <c r="S661" s="33" t="s">
        <v>29</v>
      </c>
      <c r="T661" s="33" t="s">
        <v>30</v>
      </c>
      <c r="U661" s="34" t="s">
        <v>229</v>
      </c>
      <c r="V661" s="35"/>
      <c r="W661" s="7"/>
      <c r="X661" s="7"/>
      <c r="Y661" s="7"/>
      <c r="Z661" s="7"/>
      <c r="AA661" s="7"/>
    </row>
    <row r="662" ht="18.75" customHeight="1">
      <c r="A662" s="8" t="s">
        <v>867</v>
      </c>
      <c r="B662" s="8" t="s">
        <v>868</v>
      </c>
      <c r="C662" s="61" t="s">
        <v>24</v>
      </c>
      <c r="D662" s="62">
        <v>780.0</v>
      </c>
      <c r="E662" s="8" t="s">
        <v>916</v>
      </c>
      <c r="F662" s="11" t="s">
        <v>37</v>
      </c>
      <c r="G662" s="12" t="s">
        <v>27</v>
      </c>
      <c r="H662" s="13">
        <v>285.0</v>
      </c>
      <c r="I662" s="14">
        <v>10.0</v>
      </c>
      <c r="J662" s="15" t="s">
        <v>154</v>
      </c>
      <c r="K662" s="16">
        <v>0.8</v>
      </c>
      <c r="L662" s="17">
        <f t="shared" si="1"/>
        <v>8</v>
      </c>
      <c r="M662" s="17">
        <f t="shared" si="2"/>
        <v>2</v>
      </c>
      <c r="N662" s="18">
        <f t="shared" si="3"/>
        <v>228</v>
      </c>
      <c r="O662" s="18">
        <f t="shared" si="4"/>
        <v>57</v>
      </c>
      <c r="P662" s="18">
        <f t="shared" si="5"/>
        <v>57</v>
      </c>
      <c r="Q662" s="8">
        <v>0.0</v>
      </c>
      <c r="R662" s="18">
        <f t="shared" si="6"/>
        <v>28.5</v>
      </c>
      <c r="S662" s="19" t="s">
        <v>29</v>
      </c>
      <c r="T662" s="19" t="s">
        <v>30</v>
      </c>
      <c r="U662" s="20" t="s">
        <v>456</v>
      </c>
      <c r="V662" s="37"/>
      <c r="W662" s="7"/>
      <c r="X662" s="7"/>
      <c r="Y662" s="7"/>
      <c r="Z662" s="7"/>
      <c r="AA662" s="7"/>
    </row>
    <row r="663" ht="18.75" customHeight="1">
      <c r="A663" s="22" t="s">
        <v>867</v>
      </c>
      <c r="B663" s="22" t="s">
        <v>868</v>
      </c>
      <c r="C663" s="63" t="s">
        <v>433</v>
      </c>
      <c r="D663" s="64">
        <v>781.0</v>
      </c>
      <c r="E663" s="22" t="s">
        <v>219</v>
      </c>
      <c r="F663" s="25" t="s">
        <v>26</v>
      </c>
      <c r="G663" s="26" t="s">
        <v>27</v>
      </c>
      <c r="H663" s="27">
        <v>785.82</v>
      </c>
      <c r="I663" s="28">
        <v>10.0</v>
      </c>
      <c r="J663" s="29" t="s">
        <v>38</v>
      </c>
      <c r="K663" s="30">
        <v>0.5</v>
      </c>
      <c r="L663" s="31">
        <f t="shared" si="1"/>
        <v>5</v>
      </c>
      <c r="M663" s="31">
        <f t="shared" si="2"/>
        <v>5</v>
      </c>
      <c r="N663" s="32">
        <f t="shared" si="3"/>
        <v>392.91</v>
      </c>
      <c r="O663" s="32">
        <f t="shared" si="4"/>
        <v>392.91</v>
      </c>
      <c r="P663" s="32">
        <f t="shared" si="5"/>
        <v>392.91</v>
      </c>
      <c r="Q663" s="22">
        <v>0.0</v>
      </c>
      <c r="R663" s="32">
        <f t="shared" si="6"/>
        <v>78.582</v>
      </c>
      <c r="S663" s="33" t="s">
        <v>29</v>
      </c>
      <c r="T663" s="33" t="s">
        <v>30</v>
      </c>
      <c r="U663" s="34" t="s">
        <v>220</v>
      </c>
      <c r="V663" s="35"/>
      <c r="W663" s="7"/>
      <c r="X663" s="7"/>
      <c r="Y663" s="7"/>
      <c r="Z663" s="7"/>
      <c r="AA663" s="7"/>
    </row>
    <row r="664" ht="18.75" customHeight="1">
      <c r="A664" s="8" t="s">
        <v>867</v>
      </c>
      <c r="B664" s="8" t="s">
        <v>868</v>
      </c>
      <c r="C664" s="61" t="s">
        <v>433</v>
      </c>
      <c r="D664" s="62">
        <v>782.0</v>
      </c>
      <c r="E664" s="8" t="s">
        <v>221</v>
      </c>
      <c r="F664" s="11" t="s">
        <v>26</v>
      </c>
      <c r="G664" s="12" t="s">
        <v>27</v>
      </c>
      <c r="H664" s="13">
        <v>1178.73</v>
      </c>
      <c r="I664" s="14">
        <v>10.0</v>
      </c>
      <c r="J664" s="15" t="s">
        <v>38</v>
      </c>
      <c r="K664" s="16">
        <v>0.5</v>
      </c>
      <c r="L664" s="17">
        <f t="shared" si="1"/>
        <v>5</v>
      </c>
      <c r="M664" s="17">
        <f t="shared" si="2"/>
        <v>5</v>
      </c>
      <c r="N664" s="18">
        <f t="shared" si="3"/>
        <v>589.365</v>
      </c>
      <c r="O664" s="18">
        <f t="shared" si="4"/>
        <v>589.365</v>
      </c>
      <c r="P664" s="18">
        <f t="shared" si="5"/>
        <v>589.365</v>
      </c>
      <c r="Q664" s="8">
        <v>0.0</v>
      </c>
      <c r="R664" s="18">
        <f t="shared" si="6"/>
        <v>117.873</v>
      </c>
      <c r="S664" s="19" t="s">
        <v>29</v>
      </c>
      <c r="T664" s="19" t="s">
        <v>30</v>
      </c>
      <c r="U664" s="20" t="s">
        <v>220</v>
      </c>
      <c r="V664" s="37"/>
      <c r="W664" s="7"/>
      <c r="X664" s="7"/>
      <c r="Y664" s="7"/>
      <c r="Z664" s="7"/>
      <c r="AA664" s="7"/>
    </row>
    <row r="665" ht="18.75" customHeight="1">
      <c r="A665" s="22" t="s">
        <v>867</v>
      </c>
      <c r="B665" s="22" t="s">
        <v>868</v>
      </c>
      <c r="C665" s="63" t="s">
        <v>433</v>
      </c>
      <c r="D665" s="64">
        <v>784.0</v>
      </c>
      <c r="E665" s="22" t="s">
        <v>917</v>
      </c>
      <c r="F665" s="25" t="s">
        <v>26</v>
      </c>
      <c r="G665" s="26" t="s">
        <v>27</v>
      </c>
      <c r="H665" s="27">
        <v>1389.99</v>
      </c>
      <c r="I665" s="28">
        <v>5.0</v>
      </c>
      <c r="J665" s="29" t="s">
        <v>54</v>
      </c>
      <c r="K665" s="30">
        <v>0.3</v>
      </c>
      <c r="L665" s="31">
        <f t="shared" si="1"/>
        <v>1.5</v>
      </c>
      <c r="M665" s="31">
        <f t="shared" si="2"/>
        <v>3.5</v>
      </c>
      <c r="N665" s="32">
        <f t="shared" si="3"/>
        <v>416.997</v>
      </c>
      <c r="O665" s="32">
        <f t="shared" si="4"/>
        <v>972.993</v>
      </c>
      <c r="P665" s="32">
        <f t="shared" si="5"/>
        <v>972.993</v>
      </c>
      <c r="Q665" s="22">
        <v>0.0</v>
      </c>
      <c r="R665" s="32">
        <f t="shared" si="6"/>
        <v>277.998</v>
      </c>
      <c r="S665" s="33" t="s">
        <v>29</v>
      </c>
      <c r="T665" s="33" t="s">
        <v>30</v>
      </c>
      <c r="U665" s="34" t="s">
        <v>59</v>
      </c>
      <c r="V665" s="35"/>
      <c r="W665" s="7"/>
      <c r="X665" s="7"/>
      <c r="Y665" s="7"/>
      <c r="Z665" s="7"/>
      <c r="AA665" s="7"/>
    </row>
    <row r="666" ht="18.75" customHeight="1">
      <c r="A666" s="8" t="s">
        <v>867</v>
      </c>
      <c r="B666" s="8" t="s">
        <v>868</v>
      </c>
      <c r="C666" s="61" t="s">
        <v>433</v>
      </c>
      <c r="D666" s="62">
        <v>785.0</v>
      </c>
      <c r="E666" s="8" t="s">
        <v>918</v>
      </c>
      <c r="F666" s="11" t="s">
        <v>37</v>
      </c>
      <c r="G666" s="12" t="s">
        <v>27</v>
      </c>
      <c r="H666" s="13">
        <v>945.0</v>
      </c>
      <c r="I666" s="14">
        <v>15.0</v>
      </c>
      <c r="J666" s="15" t="s">
        <v>54</v>
      </c>
      <c r="K666" s="16">
        <v>0.3</v>
      </c>
      <c r="L666" s="17">
        <f t="shared" si="1"/>
        <v>4.5</v>
      </c>
      <c r="M666" s="17">
        <f t="shared" si="2"/>
        <v>10.5</v>
      </c>
      <c r="N666" s="18">
        <f t="shared" si="3"/>
        <v>283.5</v>
      </c>
      <c r="O666" s="18">
        <f t="shared" si="4"/>
        <v>661.5</v>
      </c>
      <c r="P666" s="18">
        <f t="shared" si="5"/>
        <v>661.5</v>
      </c>
      <c r="Q666" s="8">
        <v>0.0</v>
      </c>
      <c r="R666" s="18">
        <f t="shared" si="6"/>
        <v>63</v>
      </c>
      <c r="S666" s="19" t="s">
        <v>29</v>
      </c>
      <c r="T666" s="19" t="s">
        <v>30</v>
      </c>
      <c r="U666" s="20" t="s">
        <v>205</v>
      </c>
      <c r="V666" s="37"/>
      <c r="W666" s="7"/>
      <c r="X666" s="7"/>
      <c r="Y666" s="7"/>
      <c r="Z666" s="7"/>
      <c r="AA666" s="7"/>
    </row>
    <row r="667" ht="18.75" customHeight="1">
      <c r="A667" s="22" t="s">
        <v>867</v>
      </c>
      <c r="B667" s="22" t="s">
        <v>868</v>
      </c>
      <c r="C667" s="63" t="s">
        <v>433</v>
      </c>
      <c r="D667" s="64">
        <v>787.0</v>
      </c>
      <c r="E667" s="22" t="s">
        <v>919</v>
      </c>
      <c r="F667" s="25" t="s">
        <v>37</v>
      </c>
      <c r="G667" s="26" t="s">
        <v>27</v>
      </c>
      <c r="H667" s="27">
        <v>546.9</v>
      </c>
      <c r="I667" s="28">
        <v>10.0</v>
      </c>
      <c r="J667" s="29" t="s">
        <v>38</v>
      </c>
      <c r="K667" s="30">
        <v>0.5</v>
      </c>
      <c r="L667" s="31">
        <f t="shared" si="1"/>
        <v>5</v>
      </c>
      <c r="M667" s="31">
        <f t="shared" si="2"/>
        <v>5</v>
      </c>
      <c r="N667" s="32">
        <f t="shared" si="3"/>
        <v>273.45</v>
      </c>
      <c r="O667" s="32">
        <f t="shared" si="4"/>
        <v>273.45</v>
      </c>
      <c r="P667" s="32">
        <f t="shared" si="5"/>
        <v>273.45</v>
      </c>
      <c r="Q667" s="22">
        <v>0.0</v>
      </c>
      <c r="R667" s="32">
        <f t="shared" si="6"/>
        <v>54.69</v>
      </c>
      <c r="S667" s="33" t="s">
        <v>29</v>
      </c>
      <c r="T667" s="33" t="s">
        <v>30</v>
      </c>
      <c r="U667" s="34" t="s">
        <v>270</v>
      </c>
      <c r="V667" s="35"/>
      <c r="W667" s="7"/>
      <c r="X667" s="7"/>
      <c r="Y667" s="7"/>
      <c r="Z667" s="7"/>
      <c r="AA667" s="7"/>
    </row>
    <row r="668" ht="18.75" customHeight="1">
      <c r="A668" s="8" t="s">
        <v>867</v>
      </c>
      <c r="B668" s="8" t="s">
        <v>868</v>
      </c>
      <c r="C668" s="61" t="s">
        <v>433</v>
      </c>
      <c r="D668" s="62">
        <v>788.0</v>
      </c>
      <c r="E668" s="8" t="s">
        <v>920</v>
      </c>
      <c r="F668" s="11" t="s">
        <v>37</v>
      </c>
      <c r="G668" s="12" t="s">
        <v>27</v>
      </c>
      <c r="H668" s="13">
        <v>1300.12</v>
      </c>
      <c r="I668" s="14">
        <v>15.0</v>
      </c>
      <c r="J668" s="15" t="s">
        <v>28</v>
      </c>
      <c r="K668" s="16">
        <v>0.4</v>
      </c>
      <c r="L668" s="17">
        <f t="shared" si="1"/>
        <v>6</v>
      </c>
      <c r="M668" s="17">
        <f t="shared" si="2"/>
        <v>9</v>
      </c>
      <c r="N668" s="18">
        <f t="shared" si="3"/>
        <v>520.048</v>
      </c>
      <c r="O668" s="18">
        <f t="shared" si="4"/>
        <v>780.072</v>
      </c>
      <c r="P668" s="18">
        <f t="shared" si="5"/>
        <v>780.072</v>
      </c>
      <c r="Q668" s="8">
        <v>0.0</v>
      </c>
      <c r="R668" s="18">
        <f t="shared" si="6"/>
        <v>86.67466667</v>
      </c>
      <c r="S668" s="19" t="s">
        <v>29</v>
      </c>
      <c r="T668" s="19" t="s">
        <v>30</v>
      </c>
      <c r="U668" s="20" t="s">
        <v>229</v>
      </c>
      <c r="V668" s="37"/>
      <c r="W668" s="7"/>
      <c r="X668" s="7"/>
      <c r="Y668" s="7"/>
      <c r="Z668" s="7"/>
      <c r="AA668" s="7"/>
    </row>
    <row r="669" ht="18.75" customHeight="1">
      <c r="A669" s="22" t="s">
        <v>867</v>
      </c>
      <c r="B669" s="22" t="s">
        <v>868</v>
      </c>
      <c r="C669" s="63" t="s">
        <v>433</v>
      </c>
      <c r="D669" s="64">
        <v>789.0</v>
      </c>
      <c r="E669" s="22" t="s">
        <v>921</v>
      </c>
      <c r="F669" s="25" t="s">
        <v>26</v>
      </c>
      <c r="G669" s="26" t="s">
        <v>27</v>
      </c>
      <c r="H669" s="27">
        <v>785.82</v>
      </c>
      <c r="I669" s="28">
        <v>10.0</v>
      </c>
      <c r="J669" s="29" t="s">
        <v>38</v>
      </c>
      <c r="K669" s="30">
        <v>0.5</v>
      </c>
      <c r="L669" s="31">
        <f t="shared" si="1"/>
        <v>5</v>
      </c>
      <c r="M669" s="31">
        <f t="shared" si="2"/>
        <v>5</v>
      </c>
      <c r="N669" s="32">
        <f t="shared" si="3"/>
        <v>392.91</v>
      </c>
      <c r="O669" s="32">
        <f t="shared" si="4"/>
        <v>392.91</v>
      </c>
      <c r="P669" s="32">
        <f t="shared" si="5"/>
        <v>392.91</v>
      </c>
      <c r="Q669" s="22">
        <v>0.0</v>
      </c>
      <c r="R669" s="32">
        <f t="shared" si="6"/>
        <v>78.582</v>
      </c>
      <c r="S669" s="33" t="s">
        <v>29</v>
      </c>
      <c r="T669" s="33" t="s">
        <v>30</v>
      </c>
      <c r="U669" s="34" t="s">
        <v>220</v>
      </c>
      <c r="V669" s="35"/>
      <c r="W669" s="7"/>
      <c r="X669" s="7"/>
      <c r="Y669" s="7"/>
      <c r="Z669" s="7"/>
      <c r="AA669" s="7"/>
    </row>
    <row r="670" ht="18.75" customHeight="1">
      <c r="A670" s="8" t="s">
        <v>867</v>
      </c>
      <c r="B670" s="8" t="s">
        <v>868</v>
      </c>
      <c r="C670" s="61" t="s">
        <v>24</v>
      </c>
      <c r="D670" s="62">
        <v>790.0</v>
      </c>
      <c r="E670" s="8" t="s">
        <v>221</v>
      </c>
      <c r="F670" s="11" t="s">
        <v>26</v>
      </c>
      <c r="G670" s="12" t="s">
        <v>27</v>
      </c>
      <c r="H670" s="13">
        <v>1178.73</v>
      </c>
      <c r="I670" s="14">
        <v>10.0</v>
      </c>
      <c r="J670" s="15" t="s">
        <v>38</v>
      </c>
      <c r="K670" s="16">
        <v>0.5</v>
      </c>
      <c r="L670" s="17">
        <f t="shared" si="1"/>
        <v>5</v>
      </c>
      <c r="M670" s="17">
        <f t="shared" si="2"/>
        <v>5</v>
      </c>
      <c r="N670" s="18">
        <f t="shared" si="3"/>
        <v>589.365</v>
      </c>
      <c r="O670" s="18">
        <f t="shared" si="4"/>
        <v>589.365</v>
      </c>
      <c r="P670" s="18">
        <f t="shared" si="5"/>
        <v>589.365</v>
      </c>
      <c r="Q670" s="8">
        <v>0.0</v>
      </c>
      <c r="R670" s="18">
        <f t="shared" si="6"/>
        <v>117.873</v>
      </c>
      <c r="S670" s="19" t="s">
        <v>29</v>
      </c>
      <c r="T670" s="19" t="s">
        <v>30</v>
      </c>
      <c r="U670" s="20" t="s">
        <v>220</v>
      </c>
      <c r="V670" s="37"/>
      <c r="W670" s="7"/>
      <c r="X670" s="7"/>
      <c r="Y670" s="7"/>
      <c r="Z670" s="7"/>
      <c r="AA670" s="7"/>
    </row>
    <row r="671" ht="18.75" customHeight="1">
      <c r="A671" s="22" t="s">
        <v>867</v>
      </c>
      <c r="B671" s="22" t="s">
        <v>868</v>
      </c>
      <c r="C671" s="63" t="s">
        <v>433</v>
      </c>
      <c r="D671" s="64">
        <v>791.0</v>
      </c>
      <c r="E671" s="22" t="s">
        <v>299</v>
      </c>
      <c r="F671" s="25" t="s">
        <v>37</v>
      </c>
      <c r="G671" s="26" t="s">
        <v>27</v>
      </c>
      <c r="H671" s="27">
        <v>255.7</v>
      </c>
      <c r="I671" s="28">
        <v>15.0</v>
      </c>
      <c r="J671" s="29" t="s">
        <v>154</v>
      </c>
      <c r="K671" s="30">
        <v>0.8</v>
      </c>
      <c r="L671" s="31">
        <f t="shared" si="1"/>
        <v>12</v>
      </c>
      <c r="M671" s="31">
        <f t="shared" si="2"/>
        <v>3</v>
      </c>
      <c r="N671" s="32">
        <f t="shared" si="3"/>
        <v>204.56</v>
      </c>
      <c r="O671" s="32">
        <f t="shared" si="4"/>
        <v>51.14</v>
      </c>
      <c r="P671" s="32">
        <f t="shared" si="5"/>
        <v>51.14</v>
      </c>
      <c r="Q671" s="22">
        <v>0.0</v>
      </c>
      <c r="R671" s="32">
        <f t="shared" si="6"/>
        <v>17.04666667</v>
      </c>
      <c r="S671" s="33" t="s">
        <v>29</v>
      </c>
      <c r="T671" s="33" t="s">
        <v>30</v>
      </c>
      <c r="U671" s="34" t="s">
        <v>300</v>
      </c>
      <c r="V671" s="35"/>
      <c r="W671" s="7"/>
      <c r="X671" s="7"/>
      <c r="Y671" s="7"/>
      <c r="Z671" s="7"/>
      <c r="AA671" s="7"/>
    </row>
    <row r="672" ht="18.75" customHeight="1">
      <c r="A672" s="8" t="s">
        <v>867</v>
      </c>
      <c r="B672" s="8" t="s">
        <v>868</v>
      </c>
      <c r="C672" s="61" t="s">
        <v>33</v>
      </c>
      <c r="D672" s="62">
        <v>793.0</v>
      </c>
      <c r="E672" s="8" t="s">
        <v>913</v>
      </c>
      <c r="F672" s="11" t="s">
        <v>26</v>
      </c>
      <c r="G672" s="12" t="s">
        <v>27</v>
      </c>
      <c r="H672" s="13">
        <v>785.82</v>
      </c>
      <c r="I672" s="14">
        <v>10.0</v>
      </c>
      <c r="J672" s="15" t="s">
        <v>38</v>
      </c>
      <c r="K672" s="16">
        <v>0.5</v>
      </c>
      <c r="L672" s="17">
        <f t="shared" si="1"/>
        <v>5</v>
      </c>
      <c r="M672" s="17">
        <f t="shared" si="2"/>
        <v>5</v>
      </c>
      <c r="N672" s="18">
        <f t="shared" si="3"/>
        <v>392.91</v>
      </c>
      <c r="O672" s="18">
        <f t="shared" si="4"/>
        <v>392.91</v>
      </c>
      <c r="P672" s="18">
        <f t="shared" si="5"/>
        <v>392.91</v>
      </c>
      <c r="Q672" s="8">
        <v>0.0</v>
      </c>
      <c r="R672" s="18">
        <f t="shared" si="6"/>
        <v>78.582</v>
      </c>
      <c r="S672" s="19" t="s">
        <v>29</v>
      </c>
      <c r="T672" s="19" t="s">
        <v>30</v>
      </c>
      <c r="U672" s="20" t="s">
        <v>220</v>
      </c>
      <c r="V672" s="37"/>
      <c r="W672" s="7"/>
      <c r="X672" s="7"/>
      <c r="Y672" s="7"/>
      <c r="Z672" s="7"/>
      <c r="AA672" s="7"/>
    </row>
    <row r="673" ht="18.75" customHeight="1">
      <c r="A673" s="22" t="s">
        <v>867</v>
      </c>
      <c r="B673" s="22" t="s">
        <v>868</v>
      </c>
      <c r="C673" s="63" t="s">
        <v>433</v>
      </c>
      <c r="D673" s="64">
        <v>794.0</v>
      </c>
      <c r="E673" s="22" t="s">
        <v>914</v>
      </c>
      <c r="F673" s="25" t="s">
        <v>26</v>
      </c>
      <c r="G673" s="26" t="s">
        <v>27</v>
      </c>
      <c r="H673" s="27">
        <v>1178.73</v>
      </c>
      <c r="I673" s="28">
        <v>10.0</v>
      </c>
      <c r="J673" s="29" t="s">
        <v>38</v>
      </c>
      <c r="K673" s="30">
        <v>0.5</v>
      </c>
      <c r="L673" s="31">
        <f t="shared" si="1"/>
        <v>5</v>
      </c>
      <c r="M673" s="31">
        <f t="shared" si="2"/>
        <v>5</v>
      </c>
      <c r="N673" s="32">
        <f t="shared" si="3"/>
        <v>589.365</v>
      </c>
      <c r="O673" s="32">
        <f t="shared" si="4"/>
        <v>589.365</v>
      </c>
      <c r="P673" s="32">
        <f t="shared" si="5"/>
        <v>589.365</v>
      </c>
      <c r="Q673" s="22">
        <v>0.0</v>
      </c>
      <c r="R673" s="32">
        <f t="shared" si="6"/>
        <v>117.873</v>
      </c>
      <c r="S673" s="33" t="s">
        <v>29</v>
      </c>
      <c r="T673" s="33" t="s">
        <v>30</v>
      </c>
      <c r="U673" s="34" t="s">
        <v>220</v>
      </c>
      <c r="V673" s="35"/>
      <c r="W673" s="7"/>
      <c r="X673" s="7"/>
      <c r="Y673" s="7"/>
      <c r="Z673" s="7"/>
      <c r="AA673" s="7"/>
    </row>
    <row r="674" ht="18.75" customHeight="1">
      <c r="A674" s="8" t="s">
        <v>867</v>
      </c>
      <c r="B674" s="8" t="s">
        <v>868</v>
      </c>
      <c r="C674" s="61" t="s">
        <v>433</v>
      </c>
      <c r="D674" s="62">
        <v>795.0</v>
      </c>
      <c r="E674" s="8" t="s">
        <v>922</v>
      </c>
      <c r="F674" s="11" t="s">
        <v>26</v>
      </c>
      <c r="G674" s="12" t="s">
        <v>27</v>
      </c>
      <c r="H674" s="13">
        <v>4263.9</v>
      </c>
      <c r="I674" s="14">
        <v>10.0</v>
      </c>
      <c r="J674" s="15" t="s">
        <v>38</v>
      </c>
      <c r="K674" s="16">
        <v>0.5</v>
      </c>
      <c r="L674" s="17">
        <f t="shared" si="1"/>
        <v>5</v>
      </c>
      <c r="M674" s="17">
        <f t="shared" si="2"/>
        <v>5</v>
      </c>
      <c r="N674" s="18">
        <f t="shared" si="3"/>
        <v>2131.95</v>
      </c>
      <c r="O674" s="18">
        <f t="shared" si="4"/>
        <v>2131.95</v>
      </c>
      <c r="P674" s="18">
        <f t="shared" si="5"/>
        <v>2131.95</v>
      </c>
      <c r="Q674" s="8">
        <v>0.0</v>
      </c>
      <c r="R674" s="18">
        <f t="shared" si="6"/>
        <v>426.39</v>
      </c>
      <c r="S674" s="19" t="s">
        <v>29</v>
      </c>
      <c r="T674" s="19" t="s">
        <v>30</v>
      </c>
      <c r="U674" s="20" t="s">
        <v>767</v>
      </c>
      <c r="V674" s="37"/>
      <c r="W674" s="7"/>
      <c r="X674" s="7"/>
      <c r="Y674" s="7"/>
      <c r="Z674" s="7"/>
      <c r="AA674" s="7"/>
    </row>
    <row r="675" ht="18.75" customHeight="1">
      <c r="A675" s="22" t="s">
        <v>867</v>
      </c>
      <c r="B675" s="22" t="s">
        <v>868</v>
      </c>
      <c r="C675" s="63" t="s">
        <v>33</v>
      </c>
      <c r="D675" s="64">
        <v>796.0</v>
      </c>
      <c r="E675" s="22" t="s">
        <v>923</v>
      </c>
      <c r="F675" s="25" t="s">
        <v>26</v>
      </c>
      <c r="G675" s="26" t="s">
        <v>27</v>
      </c>
      <c r="H675" s="27">
        <v>1351.57</v>
      </c>
      <c r="I675" s="28">
        <v>10.0</v>
      </c>
      <c r="J675" s="29" t="s">
        <v>38</v>
      </c>
      <c r="K675" s="30">
        <v>0.5</v>
      </c>
      <c r="L675" s="31">
        <f t="shared" si="1"/>
        <v>5</v>
      </c>
      <c r="M675" s="31">
        <f t="shared" si="2"/>
        <v>5</v>
      </c>
      <c r="N675" s="32">
        <f t="shared" si="3"/>
        <v>675.785</v>
      </c>
      <c r="O675" s="32">
        <f t="shared" si="4"/>
        <v>675.785</v>
      </c>
      <c r="P675" s="32">
        <f t="shared" si="5"/>
        <v>675.785</v>
      </c>
      <c r="Q675" s="22">
        <v>0.0</v>
      </c>
      <c r="R675" s="32">
        <f t="shared" si="6"/>
        <v>135.157</v>
      </c>
      <c r="S675" s="33" t="s">
        <v>29</v>
      </c>
      <c r="T675" s="33" t="s">
        <v>30</v>
      </c>
      <c r="U675" s="34" t="s">
        <v>41</v>
      </c>
      <c r="V675" s="35"/>
      <c r="W675" s="7"/>
      <c r="X675" s="7"/>
      <c r="Y675" s="7"/>
      <c r="Z675" s="7"/>
      <c r="AA675" s="7"/>
    </row>
    <row r="676" ht="18.75" customHeight="1">
      <c r="A676" s="8" t="s">
        <v>867</v>
      </c>
      <c r="B676" s="8" t="s">
        <v>868</v>
      </c>
      <c r="C676" s="61" t="s">
        <v>33</v>
      </c>
      <c r="D676" s="62">
        <v>798.0</v>
      </c>
      <c r="E676" s="8" t="s">
        <v>924</v>
      </c>
      <c r="F676" s="11" t="s">
        <v>26</v>
      </c>
      <c r="G676" s="12" t="s">
        <v>27</v>
      </c>
      <c r="H676" s="13">
        <v>22652.48</v>
      </c>
      <c r="I676" s="14">
        <v>10.0</v>
      </c>
      <c r="J676" s="15" t="s">
        <v>54</v>
      </c>
      <c r="K676" s="16">
        <v>0.3</v>
      </c>
      <c r="L676" s="17">
        <f t="shared" si="1"/>
        <v>3</v>
      </c>
      <c r="M676" s="17">
        <f t="shared" si="2"/>
        <v>7</v>
      </c>
      <c r="N676" s="18">
        <f t="shared" si="3"/>
        <v>6795.744</v>
      </c>
      <c r="O676" s="18">
        <f t="shared" si="4"/>
        <v>15856.736</v>
      </c>
      <c r="P676" s="18">
        <f t="shared" si="5"/>
        <v>15856.736</v>
      </c>
      <c r="Q676" s="8">
        <v>0.0</v>
      </c>
      <c r="R676" s="18">
        <f t="shared" si="6"/>
        <v>2265.248</v>
      </c>
      <c r="S676" s="19" t="s">
        <v>29</v>
      </c>
      <c r="T676" s="19" t="s">
        <v>30</v>
      </c>
      <c r="U676" s="20" t="s">
        <v>50</v>
      </c>
      <c r="V676" s="37"/>
      <c r="W676" s="7"/>
      <c r="X676" s="7"/>
      <c r="Y676" s="7"/>
      <c r="Z676" s="7"/>
      <c r="AA676" s="7"/>
    </row>
    <row r="677" ht="18.75" customHeight="1">
      <c r="A677" s="22" t="s">
        <v>867</v>
      </c>
      <c r="B677" s="22" t="s">
        <v>868</v>
      </c>
      <c r="C677" s="63" t="s">
        <v>33</v>
      </c>
      <c r="D677" s="64">
        <v>799.0</v>
      </c>
      <c r="E677" s="22" t="s">
        <v>925</v>
      </c>
      <c r="F677" s="25" t="s">
        <v>26</v>
      </c>
      <c r="G677" s="26" t="s">
        <v>27</v>
      </c>
      <c r="H677" s="27">
        <v>15638.9</v>
      </c>
      <c r="I677" s="28">
        <v>10.0</v>
      </c>
      <c r="J677" s="29" t="s">
        <v>38</v>
      </c>
      <c r="K677" s="30">
        <v>0.5</v>
      </c>
      <c r="L677" s="31">
        <f t="shared" si="1"/>
        <v>5</v>
      </c>
      <c r="M677" s="31">
        <f t="shared" si="2"/>
        <v>5</v>
      </c>
      <c r="N677" s="32">
        <f t="shared" si="3"/>
        <v>7819.45</v>
      </c>
      <c r="O677" s="32">
        <f t="shared" si="4"/>
        <v>7819.45</v>
      </c>
      <c r="P677" s="32">
        <f t="shared" si="5"/>
        <v>7819.45</v>
      </c>
      <c r="Q677" s="22">
        <v>0.0</v>
      </c>
      <c r="R677" s="32">
        <f t="shared" si="6"/>
        <v>1563.89</v>
      </c>
      <c r="S677" s="33" t="s">
        <v>29</v>
      </c>
      <c r="T677" s="33" t="s">
        <v>30</v>
      </c>
      <c r="U677" s="34" t="s">
        <v>35</v>
      </c>
      <c r="V677" s="35"/>
      <c r="W677" s="7"/>
      <c r="X677" s="7"/>
      <c r="Y677" s="7"/>
      <c r="Z677" s="7"/>
      <c r="AA677" s="76"/>
    </row>
    <row r="678" ht="18.75" customHeight="1">
      <c r="A678" s="8" t="s">
        <v>867</v>
      </c>
      <c r="B678" s="8" t="s">
        <v>868</v>
      </c>
      <c r="C678" s="61" t="s">
        <v>33</v>
      </c>
      <c r="D678" s="62">
        <v>800.0</v>
      </c>
      <c r="E678" s="8" t="s">
        <v>926</v>
      </c>
      <c r="F678" s="11" t="s">
        <v>37</v>
      </c>
      <c r="G678" s="12" t="s">
        <v>27</v>
      </c>
      <c r="H678" s="13">
        <v>469.2</v>
      </c>
      <c r="I678" s="14">
        <v>10.0</v>
      </c>
      <c r="J678" s="15" t="s">
        <v>38</v>
      </c>
      <c r="K678" s="16">
        <v>0.5</v>
      </c>
      <c r="L678" s="17">
        <f t="shared" si="1"/>
        <v>5</v>
      </c>
      <c r="M678" s="17">
        <f t="shared" si="2"/>
        <v>5</v>
      </c>
      <c r="N678" s="18">
        <f t="shared" si="3"/>
        <v>234.6</v>
      </c>
      <c r="O678" s="18">
        <f t="shared" si="4"/>
        <v>234.6</v>
      </c>
      <c r="P678" s="18">
        <f t="shared" si="5"/>
        <v>234.6</v>
      </c>
      <c r="Q678" s="8">
        <v>0.0</v>
      </c>
      <c r="R678" s="18">
        <f t="shared" si="6"/>
        <v>46.92</v>
      </c>
      <c r="S678" s="19" t="s">
        <v>29</v>
      </c>
      <c r="T678" s="19" t="s">
        <v>30</v>
      </c>
      <c r="U678" s="36" t="s">
        <v>52</v>
      </c>
      <c r="V678" s="37"/>
      <c r="W678" s="7"/>
      <c r="X678" s="7"/>
      <c r="Y678" s="7"/>
      <c r="Z678" s="7"/>
      <c r="AA678" s="7"/>
    </row>
    <row r="679" ht="18.75" customHeight="1">
      <c r="A679" s="22" t="s">
        <v>867</v>
      </c>
      <c r="B679" s="22" t="s">
        <v>868</v>
      </c>
      <c r="C679" s="63" t="s">
        <v>33</v>
      </c>
      <c r="D679" s="64">
        <v>801.0</v>
      </c>
      <c r="E679" s="22" t="s">
        <v>927</v>
      </c>
      <c r="F679" s="25" t="s">
        <v>37</v>
      </c>
      <c r="G679" s="26" t="s">
        <v>27</v>
      </c>
      <c r="H679" s="27">
        <v>469.2</v>
      </c>
      <c r="I679" s="28">
        <v>10.0</v>
      </c>
      <c r="J679" s="29" t="s">
        <v>38</v>
      </c>
      <c r="K679" s="30">
        <v>0.5</v>
      </c>
      <c r="L679" s="31">
        <f t="shared" si="1"/>
        <v>5</v>
      </c>
      <c r="M679" s="31">
        <f t="shared" si="2"/>
        <v>5</v>
      </c>
      <c r="N679" s="32">
        <f t="shared" si="3"/>
        <v>234.6</v>
      </c>
      <c r="O679" s="32">
        <f t="shared" si="4"/>
        <v>234.6</v>
      </c>
      <c r="P679" s="32">
        <f t="shared" si="5"/>
        <v>234.6</v>
      </c>
      <c r="Q679" s="22">
        <v>0.0</v>
      </c>
      <c r="R679" s="32">
        <f t="shared" si="6"/>
        <v>46.92</v>
      </c>
      <c r="S679" s="33" t="s">
        <v>29</v>
      </c>
      <c r="T679" s="33" t="s">
        <v>30</v>
      </c>
      <c r="U679" s="38" t="s">
        <v>52</v>
      </c>
      <c r="V679" s="35"/>
      <c r="W679" s="7"/>
      <c r="X679" s="7"/>
      <c r="Y679" s="7"/>
      <c r="Z679" s="7"/>
      <c r="AA679" s="7"/>
    </row>
    <row r="680" ht="18.75" customHeight="1">
      <c r="A680" s="8" t="s">
        <v>867</v>
      </c>
      <c r="B680" s="8" t="s">
        <v>868</v>
      </c>
      <c r="C680" s="61" t="s">
        <v>24</v>
      </c>
      <c r="D680" s="62">
        <v>803.0</v>
      </c>
      <c r="E680" s="8" t="s">
        <v>928</v>
      </c>
      <c r="F680" s="11" t="s">
        <v>37</v>
      </c>
      <c r="G680" s="12" t="s">
        <v>27</v>
      </c>
      <c r="H680" s="13">
        <v>332.91</v>
      </c>
      <c r="I680" s="14">
        <v>10.0</v>
      </c>
      <c r="J680" s="15" t="s">
        <v>54</v>
      </c>
      <c r="K680" s="16">
        <v>0.3</v>
      </c>
      <c r="L680" s="17">
        <f t="shared" si="1"/>
        <v>3</v>
      </c>
      <c r="M680" s="17">
        <f t="shared" si="2"/>
        <v>7</v>
      </c>
      <c r="N680" s="18">
        <f t="shared" si="3"/>
        <v>99.873</v>
      </c>
      <c r="O680" s="18">
        <f t="shared" si="4"/>
        <v>233.037</v>
      </c>
      <c r="P680" s="18">
        <f t="shared" si="5"/>
        <v>233.037</v>
      </c>
      <c r="Q680" s="8">
        <v>0.0</v>
      </c>
      <c r="R680" s="18">
        <f t="shared" si="6"/>
        <v>33.291</v>
      </c>
      <c r="S680" s="19" t="s">
        <v>29</v>
      </c>
      <c r="T680" s="19" t="s">
        <v>30</v>
      </c>
      <c r="U680" s="20" t="s">
        <v>223</v>
      </c>
      <c r="V680" s="37"/>
      <c r="W680" s="7"/>
      <c r="X680" s="7"/>
      <c r="Y680" s="7"/>
      <c r="Z680" s="7"/>
      <c r="AA680" s="7"/>
    </row>
    <row r="681" ht="18.75" customHeight="1">
      <c r="A681" s="22" t="s">
        <v>867</v>
      </c>
      <c r="B681" s="22" t="s">
        <v>868</v>
      </c>
      <c r="C681" s="63" t="s">
        <v>33</v>
      </c>
      <c r="D681" s="64">
        <v>805.0</v>
      </c>
      <c r="E681" s="22" t="s">
        <v>929</v>
      </c>
      <c r="F681" s="25" t="s">
        <v>37</v>
      </c>
      <c r="G681" s="26" t="s">
        <v>27</v>
      </c>
      <c r="H681" s="27">
        <v>499.9</v>
      </c>
      <c r="I681" s="28">
        <v>10.0</v>
      </c>
      <c r="J681" s="29" t="s">
        <v>54</v>
      </c>
      <c r="K681" s="30">
        <v>0.3</v>
      </c>
      <c r="L681" s="31">
        <f t="shared" si="1"/>
        <v>3</v>
      </c>
      <c r="M681" s="31">
        <f t="shared" si="2"/>
        <v>7</v>
      </c>
      <c r="N681" s="32">
        <f t="shared" si="3"/>
        <v>149.97</v>
      </c>
      <c r="O681" s="32">
        <f t="shared" si="4"/>
        <v>349.93</v>
      </c>
      <c r="P681" s="32">
        <f t="shared" si="5"/>
        <v>349.93</v>
      </c>
      <c r="Q681" s="22">
        <v>0.0</v>
      </c>
      <c r="R681" s="32">
        <f t="shared" si="6"/>
        <v>49.99</v>
      </c>
      <c r="S681" s="33" t="s">
        <v>29</v>
      </c>
      <c r="T681" s="33" t="s">
        <v>30</v>
      </c>
      <c r="U681" s="34" t="s">
        <v>658</v>
      </c>
      <c r="V681" s="35"/>
      <c r="W681" s="7"/>
      <c r="X681" s="7"/>
      <c r="Y681" s="7"/>
      <c r="Z681" s="7"/>
      <c r="AA681" s="7"/>
    </row>
    <row r="682" ht="18.75" customHeight="1">
      <c r="A682" s="8" t="s">
        <v>867</v>
      </c>
      <c r="B682" s="8" t="s">
        <v>868</v>
      </c>
      <c r="C682" s="61" t="s">
        <v>33</v>
      </c>
      <c r="D682" s="62">
        <v>806.0</v>
      </c>
      <c r="E682" s="8" t="s">
        <v>930</v>
      </c>
      <c r="F682" s="11" t="s">
        <v>37</v>
      </c>
      <c r="G682" s="12" t="s">
        <v>27</v>
      </c>
      <c r="H682" s="13">
        <v>1647.58</v>
      </c>
      <c r="I682" s="14">
        <v>15.0</v>
      </c>
      <c r="J682" s="15" t="s">
        <v>28</v>
      </c>
      <c r="K682" s="16">
        <v>0.4</v>
      </c>
      <c r="L682" s="17">
        <f t="shared" si="1"/>
        <v>6</v>
      </c>
      <c r="M682" s="17">
        <f t="shared" si="2"/>
        <v>9</v>
      </c>
      <c r="N682" s="18">
        <f t="shared" si="3"/>
        <v>659.032</v>
      </c>
      <c r="O682" s="18">
        <f t="shared" si="4"/>
        <v>988.548</v>
      </c>
      <c r="P682" s="18">
        <f t="shared" si="5"/>
        <v>988.548</v>
      </c>
      <c r="Q682" s="8">
        <v>0.0</v>
      </c>
      <c r="R682" s="18">
        <f t="shared" si="6"/>
        <v>109.8386667</v>
      </c>
      <c r="S682" s="19" t="s">
        <v>29</v>
      </c>
      <c r="T682" s="19" t="s">
        <v>30</v>
      </c>
      <c r="U682" s="20" t="s">
        <v>325</v>
      </c>
      <c r="V682" s="37"/>
      <c r="W682" s="7"/>
      <c r="X682" s="7"/>
      <c r="Y682" s="7"/>
      <c r="Z682" s="7"/>
      <c r="AA682" s="7"/>
    </row>
    <row r="683" ht="18.75" customHeight="1">
      <c r="A683" s="22" t="s">
        <v>867</v>
      </c>
      <c r="B683" s="22" t="s">
        <v>868</v>
      </c>
      <c r="C683" s="63" t="s">
        <v>33</v>
      </c>
      <c r="D683" s="64">
        <v>807.0</v>
      </c>
      <c r="E683" s="22" t="s">
        <v>931</v>
      </c>
      <c r="F683" s="25" t="s">
        <v>37</v>
      </c>
      <c r="G683" s="26" t="s">
        <v>27</v>
      </c>
      <c r="H683" s="27">
        <v>1614.0</v>
      </c>
      <c r="I683" s="28">
        <v>10.0</v>
      </c>
      <c r="J683" s="29" t="s">
        <v>54</v>
      </c>
      <c r="K683" s="30">
        <v>0.3</v>
      </c>
      <c r="L683" s="31">
        <f t="shared" si="1"/>
        <v>3</v>
      </c>
      <c r="M683" s="31">
        <f t="shared" si="2"/>
        <v>7</v>
      </c>
      <c r="N683" s="32">
        <f t="shared" si="3"/>
        <v>484.2</v>
      </c>
      <c r="O683" s="32">
        <f t="shared" si="4"/>
        <v>1129.8</v>
      </c>
      <c r="P683" s="32">
        <f t="shared" si="5"/>
        <v>1129.8</v>
      </c>
      <c r="Q683" s="22">
        <v>0.0</v>
      </c>
      <c r="R683" s="32">
        <f t="shared" si="6"/>
        <v>161.4</v>
      </c>
      <c r="S683" s="33" t="s">
        <v>29</v>
      </c>
      <c r="T683" s="33" t="s">
        <v>30</v>
      </c>
      <c r="U683" s="34" t="s">
        <v>411</v>
      </c>
      <c r="V683" s="35"/>
      <c r="W683" s="7"/>
      <c r="X683" s="7"/>
      <c r="Y683" s="7"/>
      <c r="Z683" s="7"/>
      <c r="AA683" s="7"/>
    </row>
    <row r="684" ht="18.75" customHeight="1">
      <c r="A684" s="8" t="s">
        <v>867</v>
      </c>
      <c r="B684" s="8" t="s">
        <v>868</v>
      </c>
      <c r="C684" s="61" t="s">
        <v>33</v>
      </c>
      <c r="D684" s="62">
        <v>808.0</v>
      </c>
      <c r="E684" s="8" t="s">
        <v>932</v>
      </c>
      <c r="F684" s="11" t="s">
        <v>37</v>
      </c>
      <c r="G684" s="12" t="s">
        <v>27</v>
      </c>
      <c r="H684" s="13">
        <v>1300.12</v>
      </c>
      <c r="I684" s="14">
        <v>15.0</v>
      </c>
      <c r="J684" s="15" t="s">
        <v>54</v>
      </c>
      <c r="K684" s="16">
        <v>0.3</v>
      </c>
      <c r="L684" s="17">
        <f t="shared" si="1"/>
        <v>4.5</v>
      </c>
      <c r="M684" s="17">
        <f t="shared" si="2"/>
        <v>10.5</v>
      </c>
      <c r="N684" s="18">
        <f t="shared" si="3"/>
        <v>390.036</v>
      </c>
      <c r="O684" s="18">
        <f t="shared" si="4"/>
        <v>910.084</v>
      </c>
      <c r="P684" s="18">
        <f t="shared" si="5"/>
        <v>910.084</v>
      </c>
      <c r="Q684" s="8">
        <v>0.0</v>
      </c>
      <c r="R684" s="18">
        <f t="shared" si="6"/>
        <v>86.67466667</v>
      </c>
      <c r="S684" s="19" t="s">
        <v>29</v>
      </c>
      <c r="T684" s="19" t="s">
        <v>30</v>
      </c>
      <c r="U684" s="20" t="s">
        <v>229</v>
      </c>
      <c r="V684" s="37"/>
      <c r="W684" s="7"/>
      <c r="X684" s="7"/>
      <c r="Y684" s="7"/>
      <c r="Z684" s="7"/>
      <c r="AA684" s="7"/>
    </row>
    <row r="685" ht="18.75" customHeight="1">
      <c r="A685" s="22" t="s">
        <v>867</v>
      </c>
      <c r="B685" s="22" t="s">
        <v>868</v>
      </c>
      <c r="C685" s="63" t="s">
        <v>33</v>
      </c>
      <c r="D685" s="64">
        <v>810.0</v>
      </c>
      <c r="E685" s="22" t="s">
        <v>933</v>
      </c>
      <c r="F685" s="25" t="s">
        <v>26</v>
      </c>
      <c r="G685" s="26" t="s">
        <v>27</v>
      </c>
      <c r="H685" s="27">
        <v>4899.9</v>
      </c>
      <c r="I685" s="28">
        <v>5.0</v>
      </c>
      <c r="J685" s="29" t="s">
        <v>38</v>
      </c>
      <c r="K685" s="30">
        <v>0.5</v>
      </c>
      <c r="L685" s="31">
        <f t="shared" si="1"/>
        <v>2.5</v>
      </c>
      <c r="M685" s="31">
        <f t="shared" si="2"/>
        <v>2.5</v>
      </c>
      <c r="N685" s="32">
        <f t="shared" si="3"/>
        <v>2449.95</v>
      </c>
      <c r="O685" s="32">
        <f t="shared" si="4"/>
        <v>2449.95</v>
      </c>
      <c r="P685" s="32">
        <f t="shared" si="5"/>
        <v>2449.95</v>
      </c>
      <c r="Q685" s="22">
        <v>0.0</v>
      </c>
      <c r="R685" s="32">
        <f t="shared" si="6"/>
        <v>979.98</v>
      </c>
      <c r="S685" s="33" t="s">
        <v>29</v>
      </c>
      <c r="T685" s="33" t="s">
        <v>30</v>
      </c>
      <c r="U685" s="34" t="s">
        <v>67</v>
      </c>
      <c r="V685" s="35"/>
      <c r="W685" s="7"/>
      <c r="X685" s="7"/>
      <c r="Y685" s="7"/>
      <c r="Z685" s="7"/>
      <c r="AA685" s="7"/>
    </row>
    <row r="686" ht="18.75" customHeight="1">
      <c r="A686" s="8" t="s">
        <v>867</v>
      </c>
      <c r="B686" s="8" t="s">
        <v>868</v>
      </c>
      <c r="C686" s="61" t="s">
        <v>33</v>
      </c>
      <c r="D686" s="62">
        <v>812.0</v>
      </c>
      <c r="E686" s="8" t="s">
        <v>934</v>
      </c>
      <c r="F686" s="11" t="s">
        <v>26</v>
      </c>
      <c r="G686" s="12" t="s">
        <v>27</v>
      </c>
      <c r="H686" s="13">
        <v>6583.2</v>
      </c>
      <c r="I686" s="14">
        <v>10.0</v>
      </c>
      <c r="J686" s="48" t="s">
        <v>63</v>
      </c>
      <c r="K686" s="16">
        <v>0.700000000000003</v>
      </c>
      <c r="L686" s="17">
        <f t="shared" si="1"/>
        <v>7</v>
      </c>
      <c r="M686" s="17">
        <f t="shared" si="2"/>
        <v>3</v>
      </c>
      <c r="N686" s="18">
        <f t="shared" si="3"/>
        <v>4608.24</v>
      </c>
      <c r="O686" s="18">
        <f t="shared" si="4"/>
        <v>1974.96</v>
      </c>
      <c r="P686" s="18">
        <f t="shared" si="5"/>
        <v>1974.96</v>
      </c>
      <c r="Q686" s="8">
        <v>0.0</v>
      </c>
      <c r="R686" s="18">
        <f t="shared" si="6"/>
        <v>658.32</v>
      </c>
      <c r="S686" s="19" t="s">
        <v>29</v>
      </c>
      <c r="T686" s="19" t="s">
        <v>30</v>
      </c>
      <c r="U686" s="20" t="s">
        <v>312</v>
      </c>
      <c r="V686" s="37"/>
      <c r="W686" s="7"/>
      <c r="X686" s="7"/>
      <c r="Y686" s="7"/>
      <c r="Z686" s="7"/>
      <c r="AA686" s="7"/>
    </row>
    <row r="687" ht="18.75" customHeight="1">
      <c r="A687" s="22" t="s">
        <v>867</v>
      </c>
      <c r="B687" s="22" t="s">
        <v>868</v>
      </c>
      <c r="C687" s="63" t="s">
        <v>33</v>
      </c>
      <c r="D687" s="64">
        <v>813.0</v>
      </c>
      <c r="E687" s="22" t="s">
        <v>935</v>
      </c>
      <c r="F687" s="25" t="s">
        <v>37</v>
      </c>
      <c r="G687" s="26" t="s">
        <v>27</v>
      </c>
      <c r="H687" s="27">
        <v>945.0</v>
      </c>
      <c r="I687" s="28">
        <v>15.0</v>
      </c>
      <c r="J687" s="29" t="s">
        <v>54</v>
      </c>
      <c r="K687" s="30">
        <v>0.3</v>
      </c>
      <c r="L687" s="31">
        <f t="shared" si="1"/>
        <v>4.5</v>
      </c>
      <c r="M687" s="31">
        <f t="shared" si="2"/>
        <v>10.5</v>
      </c>
      <c r="N687" s="32">
        <f t="shared" si="3"/>
        <v>283.5</v>
      </c>
      <c r="O687" s="32">
        <f t="shared" si="4"/>
        <v>661.5</v>
      </c>
      <c r="P687" s="32">
        <f t="shared" si="5"/>
        <v>661.5</v>
      </c>
      <c r="Q687" s="22">
        <v>0.0</v>
      </c>
      <c r="R687" s="32">
        <f t="shared" si="6"/>
        <v>63</v>
      </c>
      <c r="S687" s="33" t="s">
        <v>29</v>
      </c>
      <c r="T687" s="33" t="s">
        <v>30</v>
      </c>
      <c r="U687" s="34" t="s">
        <v>205</v>
      </c>
      <c r="V687" s="35"/>
      <c r="W687" s="7"/>
      <c r="X687" s="7"/>
      <c r="Y687" s="7"/>
      <c r="Z687" s="7"/>
      <c r="AA687" s="7"/>
    </row>
    <row r="688" ht="18.75" customHeight="1">
      <c r="A688" s="8" t="s">
        <v>867</v>
      </c>
      <c r="B688" s="8" t="s">
        <v>868</v>
      </c>
      <c r="C688" s="61" t="s">
        <v>33</v>
      </c>
      <c r="D688" s="62">
        <v>820.0</v>
      </c>
      <c r="E688" s="8" t="s">
        <v>936</v>
      </c>
      <c r="F688" s="11" t="s">
        <v>26</v>
      </c>
      <c r="G688" s="12" t="s">
        <v>27</v>
      </c>
      <c r="H688" s="13">
        <v>1749.0</v>
      </c>
      <c r="I688" s="14">
        <v>10.0</v>
      </c>
      <c r="J688" s="15" t="s">
        <v>54</v>
      </c>
      <c r="K688" s="16">
        <v>0.3</v>
      </c>
      <c r="L688" s="17">
        <f t="shared" si="1"/>
        <v>3</v>
      </c>
      <c r="M688" s="17">
        <f t="shared" si="2"/>
        <v>7</v>
      </c>
      <c r="N688" s="18">
        <f t="shared" si="3"/>
        <v>524.7</v>
      </c>
      <c r="O688" s="18">
        <f t="shared" si="4"/>
        <v>1224.3</v>
      </c>
      <c r="P688" s="18">
        <f t="shared" si="5"/>
        <v>1224.3</v>
      </c>
      <c r="Q688" s="8">
        <v>0.0</v>
      </c>
      <c r="R688" s="18">
        <f t="shared" si="6"/>
        <v>174.9</v>
      </c>
      <c r="S688" s="19" t="s">
        <v>29</v>
      </c>
      <c r="T688" s="19" t="s">
        <v>30</v>
      </c>
      <c r="U688" s="20" t="s">
        <v>255</v>
      </c>
      <c r="V688" s="37"/>
      <c r="W688" s="7"/>
      <c r="X688" s="7"/>
      <c r="Y688" s="7"/>
      <c r="Z688" s="7"/>
      <c r="AA688" s="7"/>
    </row>
    <row r="689" ht="18.75" customHeight="1">
      <c r="A689" s="22" t="s">
        <v>867</v>
      </c>
      <c r="B689" s="22" t="s">
        <v>868</v>
      </c>
      <c r="C689" s="63" t="s">
        <v>24</v>
      </c>
      <c r="D689" s="64">
        <v>1631.0</v>
      </c>
      <c r="E689" s="22" t="s">
        <v>937</v>
      </c>
      <c r="F689" s="25" t="s">
        <v>26</v>
      </c>
      <c r="G689" s="26" t="s">
        <v>27</v>
      </c>
      <c r="H689" s="27">
        <v>2563.29</v>
      </c>
      <c r="I689" s="28">
        <v>5.0</v>
      </c>
      <c r="J689" s="29" t="s">
        <v>38</v>
      </c>
      <c r="K689" s="30">
        <v>0.5</v>
      </c>
      <c r="L689" s="31">
        <f t="shared" si="1"/>
        <v>2.5</v>
      </c>
      <c r="M689" s="31">
        <f t="shared" si="2"/>
        <v>2.5</v>
      </c>
      <c r="N689" s="32">
        <f t="shared" si="3"/>
        <v>1281.645</v>
      </c>
      <c r="O689" s="32">
        <f t="shared" si="4"/>
        <v>1281.645</v>
      </c>
      <c r="P689" s="32">
        <f t="shared" si="5"/>
        <v>1281.645</v>
      </c>
      <c r="Q689" s="22">
        <v>0.0</v>
      </c>
      <c r="R689" s="32">
        <f t="shared" si="6"/>
        <v>512.658</v>
      </c>
      <c r="S689" s="33" t="s">
        <v>29</v>
      </c>
      <c r="T689" s="33" t="s">
        <v>30</v>
      </c>
      <c r="U689" s="34" t="s">
        <v>260</v>
      </c>
      <c r="V689" s="35"/>
      <c r="W689" s="7"/>
      <c r="X689" s="7"/>
      <c r="Y689" s="7"/>
      <c r="Z689" s="7"/>
      <c r="AA689" s="7"/>
    </row>
    <row r="690" ht="18.75" customHeight="1">
      <c r="A690" s="8" t="s">
        <v>867</v>
      </c>
      <c r="B690" s="8" t="s">
        <v>868</v>
      </c>
      <c r="C690" s="61" t="s">
        <v>24</v>
      </c>
      <c r="D690" s="62">
        <v>1703.0</v>
      </c>
      <c r="E690" s="8" t="s">
        <v>938</v>
      </c>
      <c r="F690" s="11" t="s">
        <v>26</v>
      </c>
      <c r="G690" s="12" t="s">
        <v>27</v>
      </c>
      <c r="H690" s="13">
        <v>1586.97</v>
      </c>
      <c r="I690" s="14">
        <v>15.0</v>
      </c>
      <c r="J690" s="15" t="s">
        <v>54</v>
      </c>
      <c r="K690" s="16">
        <v>0.3</v>
      </c>
      <c r="L690" s="17">
        <f t="shared" si="1"/>
        <v>4.5</v>
      </c>
      <c r="M690" s="17">
        <f t="shared" si="2"/>
        <v>10.5</v>
      </c>
      <c r="N690" s="18">
        <f t="shared" si="3"/>
        <v>476.091</v>
      </c>
      <c r="O690" s="18">
        <f t="shared" si="4"/>
        <v>1110.879</v>
      </c>
      <c r="P690" s="18">
        <f t="shared" si="5"/>
        <v>1110.879</v>
      </c>
      <c r="Q690" s="8">
        <v>0.0</v>
      </c>
      <c r="R690" s="18">
        <f t="shared" si="6"/>
        <v>105.798</v>
      </c>
      <c r="S690" s="19" t="s">
        <v>29</v>
      </c>
      <c r="T690" s="19" t="s">
        <v>30</v>
      </c>
      <c r="U690" s="20" t="s">
        <v>575</v>
      </c>
      <c r="V690" s="37"/>
      <c r="W690" s="7"/>
      <c r="X690" s="7"/>
      <c r="Y690" s="7"/>
      <c r="Z690" s="7"/>
      <c r="AA690" s="7"/>
    </row>
    <row r="691" ht="18.75" customHeight="1">
      <c r="A691" s="22" t="s">
        <v>867</v>
      </c>
      <c r="B691" s="22" t="s">
        <v>868</v>
      </c>
      <c r="C691" s="63" t="s">
        <v>24</v>
      </c>
      <c r="D691" s="64">
        <v>1704.0</v>
      </c>
      <c r="E691" s="22" t="s">
        <v>938</v>
      </c>
      <c r="F691" s="25" t="s">
        <v>26</v>
      </c>
      <c r="G691" s="26" t="s">
        <v>27</v>
      </c>
      <c r="H691" s="27">
        <v>1586.97</v>
      </c>
      <c r="I691" s="28">
        <v>15.0</v>
      </c>
      <c r="J691" s="29" t="s">
        <v>54</v>
      </c>
      <c r="K691" s="30">
        <v>0.3</v>
      </c>
      <c r="L691" s="31">
        <f t="shared" si="1"/>
        <v>4.5</v>
      </c>
      <c r="M691" s="31">
        <f t="shared" si="2"/>
        <v>10.5</v>
      </c>
      <c r="N691" s="32">
        <f t="shared" si="3"/>
        <v>476.091</v>
      </c>
      <c r="O691" s="32">
        <f t="shared" si="4"/>
        <v>1110.879</v>
      </c>
      <c r="P691" s="32">
        <f t="shared" si="5"/>
        <v>1110.879</v>
      </c>
      <c r="Q691" s="22">
        <v>0.0</v>
      </c>
      <c r="R691" s="32">
        <f t="shared" si="6"/>
        <v>105.798</v>
      </c>
      <c r="S691" s="33" t="s">
        <v>29</v>
      </c>
      <c r="T691" s="33" t="s">
        <v>30</v>
      </c>
      <c r="U691" s="34" t="s">
        <v>575</v>
      </c>
      <c r="V691" s="35"/>
      <c r="W691" s="7"/>
      <c r="X691" s="7"/>
      <c r="Y691" s="7"/>
      <c r="Z691" s="7"/>
      <c r="AA691" s="7"/>
    </row>
    <row r="692" ht="18.75" customHeight="1">
      <c r="A692" s="8" t="s">
        <v>867</v>
      </c>
      <c r="B692" s="8" t="s">
        <v>868</v>
      </c>
      <c r="C692" s="61" t="s">
        <v>24</v>
      </c>
      <c r="D692" s="62">
        <v>1705.0</v>
      </c>
      <c r="E692" s="8" t="s">
        <v>939</v>
      </c>
      <c r="F692" s="11" t="s">
        <v>37</v>
      </c>
      <c r="G692" s="12" t="s">
        <v>27</v>
      </c>
      <c r="H692" s="13">
        <v>332.91</v>
      </c>
      <c r="I692" s="14">
        <v>10.0</v>
      </c>
      <c r="J692" s="15" t="s">
        <v>54</v>
      </c>
      <c r="K692" s="16">
        <v>0.3</v>
      </c>
      <c r="L692" s="17">
        <f t="shared" si="1"/>
        <v>3</v>
      </c>
      <c r="M692" s="17">
        <f t="shared" si="2"/>
        <v>7</v>
      </c>
      <c r="N692" s="18">
        <f t="shared" si="3"/>
        <v>99.873</v>
      </c>
      <c r="O692" s="18">
        <f t="shared" si="4"/>
        <v>233.037</v>
      </c>
      <c r="P692" s="18">
        <f t="shared" si="5"/>
        <v>233.037</v>
      </c>
      <c r="Q692" s="8">
        <v>0.0</v>
      </c>
      <c r="R692" s="18">
        <f t="shared" si="6"/>
        <v>33.291</v>
      </c>
      <c r="S692" s="19" t="s">
        <v>29</v>
      </c>
      <c r="T692" s="19" t="s">
        <v>30</v>
      </c>
      <c r="U692" s="20" t="s">
        <v>298</v>
      </c>
      <c r="V692" s="37"/>
      <c r="W692" s="7"/>
      <c r="X692" s="7"/>
      <c r="Y692" s="7"/>
      <c r="Z692" s="7"/>
      <c r="AA692" s="7"/>
    </row>
    <row r="693" ht="18.75" customHeight="1">
      <c r="A693" s="22" t="s">
        <v>867</v>
      </c>
      <c r="B693" s="22" t="s">
        <v>868</v>
      </c>
      <c r="C693" s="63" t="s">
        <v>24</v>
      </c>
      <c r="D693" s="64">
        <v>1708.0</v>
      </c>
      <c r="E693" s="22" t="s">
        <v>940</v>
      </c>
      <c r="F693" s="25" t="s">
        <v>26</v>
      </c>
      <c r="G693" s="26" t="s">
        <v>27</v>
      </c>
      <c r="H693" s="27">
        <v>236.72</v>
      </c>
      <c r="I693" s="28">
        <v>5.0</v>
      </c>
      <c r="J693" s="29" t="s">
        <v>54</v>
      </c>
      <c r="K693" s="30">
        <v>0.3</v>
      </c>
      <c r="L693" s="31">
        <f t="shared" si="1"/>
        <v>1.5</v>
      </c>
      <c r="M693" s="31">
        <f t="shared" si="2"/>
        <v>3.5</v>
      </c>
      <c r="N693" s="32">
        <f t="shared" si="3"/>
        <v>71.016</v>
      </c>
      <c r="O693" s="32">
        <f t="shared" si="4"/>
        <v>165.704</v>
      </c>
      <c r="P693" s="32">
        <f t="shared" si="5"/>
        <v>165.704</v>
      </c>
      <c r="Q693" s="22">
        <v>0.0</v>
      </c>
      <c r="R693" s="32">
        <f t="shared" si="6"/>
        <v>47.344</v>
      </c>
      <c r="S693" s="33" t="s">
        <v>29</v>
      </c>
      <c r="T693" s="33" t="s">
        <v>30</v>
      </c>
      <c r="U693" s="34" t="s">
        <v>247</v>
      </c>
      <c r="V693" s="35"/>
      <c r="W693" s="7"/>
      <c r="X693" s="7"/>
      <c r="Y693" s="7"/>
      <c r="Z693" s="7"/>
      <c r="AA693" s="7"/>
    </row>
    <row r="694" ht="18.75" customHeight="1">
      <c r="A694" s="8" t="s">
        <v>867</v>
      </c>
      <c r="B694" s="8" t="s">
        <v>868</v>
      </c>
      <c r="C694" s="61" t="s">
        <v>253</v>
      </c>
      <c r="D694" s="62">
        <v>1710.0</v>
      </c>
      <c r="E694" s="8" t="s">
        <v>941</v>
      </c>
      <c r="F694" s="11" t="s">
        <v>37</v>
      </c>
      <c r="G694" s="12" t="s">
        <v>27</v>
      </c>
      <c r="H694" s="13">
        <v>599.0</v>
      </c>
      <c r="I694" s="14">
        <v>5.0</v>
      </c>
      <c r="J694" s="15" t="s">
        <v>38</v>
      </c>
      <c r="K694" s="16">
        <v>0.5</v>
      </c>
      <c r="L694" s="17">
        <f t="shared" si="1"/>
        <v>2.5</v>
      </c>
      <c r="M694" s="17">
        <f t="shared" si="2"/>
        <v>2.5</v>
      </c>
      <c r="N694" s="18">
        <f t="shared" si="3"/>
        <v>299.5</v>
      </c>
      <c r="O694" s="18">
        <f t="shared" si="4"/>
        <v>299.5</v>
      </c>
      <c r="P694" s="18">
        <f t="shared" si="5"/>
        <v>299.5</v>
      </c>
      <c r="Q694" s="8">
        <v>0.0</v>
      </c>
      <c r="R694" s="18">
        <f t="shared" si="6"/>
        <v>119.8</v>
      </c>
      <c r="S694" s="19" t="s">
        <v>29</v>
      </c>
      <c r="T694" s="19" t="s">
        <v>30</v>
      </c>
      <c r="U694" s="20" t="s">
        <v>942</v>
      </c>
      <c r="V694" s="37"/>
      <c r="W694" s="7"/>
      <c r="X694" s="7"/>
      <c r="Y694" s="7"/>
      <c r="Z694" s="7"/>
      <c r="AA694" s="7"/>
    </row>
    <row r="695" ht="18.75" customHeight="1">
      <c r="A695" s="22" t="s">
        <v>867</v>
      </c>
      <c r="B695" s="22" t="s">
        <v>868</v>
      </c>
      <c r="C695" s="63" t="s">
        <v>253</v>
      </c>
      <c r="D695" s="64">
        <v>1711.0</v>
      </c>
      <c r="E695" s="22" t="s">
        <v>943</v>
      </c>
      <c r="F695" s="25" t="s">
        <v>26</v>
      </c>
      <c r="G695" s="26" t="s">
        <v>27</v>
      </c>
      <c r="H695" s="27">
        <v>1749.0</v>
      </c>
      <c r="I695" s="28">
        <v>10.0</v>
      </c>
      <c r="J695" s="29" t="s">
        <v>38</v>
      </c>
      <c r="K695" s="30">
        <v>0.5</v>
      </c>
      <c r="L695" s="31">
        <f t="shared" si="1"/>
        <v>5</v>
      </c>
      <c r="M695" s="31">
        <f t="shared" si="2"/>
        <v>5</v>
      </c>
      <c r="N695" s="32">
        <f t="shared" si="3"/>
        <v>874.5</v>
      </c>
      <c r="O695" s="32">
        <f t="shared" si="4"/>
        <v>874.5</v>
      </c>
      <c r="P695" s="32">
        <f t="shared" si="5"/>
        <v>874.5</v>
      </c>
      <c r="Q695" s="22">
        <v>0.0</v>
      </c>
      <c r="R695" s="32">
        <f t="shared" si="6"/>
        <v>174.9</v>
      </c>
      <c r="S695" s="33" t="s">
        <v>29</v>
      </c>
      <c r="T695" s="33" t="s">
        <v>30</v>
      </c>
      <c r="U695" s="34" t="s">
        <v>255</v>
      </c>
      <c r="V695" s="35"/>
      <c r="W695" s="7"/>
      <c r="X695" s="7"/>
      <c r="Y695" s="7"/>
      <c r="Z695" s="7"/>
      <c r="AA695" s="7"/>
    </row>
    <row r="696" ht="18.75" customHeight="1">
      <c r="A696" s="8" t="s">
        <v>867</v>
      </c>
      <c r="B696" s="8" t="s">
        <v>868</v>
      </c>
      <c r="C696" s="61" t="s">
        <v>230</v>
      </c>
      <c r="D696" s="62">
        <v>1713.0</v>
      </c>
      <c r="E696" s="8" t="s">
        <v>944</v>
      </c>
      <c r="F696" s="11" t="s">
        <v>37</v>
      </c>
      <c r="G696" s="12" t="s">
        <v>27</v>
      </c>
      <c r="H696" s="13">
        <v>546.9</v>
      </c>
      <c r="I696" s="14">
        <v>10.0</v>
      </c>
      <c r="J696" s="15" t="s">
        <v>38</v>
      </c>
      <c r="K696" s="16">
        <v>0.5</v>
      </c>
      <c r="L696" s="17">
        <f t="shared" si="1"/>
        <v>5</v>
      </c>
      <c r="M696" s="17">
        <f t="shared" si="2"/>
        <v>5</v>
      </c>
      <c r="N696" s="18">
        <f t="shared" si="3"/>
        <v>273.45</v>
      </c>
      <c r="O696" s="18">
        <f t="shared" si="4"/>
        <v>273.45</v>
      </c>
      <c r="P696" s="18">
        <f t="shared" si="5"/>
        <v>273.45</v>
      </c>
      <c r="Q696" s="8">
        <v>0.0</v>
      </c>
      <c r="R696" s="18">
        <f t="shared" si="6"/>
        <v>54.69</v>
      </c>
      <c r="S696" s="19" t="s">
        <v>29</v>
      </c>
      <c r="T696" s="19" t="s">
        <v>30</v>
      </c>
      <c r="U696" s="20" t="s">
        <v>270</v>
      </c>
      <c r="V696" s="37"/>
      <c r="W696" s="7"/>
      <c r="X696" s="7"/>
      <c r="Y696" s="7"/>
      <c r="Z696" s="7"/>
      <c r="AA696" s="7"/>
    </row>
    <row r="697" ht="18.75" customHeight="1">
      <c r="A697" s="22" t="s">
        <v>867</v>
      </c>
      <c r="B697" s="22" t="s">
        <v>868</v>
      </c>
      <c r="C697" s="63" t="s">
        <v>24</v>
      </c>
      <c r="D697" s="64">
        <v>1873.0</v>
      </c>
      <c r="E697" s="22" t="s">
        <v>945</v>
      </c>
      <c r="F697" s="25" t="s">
        <v>26</v>
      </c>
      <c r="G697" s="26" t="s">
        <v>27</v>
      </c>
      <c r="H697" s="27">
        <v>1478.0</v>
      </c>
      <c r="I697" s="28">
        <v>5.0</v>
      </c>
      <c r="J697" s="29" t="s">
        <v>38</v>
      </c>
      <c r="K697" s="30">
        <v>0.5</v>
      </c>
      <c r="L697" s="31">
        <f t="shared" si="1"/>
        <v>2.5</v>
      </c>
      <c r="M697" s="31">
        <f t="shared" si="2"/>
        <v>2.5</v>
      </c>
      <c r="N697" s="32">
        <f t="shared" si="3"/>
        <v>739</v>
      </c>
      <c r="O697" s="32">
        <f t="shared" si="4"/>
        <v>739</v>
      </c>
      <c r="P697" s="32">
        <f t="shared" si="5"/>
        <v>739</v>
      </c>
      <c r="Q697" s="22">
        <v>0.0</v>
      </c>
      <c r="R697" s="32">
        <f t="shared" si="6"/>
        <v>295.6</v>
      </c>
      <c r="S697" s="33" t="s">
        <v>29</v>
      </c>
      <c r="T697" s="33" t="s">
        <v>30</v>
      </c>
      <c r="U697" s="34" t="s">
        <v>264</v>
      </c>
      <c r="V697" s="35"/>
      <c r="W697" s="7"/>
      <c r="X697" s="7"/>
      <c r="Y697" s="7"/>
      <c r="Z697" s="7"/>
      <c r="AA697" s="7"/>
    </row>
    <row r="698" ht="18.75" customHeight="1">
      <c r="A698" s="8" t="s">
        <v>867</v>
      </c>
      <c r="B698" s="8" t="s">
        <v>868</v>
      </c>
      <c r="C698" s="61" t="s">
        <v>24</v>
      </c>
      <c r="D698" s="62">
        <v>2038.0</v>
      </c>
      <c r="E698" s="8" t="s">
        <v>946</v>
      </c>
      <c r="F698" s="11" t="s">
        <v>26</v>
      </c>
      <c r="G698" s="12" t="s">
        <v>27</v>
      </c>
      <c r="H698" s="13">
        <v>1946.5</v>
      </c>
      <c r="I698" s="14">
        <v>5.0</v>
      </c>
      <c r="J698" s="15" t="s">
        <v>38</v>
      </c>
      <c r="K698" s="16">
        <v>0.5</v>
      </c>
      <c r="L698" s="17">
        <f t="shared" si="1"/>
        <v>2.5</v>
      </c>
      <c r="M698" s="17">
        <f t="shared" si="2"/>
        <v>2.5</v>
      </c>
      <c r="N698" s="18">
        <f t="shared" si="3"/>
        <v>973.25</v>
      </c>
      <c r="O698" s="18">
        <f t="shared" si="4"/>
        <v>973.25</v>
      </c>
      <c r="P698" s="18">
        <f t="shared" si="5"/>
        <v>973.25</v>
      </c>
      <c r="Q698" s="8">
        <v>0.0</v>
      </c>
      <c r="R698" s="18">
        <f t="shared" si="6"/>
        <v>389.3</v>
      </c>
      <c r="S698" s="19" t="s">
        <v>29</v>
      </c>
      <c r="T698" s="19" t="s">
        <v>30</v>
      </c>
      <c r="U698" s="20" t="s">
        <v>947</v>
      </c>
      <c r="V698" s="37"/>
      <c r="W698" s="7"/>
      <c r="X698" s="7"/>
      <c r="Y698" s="7"/>
      <c r="Z698" s="7"/>
      <c r="AA698" s="7"/>
    </row>
    <row r="699" ht="18.75" customHeight="1">
      <c r="A699" s="22" t="s">
        <v>867</v>
      </c>
      <c r="B699" s="22" t="s">
        <v>868</v>
      </c>
      <c r="C699" s="63" t="s">
        <v>33</v>
      </c>
      <c r="D699" s="64">
        <v>2368.0</v>
      </c>
      <c r="E699" s="22" t="s">
        <v>948</v>
      </c>
      <c r="F699" s="25" t="s">
        <v>26</v>
      </c>
      <c r="G699" s="26" t="s">
        <v>27</v>
      </c>
      <c r="H699" s="27">
        <v>2338.0</v>
      </c>
      <c r="I699" s="28">
        <v>10.0</v>
      </c>
      <c r="J699" s="29" t="s">
        <v>54</v>
      </c>
      <c r="K699" s="30">
        <v>0.3</v>
      </c>
      <c r="L699" s="31">
        <f t="shared" si="1"/>
        <v>3</v>
      </c>
      <c r="M699" s="31">
        <f t="shared" si="2"/>
        <v>7</v>
      </c>
      <c r="N699" s="32">
        <f t="shared" si="3"/>
        <v>701.4</v>
      </c>
      <c r="O699" s="32">
        <f t="shared" si="4"/>
        <v>1636.6</v>
      </c>
      <c r="P699" s="32">
        <f t="shared" si="5"/>
        <v>1636.6</v>
      </c>
      <c r="Q699" s="22">
        <v>0.0</v>
      </c>
      <c r="R699" s="32">
        <f t="shared" si="6"/>
        <v>233.8</v>
      </c>
      <c r="S699" s="33" t="s">
        <v>29</v>
      </c>
      <c r="T699" s="33" t="s">
        <v>30</v>
      </c>
      <c r="U699" s="38" t="s">
        <v>45</v>
      </c>
      <c r="V699" s="35"/>
      <c r="W699" s="7"/>
      <c r="X699" s="7"/>
      <c r="Y699" s="7"/>
      <c r="Z699" s="7"/>
      <c r="AA699" s="7"/>
    </row>
    <row r="700" ht="18.75" customHeight="1">
      <c r="A700" s="8" t="s">
        <v>867</v>
      </c>
      <c r="B700" s="8" t="s">
        <v>868</v>
      </c>
      <c r="C700" s="61" t="s">
        <v>145</v>
      </c>
      <c r="D700" s="62">
        <v>2570.0</v>
      </c>
      <c r="E700" s="8" t="s">
        <v>949</v>
      </c>
      <c r="F700" s="11" t="s">
        <v>26</v>
      </c>
      <c r="G700" s="12" t="s">
        <v>27</v>
      </c>
      <c r="H700" s="13">
        <v>279.0</v>
      </c>
      <c r="I700" s="14">
        <v>5.0</v>
      </c>
      <c r="J700" s="15" t="s">
        <v>54</v>
      </c>
      <c r="K700" s="16">
        <v>0.3</v>
      </c>
      <c r="L700" s="17">
        <f t="shared" si="1"/>
        <v>1.5</v>
      </c>
      <c r="M700" s="17">
        <f t="shared" si="2"/>
        <v>3.5</v>
      </c>
      <c r="N700" s="18">
        <f t="shared" si="3"/>
        <v>83.7</v>
      </c>
      <c r="O700" s="18">
        <f t="shared" si="4"/>
        <v>195.3</v>
      </c>
      <c r="P700" s="18">
        <f t="shared" si="5"/>
        <v>195.3</v>
      </c>
      <c r="Q700" s="8">
        <v>0.0</v>
      </c>
      <c r="R700" s="18">
        <f t="shared" si="6"/>
        <v>55.8</v>
      </c>
      <c r="S700" s="19" t="s">
        <v>29</v>
      </c>
      <c r="T700" s="19" t="s">
        <v>30</v>
      </c>
      <c r="U700" s="20" t="s">
        <v>55</v>
      </c>
      <c r="V700" s="37"/>
      <c r="W700" s="7"/>
      <c r="X700" s="7"/>
      <c r="Y700" s="7"/>
      <c r="Z700" s="7"/>
      <c r="AA700" s="7"/>
    </row>
    <row r="701" ht="18.75" customHeight="1">
      <c r="A701" s="22" t="s">
        <v>867</v>
      </c>
      <c r="B701" s="22" t="s">
        <v>868</v>
      </c>
      <c r="C701" s="63" t="s">
        <v>145</v>
      </c>
      <c r="D701" s="64">
        <v>2572.0</v>
      </c>
      <c r="E701" s="22" t="s">
        <v>950</v>
      </c>
      <c r="F701" s="25" t="s">
        <v>26</v>
      </c>
      <c r="G701" s="26" t="s">
        <v>27</v>
      </c>
      <c r="H701" s="27">
        <v>328.8</v>
      </c>
      <c r="I701" s="28">
        <v>5.0</v>
      </c>
      <c r="J701" s="29" t="s">
        <v>38</v>
      </c>
      <c r="K701" s="30">
        <v>0.5</v>
      </c>
      <c r="L701" s="31">
        <f t="shared" si="1"/>
        <v>2.5</v>
      </c>
      <c r="M701" s="31">
        <f t="shared" si="2"/>
        <v>2.5</v>
      </c>
      <c r="N701" s="32">
        <f t="shared" si="3"/>
        <v>164.4</v>
      </c>
      <c r="O701" s="32">
        <f t="shared" si="4"/>
        <v>164.4</v>
      </c>
      <c r="P701" s="32">
        <f t="shared" si="5"/>
        <v>164.4</v>
      </c>
      <c r="Q701" s="22">
        <v>0.0</v>
      </c>
      <c r="R701" s="32">
        <f t="shared" si="6"/>
        <v>65.76</v>
      </c>
      <c r="S701" s="33" t="s">
        <v>29</v>
      </c>
      <c r="T701" s="33" t="s">
        <v>30</v>
      </c>
      <c r="U701" s="34" t="s">
        <v>344</v>
      </c>
      <c r="V701" s="35"/>
      <c r="W701" s="7"/>
      <c r="X701" s="7"/>
      <c r="Y701" s="7"/>
      <c r="Z701" s="7"/>
      <c r="AA701" s="7"/>
    </row>
    <row r="702" ht="18.75" customHeight="1">
      <c r="A702" s="8" t="s">
        <v>867</v>
      </c>
      <c r="B702" s="8" t="s">
        <v>868</v>
      </c>
      <c r="C702" s="61" t="s">
        <v>433</v>
      </c>
      <c r="D702" s="62">
        <v>2575.0</v>
      </c>
      <c r="E702" s="8" t="s">
        <v>951</v>
      </c>
      <c r="F702" s="11" t="s">
        <v>202</v>
      </c>
      <c r="G702" s="12" t="s">
        <v>27</v>
      </c>
      <c r="H702" s="13">
        <v>399.0</v>
      </c>
      <c r="I702" s="14">
        <v>5.0</v>
      </c>
      <c r="J702" s="46" t="s">
        <v>54</v>
      </c>
      <c r="K702" s="16">
        <v>0.3</v>
      </c>
      <c r="L702" s="17">
        <f t="shared" si="1"/>
        <v>1.5</v>
      </c>
      <c r="M702" s="17">
        <f t="shared" si="2"/>
        <v>3.5</v>
      </c>
      <c r="N702" s="18">
        <f t="shared" si="3"/>
        <v>119.7</v>
      </c>
      <c r="O702" s="18">
        <f t="shared" si="4"/>
        <v>279.3</v>
      </c>
      <c r="P702" s="18">
        <f t="shared" si="5"/>
        <v>279.3</v>
      </c>
      <c r="Q702" s="8">
        <v>0.0</v>
      </c>
      <c r="R702" s="18">
        <f t="shared" si="6"/>
        <v>79.8</v>
      </c>
      <c r="S702" s="19" t="s">
        <v>29</v>
      </c>
      <c r="T702" s="19" t="s">
        <v>30</v>
      </c>
      <c r="U702" s="36" t="s">
        <v>438</v>
      </c>
      <c r="V702" s="37"/>
      <c r="W702" s="7"/>
      <c r="X702" s="7"/>
      <c r="Y702" s="7"/>
      <c r="Z702" s="7"/>
      <c r="AA702" s="7"/>
    </row>
    <row r="703" ht="18.75" customHeight="1">
      <c r="A703" s="22" t="s">
        <v>867</v>
      </c>
      <c r="B703" s="22" t="s">
        <v>868</v>
      </c>
      <c r="C703" s="63" t="s">
        <v>145</v>
      </c>
      <c r="D703" s="64">
        <v>2587.0</v>
      </c>
      <c r="E703" s="22" t="s">
        <v>952</v>
      </c>
      <c r="F703" s="25" t="s">
        <v>26</v>
      </c>
      <c r="G703" s="26" t="s">
        <v>27</v>
      </c>
      <c r="H703" s="27">
        <v>603.0</v>
      </c>
      <c r="I703" s="28">
        <v>5.0</v>
      </c>
      <c r="J703" s="29" t="s">
        <v>54</v>
      </c>
      <c r="K703" s="30">
        <v>0.3</v>
      </c>
      <c r="L703" s="31">
        <f t="shared" si="1"/>
        <v>1.5</v>
      </c>
      <c r="M703" s="31">
        <f t="shared" si="2"/>
        <v>3.5</v>
      </c>
      <c r="N703" s="32">
        <f t="shared" si="3"/>
        <v>180.9</v>
      </c>
      <c r="O703" s="32">
        <f t="shared" si="4"/>
        <v>422.1</v>
      </c>
      <c r="P703" s="32">
        <f t="shared" si="5"/>
        <v>422.1</v>
      </c>
      <c r="Q703" s="22">
        <v>0.0</v>
      </c>
      <c r="R703" s="32">
        <f t="shared" si="6"/>
        <v>120.6</v>
      </c>
      <c r="S703" s="33" t="s">
        <v>29</v>
      </c>
      <c r="T703" s="33" t="s">
        <v>30</v>
      </c>
      <c r="U703" s="34" t="s">
        <v>79</v>
      </c>
      <c r="V703" s="35"/>
      <c r="W703" s="7"/>
      <c r="X703" s="7"/>
      <c r="Y703" s="7"/>
      <c r="Z703" s="7"/>
      <c r="AA703" s="7"/>
    </row>
    <row r="704" ht="18.75" customHeight="1">
      <c r="A704" s="8" t="s">
        <v>867</v>
      </c>
      <c r="B704" s="8" t="s">
        <v>868</v>
      </c>
      <c r="C704" s="61" t="s">
        <v>433</v>
      </c>
      <c r="D704" s="62">
        <v>2593.0</v>
      </c>
      <c r="E704" s="8" t="s">
        <v>953</v>
      </c>
      <c r="F704" s="11" t="s">
        <v>128</v>
      </c>
      <c r="G704" s="12" t="s">
        <v>27</v>
      </c>
      <c r="H704" s="13">
        <v>1669.0</v>
      </c>
      <c r="I704" s="14">
        <v>5.0</v>
      </c>
      <c r="J704" s="15" t="s">
        <v>38</v>
      </c>
      <c r="K704" s="16">
        <v>0.5</v>
      </c>
      <c r="L704" s="17">
        <f t="shared" si="1"/>
        <v>2.5</v>
      </c>
      <c r="M704" s="17">
        <f t="shared" si="2"/>
        <v>2.5</v>
      </c>
      <c r="N704" s="18">
        <f t="shared" si="3"/>
        <v>834.5</v>
      </c>
      <c r="O704" s="18">
        <f t="shared" si="4"/>
        <v>834.5</v>
      </c>
      <c r="P704" s="18">
        <f t="shared" si="5"/>
        <v>834.5</v>
      </c>
      <c r="Q704" s="8">
        <v>0.0</v>
      </c>
      <c r="R704" s="18">
        <f t="shared" si="6"/>
        <v>333.8</v>
      </c>
      <c r="S704" s="19" t="s">
        <v>29</v>
      </c>
      <c r="T704" s="19" t="s">
        <v>30</v>
      </c>
      <c r="U704" s="20" t="s">
        <v>129</v>
      </c>
      <c r="V704" s="37"/>
      <c r="W704" s="7"/>
      <c r="X704" s="7"/>
      <c r="Y704" s="7"/>
      <c r="Z704" s="7"/>
      <c r="AA704" s="7"/>
    </row>
    <row r="705" ht="18.75" customHeight="1">
      <c r="A705" s="22" t="s">
        <v>867</v>
      </c>
      <c r="B705" s="22" t="s">
        <v>868</v>
      </c>
      <c r="C705" s="63" t="s">
        <v>433</v>
      </c>
      <c r="D705" s="64">
        <v>2594.0</v>
      </c>
      <c r="E705" s="22" t="s">
        <v>611</v>
      </c>
      <c r="F705" s="25" t="s">
        <v>26</v>
      </c>
      <c r="G705" s="26" t="s">
        <v>27</v>
      </c>
      <c r="H705" s="27">
        <v>449.24</v>
      </c>
      <c r="I705" s="28">
        <v>5.0</v>
      </c>
      <c r="J705" s="29" t="s">
        <v>38</v>
      </c>
      <c r="K705" s="30">
        <v>0.5</v>
      </c>
      <c r="L705" s="31">
        <f t="shared" si="1"/>
        <v>2.5</v>
      </c>
      <c r="M705" s="31">
        <f t="shared" si="2"/>
        <v>2.5</v>
      </c>
      <c r="N705" s="32">
        <f t="shared" si="3"/>
        <v>224.62</v>
      </c>
      <c r="O705" s="32">
        <f t="shared" si="4"/>
        <v>224.62</v>
      </c>
      <c r="P705" s="32">
        <f t="shared" si="5"/>
        <v>224.62</v>
      </c>
      <c r="Q705" s="22">
        <v>0.0</v>
      </c>
      <c r="R705" s="32">
        <f t="shared" si="6"/>
        <v>89.848</v>
      </c>
      <c r="S705" s="33" t="s">
        <v>29</v>
      </c>
      <c r="T705" s="33" t="s">
        <v>30</v>
      </c>
      <c r="U705" s="34" t="s">
        <v>308</v>
      </c>
      <c r="V705" s="35"/>
      <c r="W705" s="7"/>
      <c r="X705" s="7"/>
      <c r="Y705" s="7"/>
      <c r="Z705" s="7"/>
      <c r="AA705" s="7"/>
    </row>
    <row r="706" ht="18.75" customHeight="1">
      <c r="A706" s="8" t="s">
        <v>867</v>
      </c>
      <c r="B706" s="8" t="s">
        <v>868</v>
      </c>
      <c r="C706" s="61" t="s">
        <v>33</v>
      </c>
      <c r="D706" s="62">
        <v>2788.0</v>
      </c>
      <c r="E706" s="8" t="s">
        <v>954</v>
      </c>
      <c r="F706" s="11" t="s">
        <v>26</v>
      </c>
      <c r="G706" s="12" t="s">
        <v>27</v>
      </c>
      <c r="H706" s="77">
        <v>651.75</v>
      </c>
      <c r="I706" s="14">
        <v>5.0</v>
      </c>
      <c r="J706" s="15" t="s">
        <v>54</v>
      </c>
      <c r="K706" s="16">
        <v>0.3</v>
      </c>
      <c r="L706" s="17">
        <f t="shared" si="1"/>
        <v>1.5</v>
      </c>
      <c r="M706" s="17">
        <f t="shared" si="2"/>
        <v>3.5</v>
      </c>
      <c r="N706" s="18">
        <f t="shared" si="3"/>
        <v>195.525</v>
      </c>
      <c r="O706" s="18">
        <f t="shared" si="4"/>
        <v>456.225</v>
      </c>
      <c r="P706" s="18">
        <f t="shared" si="5"/>
        <v>456.225</v>
      </c>
      <c r="Q706" s="8">
        <v>0.0</v>
      </c>
      <c r="R706" s="18">
        <f t="shared" si="6"/>
        <v>130.35</v>
      </c>
      <c r="S706" s="19" t="s">
        <v>29</v>
      </c>
      <c r="T706" s="19" t="s">
        <v>30</v>
      </c>
      <c r="U706" s="78" t="s">
        <v>121</v>
      </c>
      <c r="V706" s="37"/>
      <c r="W706" s="7"/>
      <c r="X706" s="7"/>
      <c r="Y706" s="7"/>
      <c r="Z706" s="7"/>
      <c r="AA706" s="7"/>
    </row>
    <row r="707" ht="18.75" customHeight="1">
      <c r="A707" s="22" t="s">
        <v>867</v>
      </c>
      <c r="B707" s="22" t="s">
        <v>868</v>
      </c>
      <c r="C707" s="22" t="s">
        <v>955</v>
      </c>
      <c r="D707" s="51">
        <v>3123.0</v>
      </c>
      <c r="E707" s="45" t="s">
        <v>956</v>
      </c>
      <c r="F707" s="25" t="s">
        <v>26</v>
      </c>
      <c r="G707" s="26"/>
      <c r="H707" s="79">
        <v>1149.9</v>
      </c>
      <c r="I707" s="28">
        <v>5.0</v>
      </c>
      <c r="J707" s="29" t="s">
        <v>81</v>
      </c>
      <c r="K707" s="30">
        <v>0.15</v>
      </c>
      <c r="L707" s="31">
        <f t="shared" si="1"/>
        <v>0.75</v>
      </c>
      <c r="M707" s="31">
        <f t="shared" si="2"/>
        <v>4.25</v>
      </c>
      <c r="N707" s="32">
        <f t="shared" si="3"/>
        <v>172.485</v>
      </c>
      <c r="O707" s="32">
        <f t="shared" si="4"/>
        <v>977.415</v>
      </c>
      <c r="P707" s="32">
        <f t="shared" si="5"/>
        <v>977.415</v>
      </c>
      <c r="Q707" s="22">
        <v>0.0</v>
      </c>
      <c r="R707" s="32">
        <f t="shared" si="6"/>
        <v>229.98</v>
      </c>
      <c r="S707" s="33" t="s">
        <v>29</v>
      </c>
      <c r="T707" s="33" t="s">
        <v>30</v>
      </c>
      <c r="U707" s="80" t="s">
        <v>957</v>
      </c>
      <c r="V707" s="35"/>
      <c r="W707" s="7"/>
      <c r="X707" s="7"/>
      <c r="Y707" s="7"/>
      <c r="Z707" s="7"/>
      <c r="AA707" s="7"/>
    </row>
    <row r="708" ht="18.75" customHeight="1">
      <c r="A708" s="8" t="s">
        <v>958</v>
      </c>
      <c r="B708" s="9" t="s">
        <v>959</v>
      </c>
      <c r="C708" s="9" t="s">
        <v>960</v>
      </c>
      <c r="D708" s="10">
        <v>1234.0</v>
      </c>
      <c r="E708" s="9" t="s">
        <v>961</v>
      </c>
      <c r="F708" s="11" t="s">
        <v>37</v>
      </c>
      <c r="G708" s="12" t="s">
        <v>27</v>
      </c>
      <c r="H708" s="13">
        <v>332.91</v>
      </c>
      <c r="I708" s="14">
        <v>10.0</v>
      </c>
      <c r="J708" s="15" t="s">
        <v>28</v>
      </c>
      <c r="K708" s="16">
        <v>0.4</v>
      </c>
      <c r="L708" s="17">
        <f t="shared" si="1"/>
        <v>4</v>
      </c>
      <c r="M708" s="17">
        <f t="shared" si="2"/>
        <v>6</v>
      </c>
      <c r="N708" s="18">
        <f t="shared" si="3"/>
        <v>133.164</v>
      </c>
      <c r="O708" s="18">
        <f t="shared" si="4"/>
        <v>199.746</v>
      </c>
      <c r="P708" s="18">
        <f t="shared" si="5"/>
        <v>199.746</v>
      </c>
      <c r="Q708" s="8">
        <v>0.0</v>
      </c>
      <c r="R708" s="18">
        <f t="shared" si="6"/>
        <v>33.291</v>
      </c>
      <c r="S708" s="19" t="s">
        <v>29</v>
      </c>
      <c r="T708" s="19" t="s">
        <v>30</v>
      </c>
      <c r="U708" s="20" t="s">
        <v>298</v>
      </c>
      <c r="V708" s="37"/>
      <c r="W708" s="7"/>
      <c r="X708" s="7"/>
      <c r="Y708" s="7"/>
      <c r="Z708" s="7"/>
      <c r="AA708" s="7"/>
    </row>
    <row r="709" ht="18.75" customHeight="1">
      <c r="A709" s="22" t="s">
        <v>958</v>
      </c>
      <c r="B709" s="23" t="s">
        <v>959</v>
      </c>
      <c r="C709" s="23" t="s">
        <v>960</v>
      </c>
      <c r="D709" s="24">
        <v>1235.0</v>
      </c>
      <c r="E709" s="23" t="s">
        <v>962</v>
      </c>
      <c r="F709" s="25" t="s">
        <v>26</v>
      </c>
      <c r="G709" s="26" t="s">
        <v>27</v>
      </c>
      <c r="H709" s="27">
        <v>531.9</v>
      </c>
      <c r="I709" s="28">
        <v>10.0</v>
      </c>
      <c r="J709" s="29" t="s">
        <v>54</v>
      </c>
      <c r="K709" s="30">
        <v>0.3</v>
      </c>
      <c r="L709" s="31">
        <f t="shared" si="1"/>
        <v>3</v>
      </c>
      <c r="M709" s="31">
        <f t="shared" si="2"/>
        <v>7</v>
      </c>
      <c r="N709" s="32">
        <f t="shared" si="3"/>
        <v>159.57</v>
      </c>
      <c r="O709" s="32">
        <f t="shared" si="4"/>
        <v>372.33</v>
      </c>
      <c r="P709" s="32">
        <f t="shared" si="5"/>
        <v>372.33</v>
      </c>
      <c r="Q709" s="22">
        <v>0.0</v>
      </c>
      <c r="R709" s="32">
        <f t="shared" si="6"/>
        <v>53.19</v>
      </c>
      <c r="S709" s="33" t="s">
        <v>29</v>
      </c>
      <c r="T709" s="33" t="s">
        <v>30</v>
      </c>
      <c r="U709" s="34" t="s">
        <v>191</v>
      </c>
      <c r="V709" s="35"/>
      <c r="W709" s="7"/>
      <c r="X709" s="7"/>
      <c r="Y709" s="7"/>
      <c r="Z709" s="7"/>
      <c r="AA709" s="7"/>
    </row>
    <row r="710" ht="18.75" customHeight="1">
      <c r="A710" s="8" t="s">
        <v>958</v>
      </c>
      <c r="B710" s="9" t="s">
        <v>959</v>
      </c>
      <c r="C710" s="9" t="s">
        <v>960</v>
      </c>
      <c r="D710" s="10">
        <v>1236.0</v>
      </c>
      <c r="E710" s="9" t="s">
        <v>963</v>
      </c>
      <c r="F710" s="11" t="s">
        <v>26</v>
      </c>
      <c r="G710" s="12" t="s">
        <v>27</v>
      </c>
      <c r="H710" s="13">
        <v>235.03</v>
      </c>
      <c r="I710" s="14">
        <v>10.0</v>
      </c>
      <c r="J710" s="48" t="s">
        <v>63</v>
      </c>
      <c r="K710" s="16">
        <v>0.700000000000003</v>
      </c>
      <c r="L710" s="17">
        <f t="shared" si="1"/>
        <v>7</v>
      </c>
      <c r="M710" s="17">
        <f t="shared" si="2"/>
        <v>3</v>
      </c>
      <c r="N710" s="18">
        <f t="shared" si="3"/>
        <v>164.521</v>
      </c>
      <c r="O710" s="18">
        <f t="shared" si="4"/>
        <v>70.509</v>
      </c>
      <c r="P710" s="18">
        <f t="shared" si="5"/>
        <v>70.509</v>
      </c>
      <c r="Q710" s="8">
        <v>0.0</v>
      </c>
      <c r="R710" s="18">
        <f t="shared" si="6"/>
        <v>23.503</v>
      </c>
      <c r="S710" s="19" t="s">
        <v>29</v>
      </c>
      <c r="T710" s="19" t="s">
        <v>30</v>
      </c>
      <c r="U710" s="20" t="s">
        <v>96</v>
      </c>
      <c r="V710" s="37"/>
      <c r="W710" s="7"/>
      <c r="X710" s="7"/>
      <c r="Y710" s="7"/>
      <c r="Z710" s="7"/>
      <c r="AA710" s="7"/>
    </row>
    <row r="711" ht="18.75" customHeight="1">
      <c r="A711" s="22" t="s">
        <v>958</v>
      </c>
      <c r="B711" s="23" t="s">
        <v>959</v>
      </c>
      <c r="C711" s="23" t="s">
        <v>964</v>
      </c>
      <c r="D711" s="24">
        <v>1237.0</v>
      </c>
      <c r="E711" s="23" t="s">
        <v>965</v>
      </c>
      <c r="F711" s="25" t="s">
        <v>26</v>
      </c>
      <c r="G711" s="26" t="s">
        <v>27</v>
      </c>
      <c r="H711" s="56">
        <v>840.42</v>
      </c>
      <c r="I711" s="28">
        <v>10.0</v>
      </c>
      <c r="J711" s="29" t="s">
        <v>38</v>
      </c>
      <c r="K711" s="30">
        <v>0.5</v>
      </c>
      <c r="L711" s="31">
        <f t="shared" si="1"/>
        <v>5</v>
      </c>
      <c r="M711" s="31">
        <f t="shared" si="2"/>
        <v>5</v>
      </c>
      <c r="N711" s="32">
        <f t="shared" si="3"/>
        <v>420.21</v>
      </c>
      <c r="O711" s="32">
        <f t="shared" si="4"/>
        <v>420.21</v>
      </c>
      <c r="P711" s="32">
        <f t="shared" si="5"/>
        <v>420.21</v>
      </c>
      <c r="Q711" s="22">
        <v>0.0</v>
      </c>
      <c r="R711" s="32">
        <f t="shared" si="6"/>
        <v>84.042</v>
      </c>
      <c r="S711" s="33" t="s">
        <v>29</v>
      </c>
      <c r="T711" s="33" t="s">
        <v>30</v>
      </c>
      <c r="U711" s="34" t="s">
        <v>102</v>
      </c>
      <c r="V711" s="35"/>
      <c r="W711" s="7"/>
      <c r="X711" s="7"/>
      <c r="Y711" s="7"/>
      <c r="Z711" s="7"/>
      <c r="AA711" s="7"/>
    </row>
    <row r="712" ht="18.75" customHeight="1">
      <c r="A712" s="8" t="s">
        <v>958</v>
      </c>
      <c r="B712" s="9" t="s">
        <v>959</v>
      </c>
      <c r="C712" s="9" t="s">
        <v>964</v>
      </c>
      <c r="D712" s="10">
        <v>1238.0</v>
      </c>
      <c r="E712" s="9" t="s">
        <v>966</v>
      </c>
      <c r="F712" s="11" t="s">
        <v>26</v>
      </c>
      <c r="G712" s="12" t="s">
        <v>27</v>
      </c>
      <c r="H712" s="55">
        <v>1260.63</v>
      </c>
      <c r="I712" s="14">
        <v>10.0</v>
      </c>
      <c r="J712" s="15" t="s">
        <v>38</v>
      </c>
      <c r="K712" s="16">
        <v>0.5</v>
      </c>
      <c r="L712" s="17">
        <f t="shared" si="1"/>
        <v>5</v>
      </c>
      <c r="M712" s="17">
        <f t="shared" si="2"/>
        <v>5</v>
      </c>
      <c r="N712" s="18">
        <f t="shared" si="3"/>
        <v>630.315</v>
      </c>
      <c r="O712" s="18">
        <f t="shared" si="4"/>
        <v>630.315</v>
      </c>
      <c r="P712" s="18">
        <f t="shared" si="5"/>
        <v>630.315</v>
      </c>
      <c r="Q712" s="8">
        <v>0.0</v>
      </c>
      <c r="R712" s="18">
        <f t="shared" si="6"/>
        <v>126.063</v>
      </c>
      <c r="S712" s="19" t="s">
        <v>29</v>
      </c>
      <c r="T712" s="19" t="s">
        <v>30</v>
      </c>
      <c r="U712" s="20" t="s">
        <v>102</v>
      </c>
      <c r="V712" s="37"/>
      <c r="W712" s="7"/>
      <c r="X712" s="7"/>
      <c r="Y712" s="7"/>
      <c r="Z712" s="7"/>
      <c r="AA712" s="7"/>
    </row>
    <row r="713" ht="18.75" customHeight="1">
      <c r="A713" s="22" t="s">
        <v>958</v>
      </c>
      <c r="B713" s="23" t="s">
        <v>959</v>
      </c>
      <c r="C713" s="23" t="s">
        <v>960</v>
      </c>
      <c r="D713" s="24">
        <v>1239.0</v>
      </c>
      <c r="E713" s="23" t="s">
        <v>967</v>
      </c>
      <c r="F713" s="25" t="s">
        <v>26</v>
      </c>
      <c r="G713" s="26" t="s">
        <v>27</v>
      </c>
      <c r="H713" s="27">
        <v>531.9</v>
      </c>
      <c r="I713" s="28">
        <v>10.0</v>
      </c>
      <c r="J713" s="29" t="s">
        <v>54</v>
      </c>
      <c r="K713" s="30">
        <v>0.3</v>
      </c>
      <c r="L713" s="31">
        <f t="shared" si="1"/>
        <v>3</v>
      </c>
      <c r="M713" s="31">
        <f t="shared" si="2"/>
        <v>7</v>
      </c>
      <c r="N713" s="32">
        <f t="shared" si="3"/>
        <v>159.57</v>
      </c>
      <c r="O713" s="32">
        <f t="shared" si="4"/>
        <v>372.33</v>
      </c>
      <c r="P713" s="32">
        <f t="shared" si="5"/>
        <v>372.33</v>
      </c>
      <c r="Q713" s="22">
        <v>0.0</v>
      </c>
      <c r="R713" s="32">
        <f t="shared" si="6"/>
        <v>53.19</v>
      </c>
      <c r="S713" s="33" t="s">
        <v>29</v>
      </c>
      <c r="T713" s="33" t="s">
        <v>30</v>
      </c>
      <c r="U713" s="34" t="s">
        <v>191</v>
      </c>
      <c r="V713" s="35"/>
      <c r="W713" s="7"/>
      <c r="X713" s="7"/>
      <c r="Y713" s="7"/>
      <c r="Z713" s="7"/>
      <c r="AA713" s="7"/>
    </row>
    <row r="714" ht="18.75" customHeight="1">
      <c r="A714" s="8" t="s">
        <v>958</v>
      </c>
      <c r="B714" s="9" t="s">
        <v>959</v>
      </c>
      <c r="C714" s="9" t="s">
        <v>960</v>
      </c>
      <c r="D714" s="10">
        <v>1241.0</v>
      </c>
      <c r="E714" s="9" t="s">
        <v>968</v>
      </c>
      <c r="F714" s="11" t="s">
        <v>37</v>
      </c>
      <c r="G714" s="12" t="s">
        <v>27</v>
      </c>
      <c r="H714" s="13">
        <v>101.86</v>
      </c>
      <c r="I714" s="14">
        <v>10.0</v>
      </c>
      <c r="J714" s="15" t="s">
        <v>38</v>
      </c>
      <c r="K714" s="16">
        <v>0.5</v>
      </c>
      <c r="L714" s="17">
        <f t="shared" si="1"/>
        <v>5</v>
      </c>
      <c r="M714" s="17">
        <f t="shared" si="2"/>
        <v>5</v>
      </c>
      <c r="N714" s="18">
        <f t="shared" si="3"/>
        <v>50.93</v>
      </c>
      <c r="O714" s="18">
        <f t="shared" si="4"/>
        <v>50.93</v>
      </c>
      <c r="P714" s="18">
        <f t="shared" si="5"/>
        <v>50.93</v>
      </c>
      <c r="Q714" s="8">
        <v>0.0</v>
      </c>
      <c r="R714" s="18">
        <f t="shared" si="6"/>
        <v>10.186</v>
      </c>
      <c r="S714" s="19" t="s">
        <v>29</v>
      </c>
      <c r="T714" s="19" t="s">
        <v>30</v>
      </c>
      <c r="U714" s="36" t="s">
        <v>544</v>
      </c>
      <c r="V714" s="37"/>
      <c r="W714" s="7"/>
      <c r="X714" s="7"/>
      <c r="Y714" s="7"/>
      <c r="Z714" s="7"/>
      <c r="AA714" s="7"/>
    </row>
    <row r="715" ht="18.75" customHeight="1">
      <c r="A715" s="22" t="s">
        <v>958</v>
      </c>
      <c r="B715" s="23" t="s">
        <v>959</v>
      </c>
      <c r="C715" s="23" t="s">
        <v>960</v>
      </c>
      <c r="D715" s="24">
        <v>1242.0</v>
      </c>
      <c r="E715" s="23" t="s">
        <v>969</v>
      </c>
      <c r="F715" s="25" t="s">
        <v>37</v>
      </c>
      <c r="G715" s="26" t="s">
        <v>27</v>
      </c>
      <c r="H715" s="27">
        <v>101.86</v>
      </c>
      <c r="I715" s="28">
        <v>10.0</v>
      </c>
      <c r="J715" s="41" t="s">
        <v>54</v>
      </c>
      <c r="K715" s="30">
        <v>0.3</v>
      </c>
      <c r="L715" s="31">
        <f t="shared" si="1"/>
        <v>3</v>
      </c>
      <c r="M715" s="31">
        <f t="shared" si="2"/>
        <v>7</v>
      </c>
      <c r="N715" s="32">
        <f t="shared" si="3"/>
        <v>30.558</v>
      </c>
      <c r="O715" s="32">
        <f t="shared" si="4"/>
        <v>71.302</v>
      </c>
      <c r="P715" s="32">
        <f t="shared" si="5"/>
        <v>71.302</v>
      </c>
      <c r="Q715" s="22">
        <v>0.0</v>
      </c>
      <c r="R715" s="32">
        <f t="shared" si="6"/>
        <v>10.186</v>
      </c>
      <c r="S715" s="33" t="s">
        <v>29</v>
      </c>
      <c r="T715" s="33" t="s">
        <v>30</v>
      </c>
      <c r="U715" s="38" t="s">
        <v>544</v>
      </c>
      <c r="V715" s="35"/>
      <c r="W715" s="7"/>
      <c r="X715" s="7"/>
      <c r="Y715" s="7"/>
      <c r="Z715" s="7"/>
      <c r="AA715" s="7"/>
    </row>
    <row r="716" ht="18.75" customHeight="1">
      <c r="A716" s="8" t="s">
        <v>958</v>
      </c>
      <c r="B716" s="9" t="s">
        <v>959</v>
      </c>
      <c r="C716" s="9" t="s">
        <v>960</v>
      </c>
      <c r="D716" s="10">
        <v>1243.0</v>
      </c>
      <c r="E716" s="9" t="s">
        <v>970</v>
      </c>
      <c r="F716" s="11" t="s">
        <v>26</v>
      </c>
      <c r="G716" s="12" t="s">
        <v>27</v>
      </c>
      <c r="H716" s="13">
        <v>695.0</v>
      </c>
      <c r="I716" s="14">
        <v>5.0</v>
      </c>
      <c r="J716" s="15" t="s">
        <v>38</v>
      </c>
      <c r="K716" s="16">
        <v>0.5</v>
      </c>
      <c r="L716" s="17">
        <f t="shared" si="1"/>
        <v>2.5</v>
      </c>
      <c r="M716" s="17">
        <f t="shared" si="2"/>
        <v>2.5</v>
      </c>
      <c r="N716" s="18">
        <f t="shared" si="3"/>
        <v>347.5</v>
      </c>
      <c r="O716" s="18">
        <f t="shared" si="4"/>
        <v>347.5</v>
      </c>
      <c r="P716" s="18">
        <f t="shared" si="5"/>
        <v>347.5</v>
      </c>
      <c r="Q716" s="8">
        <v>0.0</v>
      </c>
      <c r="R716" s="18">
        <f t="shared" si="6"/>
        <v>139</v>
      </c>
      <c r="S716" s="19" t="s">
        <v>29</v>
      </c>
      <c r="T716" s="19" t="s">
        <v>30</v>
      </c>
      <c r="U716" s="36" t="s">
        <v>971</v>
      </c>
      <c r="V716" s="37"/>
      <c r="W716" s="7"/>
      <c r="X716" s="7"/>
      <c r="Y716" s="7"/>
      <c r="Z716" s="7"/>
      <c r="AA716" s="7"/>
    </row>
    <row r="717" ht="18.75" customHeight="1">
      <c r="A717" s="22" t="s">
        <v>958</v>
      </c>
      <c r="B717" s="23" t="s">
        <v>959</v>
      </c>
      <c r="C717" s="23" t="s">
        <v>972</v>
      </c>
      <c r="D717" s="24">
        <v>1245.0</v>
      </c>
      <c r="E717" s="23" t="s">
        <v>973</v>
      </c>
      <c r="F717" s="25" t="s">
        <v>26</v>
      </c>
      <c r="G717" s="26" t="s">
        <v>27</v>
      </c>
      <c r="H717" s="27">
        <v>1583.6</v>
      </c>
      <c r="I717" s="28">
        <v>10.0</v>
      </c>
      <c r="J717" s="29" t="s">
        <v>154</v>
      </c>
      <c r="K717" s="30">
        <v>0.8</v>
      </c>
      <c r="L717" s="31">
        <f t="shared" si="1"/>
        <v>8</v>
      </c>
      <c r="M717" s="31">
        <f t="shared" si="2"/>
        <v>2</v>
      </c>
      <c r="N717" s="32">
        <f t="shared" si="3"/>
        <v>1266.88</v>
      </c>
      <c r="O717" s="32">
        <f t="shared" si="4"/>
        <v>316.72</v>
      </c>
      <c r="P717" s="32">
        <f t="shared" si="5"/>
        <v>316.72</v>
      </c>
      <c r="Q717" s="22">
        <v>0.0</v>
      </c>
      <c r="R717" s="32">
        <f t="shared" si="6"/>
        <v>158.36</v>
      </c>
      <c r="S717" s="33" t="s">
        <v>29</v>
      </c>
      <c r="T717" s="33" t="s">
        <v>30</v>
      </c>
      <c r="U717" s="34" t="s">
        <v>232</v>
      </c>
      <c r="V717" s="35"/>
      <c r="W717" s="7"/>
      <c r="X717" s="7"/>
      <c r="Y717" s="7"/>
      <c r="Z717" s="7"/>
      <c r="AA717" s="7"/>
    </row>
    <row r="718" ht="18.75" customHeight="1">
      <c r="A718" s="8" t="s">
        <v>958</v>
      </c>
      <c r="B718" s="9" t="s">
        <v>959</v>
      </c>
      <c r="C718" s="9" t="s">
        <v>972</v>
      </c>
      <c r="D718" s="10">
        <v>1246.0</v>
      </c>
      <c r="E718" s="9" t="s">
        <v>974</v>
      </c>
      <c r="F718" s="11" t="s">
        <v>26</v>
      </c>
      <c r="G718" s="12" t="s">
        <v>27</v>
      </c>
      <c r="H718" s="13">
        <v>2375.4</v>
      </c>
      <c r="I718" s="14">
        <v>10.0</v>
      </c>
      <c r="J718" s="15" t="s">
        <v>154</v>
      </c>
      <c r="K718" s="16">
        <v>0.8</v>
      </c>
      <c r="L718" s="17">
        <f t="shared" si="1"/>
        <v>8</v>
      </c>
      <c r="M718" s="17">
        <f t="shared" si="2"/>
        <v>2</v>
      </c>
      <c r="N718" s="18">
        <f t="shared" si="3"/>
        <v>1900.32</v>
      </c>
      <c r="O718" s="18">
        <f t="shared" si="4"/>
        <v>475.08</v>
      </c>
      <c r="P718" s="18">
        <f t="shared" si="5"/>
        <v>475.08</v>
      </c>
      <c r="Q718" s="8">
        <v>0.0</v>
      </c>
      <c r="R718" s="18">
        <f t="shared" si="6"/>
        <v>237.54</v>
      </c>
      <c r="S718" s="19" t="s">
        <v>29</v>
      </c>
      <c r="T718" s="19" t="s">
        <v>30</v>
      </c>
      <c r="U718" s="20" t="s">
        <v>232</v>
      </c>
      <c r="V718" s="37"/>
      <c r="W718" s="7"/>
      <c r="X718" s="7"/>
      <c r="Y718" s="7"/>
      <c r="Z718" s="7"/>
      <c r="AA718" s="7"/>
    </row>
    <row r="719" ht="18.75" customHeight="1">
      <c r="A719" s="22" t="s">
        <v>975</v>
      </c>
      <c r="B719" s="63" t="s">
        <v>976</v>
      </c>
      <c r="C719" s="63" t="s">
        <v>33</v>
      </c>
      <c r="D719" s="64">
        <v>0.0</v>
      </c>
      <c r="E719" s="22" t="s">
        <v>977</v>
      </c>
      <c r="F719" s="25" t="s">
        <v>26</v>
      </c>
      <c r="G719" s="26" t="s">
        <v>27</v>
      </c>
      <c r="H719" s="27">
        <v>463.56</v>
      </c>
      <c r="I719" s="28">
        <v>5.0</v>
      </c>
      <c r="J719" s="29" t="s">
        <v>38</v>
      </c>
      <c r="K719" s="30">
        <v>0.5</v>
      </c>
      <c r="L719" s="31">
        <f t="shared" si="1"/>
        <v>2.5</v>
      </c>
      <c r="M719" s="31">
        <f t="shared" si="2"/>
        <v>2.5</v>
      </c>
      <c r="N719" s="32">
        <f t="shared" si="3"/>
        <v>231.78</v>
      </c>
      <c r="O719" s="32">
        <f t="shared" si="4"/>
        <v>231.78</v>
      </c>
      <c r="P719" s="32">
        <f t="shared" si="5"/>
        <v>231.78</v>
      </c>
      <c r="Q719" s="22">
        <v>0.0</v>
      </c>
      <c r="R719" s="32">
        <f t="shared" si="6"/>
        <v>92.712</v>
      </c>
      <c r="S719" s="33" t="s">
        <v>29</v>
      </c>
      <c r="T719" s="33" t="s">
        <v>30</v>
      </c>
      <c r="U719" s="34" t="s">
        <v>125</v>
      </c>
      <c r="V719" s="35"/>
      <c r="W719" s="7"/>
      <c r="X719" s="7"/>
      <c r="Y719" s="7"/>
      <c r="Z719" s="7"/>
      <c r="AA719" s="7"/>
    </row>
    <row r="720" ht="18.75" customHeight="1">
      <c r="A720" s="8" t="s">
        <v>975</v>
      </c>
      <c r="B720" s="61" t="s">
        <v>976</v>
      </c>
      <c r="C720" s="61" t="s">
        <v>33</v>
      </c>
      <c r="D720" s="62">
        <v>0.0</v>
      </c>
      <c r="E720" s="8" t="s">
        <v>978</v>
      </c>
      <c r="F720" s="11" t="s">
        <v>26</v>
      </c>
      <c r="G720" s="12" t="s">
        <v>27</v>
      </c>
      <c r="H720" s="13">
        <v>463.56</v>
      </c>
      <c r="I720" s="14">
        <v>5.0</v>
      </c>
      <c r="J720" s="15" t="s">
        <v>38</v>
      </c>
      <c r="K720" s="16">
        <v>0.5</v>
      </c>
      <c r="L720" s="17">
        <f t="shared" si="1"/>
        <v>2.5</v>
      </c>
      <c r="M720" s="17">
        <f t="shared" si="2"/>
        <v>2.5</v>
      </c>
      <c r="N720" s="18">
        <f t="shared" si="3"/>
        <v>231.78</v>
      </c>
      <c r="O720" s="18">
        <f t="shared" si="4"/>
        <v>231.78</v>
      </c>
      <c r="P720" s="18">
        <f t="shared" si="5"/>
        <v>231.78</v>
      </c>
      <c r="Q720" s="8">
        <v>0.0</v>
      </c>
      <c r="R720" s="18">
        <f t="shared" si="6"/>
        <v>92.712</v>
      </c>
      <c r="S720" s="19" t="s">
        <v>29</v>
      </c>
      <c r="T720" s="19" t="s">
        <v>30</v>
      </c>
      <c r="U720" s="20" t="s">
        <v>125</v>
      </c>
      <c r="V720" s="37"/>
      <c r="W720" s="7"/>
      <c r="X720" s="7"/>
      <c r="Y720" s="7"/>
      <c r="Z720" s="7"/>
      <c r="AA720" s="7"/>
    </row>
    <row r="721" ht="18.75" customHeight="1">
      <c r="A721" s="22" t="s">
        <v>975</v>
      </c>
      <c r="B721" s="63" t="s">
        <v>976</v>
      </c>
      <c r="C721" s="22"/>
      <c r="D721" s="51">
        <v>0.0</v>
      </c>
      <c r="E721" s="22" t="s">
        <v>979</v>
      </c>
      <c r="F721" s="25" t="s">
        <v>26</v>
      </c>
      <c r="G721" s="26" t="s">
        <v>27</v>
      </c>
      <c r="H721" s="27">
        <v>463.56</v>
      </c>
      <c r="I721" s="28">
        <v>5.0</v>
      </c>
      <c r="J721" s="29" t="s">
        <v>38</v>
      </c>
      <c r="K721" s="30">
        <v>0.5</v>
      </c>
      <c r="L721" s="31">
        <f t="shared" si="1"/>
        <v>2.5</v>
      </c>
      <c r="M721" s="31">
        <f t="shared" si="2"/>
        <v>2.5</v>
      </c>
      <c r="N721" s="32">
        <f t="shared" si="3"/>
        <v>231.78</v>
      </c>
      <c r="O721" s="32">
        <f t="shared" si="4"/>
        <v>231.78</v>
      </c>
      <c r="P721" s="32">
        <f t="shared" si="5"/>
        <v>231.78</v>
      </c>
      <c r="Q721" s="22">
        <v>0.0</v>
      </c>
      <c r="R721" s="32">
        <f t="shared" si="6"/>
        <v>92.712</v>
      </c>
      <c r="S721" s="33" t="s">
        <v>29</v>
      </c>
      <c r="T721" s="33" t="s">
        <v>30</v>
      </c>
      <c r="U721" s="34" t="s">
        <v>125</v>
      </c>
      <c r="V721" s="35"/>
      <c r="W721" s="7"/>
      <c r="X721" s="7"/>
      <c r="Y721" s="7"/>
      <c r="Z721" s="7"/>
      <c r="AA721" s="7"/>
    </row>
    <row r="722" ht="18.75" customHeight="1">
      <c r="A722" s="8" t="s">
        <v>975</v>
      </c>
      <c r="B722" s="61" t="s">
        <v>976</v>
      </c>
      <c r="C722" s="61" t="s">
        <v>33</v>
      </c>
      <c r="D722" s="62">
        <v>0.0</v>
      </c>
      <c r="E722" s="8" t="s">
        <v>980</v>
      </c>
      <c r="F722" s="11" t="s">
        <v>26</v>
      </c>
      <c r="G722" s="12" t="s">
        <v>27</v>
      </c>
      <c r="H722" s="13">
        <v>651.75</v>
      </c>
      <c r="I722" s="14">
        <v>5.0</v>
      </c>
      <c r="J722" s="15" t="s">
        <v>38</v>
      </c>
      <c r="K722" s="16">
        <v>0.5</v>
      </c>
      <c r="L722" s="17">
        <f t="shared" si="1"/>
        <v>2.5</v>
      </c>
      <c r="M722" s="17">
        <f t="shared" si="2"/>
        <v>2.5</v>
      </c>
      <c r="N722" s="18">
        <f t="shared" si="3"/>
        <v>325.875</v>
      </c>
      <c r="O722" s="18">
        <f t="shared" si="4"/>
        <v>325.875</v>
      </c>
      <c r="P722" s="18">
        <f t="shared" si="5"/>
        <v>325.875</v>
      </c>
      <c r="Q722" s="8">
        <v>0.0</v>
      </c>
      <c r="R722" s="18">
        <f t="shared" si="6"/>
        <v>130.35</v>
      </c>
      <c r="S722" s="19" t="s">
        <v>29</v>
      </c>
      <c r="T722" s="19" t="s">
        <v>30</v>
      </c>
      <c r="U722" s="20" t="s">
        <v>121</v>
      </c>
      <c r="V722" s="37"/>
      <c r="W722" s="7"/>
      <c r="X722" s="7"/>
      <c r="Y722" s="7"/>
      <c r="Z722" s="7"/>
      <c r="AA722" s="7"/>
    </row>
    <row r="723" ht="18.75" customHeight="1">
      <c r="A723" s="22" t="s">
        <v>975</v>
      </c>
      <c r="B723" s="63" t="s">
        <v>976</v>
      </c>
      <c r="C723" s="63" t="s">
        <v>33</v>
      </c>
      <c r="D723" s="64">
        <v>0.0</v>
      </c>
      <c r="E723" s="22" t="s">
        <v>981</v>
      </c>
      <c r="F723" s="25" t="s">
        <v>37</v>
      </c>
      <c r="G723" s="26" t="s">
        <v>27</v>
      </c>
      <c r="H723" s="27">
        <v>114.0</v>
      </c>
      <c r="I723" s="28">
        <v>10.0</v>
      </c>
      <c r="J723" s="29" t="s">
        <v>54</v>
      </c>
      <c r="K723" s="30">
        <v>0.3</v>
      </c>
      <c r="L723" s="31">
        <f t="shared" si="1"/>
        <v>3</v>
      </c>
      <c r="M723" s="31">
        <f t="shared" si="2"/>
        <v>7</v>
      </c>
      <c r="N723" s="32">
        <f t="shared" si="3"/>
        <v>34.2</v>
      </c>
      <c r="O723" s="32">
        <f t="shared" si="4"/>
        <v>79.8</v>
      </c>
      <c r="P723" s="32">
        <f t="shared" si="5"/>
        <v>79.8</v>
      </c>
      <c r="Q723" s="22">
        <v>0.0</v>
      </c>
      <c r="R723" s="32">
        <f t="shared" si="6"/>
        <v>11.4</v>
      </c>
      <c r="S723" s="33" t="s">
        <v>29</v>
      </c>
      <c r="T723" s="33" t="s">
        <v>30</v>
      </c>
      <c r="U723" s="38" t="s">
        <v>654</v>
      </c>
      <c r="V723" s="35"/>
      <c r="W723" s="7"/>
      <c r="X723" s="7"/>
      <c r="Y723" s="7"/>
      <c r="Z723" s="7"/>
      <c r="AA723" s="7"/>
    </row>
    <row r="724" ht="18.75" customHeight="1">
      <c r="A724" s="8" t="s">
        <v>975</v>
      </c>
      <c r="B724" s="61" t="s">
        <v>976</v>
      </c>
      <c r="C724" s="61" t="s">
        <v>33</v>
      </c>
      <c r="D724" s="62">
        <v>0.0</v>
      </c>
      <c r="E724" s="8" t="s">
        <v>982</v>
      </c>
      <c r="F724" s="11" t="s">
        <v>37</v>
      </c>
      <c r="G724" s="12" t="s">
        <v>27</v>
      </c>
      <c r="H724" s="13">
        <v>227.9</v>
      </c>
      <c r="I724" s="14">
        <v>10.0</v>
      </c>
      <c r="J724" s="15" t="s">
        <v>54</v>
      </c>
      <c r="K724" s="16">
        <v>0.3</v>
      </c>
      <c r="L724" s="17">
        <f t="shared" si="1"/>
        <v>3</v>
      </c>
      <c r="M724" s="17">
        <f t="shared" si="2"/>
        <v>7</v>
      </c>
      <c r="N724" s="18">
        <f t="shared" si="3"/>
        <v>68.37</v>
      </c>
      <c r="O724" s="18">
        <f t="shared" si="4"/>
        <v>159.53</v>
      </c>
      <c r="P724" s="18">
        <f t="shared" si="5"/>
        <v>159.53</v>
      </c>
      <c r="Q724" s="8">
        <v>0.0</v>
      </c>
      <c r="R724" s="18">
        <f t="shared" si="6"/>
        <v>22.79</v>
      </c>
      <c r="S724" s="19" t="s">
        <v>29</v>
      </c>
      <c r="T724" s="19" t="s">
        <v>30</v>
      </c>
      <c r="U724" s="36" t="s">
        <v>983</v>
      </c>
      <c r="V724" s="37"/>
      <c r="W724" s="7"/>
      <c r="X724" s="7"/>
      <c r="Y724" s="7"/>
      <c r="Z724" s="7"/>
      <c r="AA724" s="7"/>
    </row>
    <row r="725" ht="18.75" customHeight="1">
      <c r="A725" s="22" t="s">
        <v>975</v>
      </c>
      <c r="B725" s="63" t="s">
        <v>976</v>
      </c>
      <c r="C725" s="63" t="s">
        <v>33</v>
      </c>
      <c r="D725" s="51">
        <v>0.0</v>
      </c>
      <c r="E725" s="22" t="s">
        <v>984</v>
      </c>
      <c r="F725" s="25" t="s">
        <v>26</v>
      </c>
      <c r="G725" s="26" t="s">
        <v>27</v>
      </c>
      <c r="H725" s="27">
        <v>576.47</v>
      </c>
      <c r="I725" s="28">
        <v>5.0</v>
      </c>
      <c r="J725" s="29" t="s">
        <v>38</v>
      </c>
      <c r="K725" s="30">
        <v>0.5</v>
      </c>
      <c r="L725" s="31">
        <f t="shared" si="1"/>
        <v>2.5</v>
      </c>
      <c r="M725" s="31">
        <f t="shared" si="2"/>
        <v>2.5</v>
      </c>
      <c r="N725" s="32">
        <f t="shared" si="3"/>
        <v>288.235</v>
      </c>
      <c r="O725" s="32">
        <f t="shared" si="4"/>
        <v>288.235</v>
      </c>
      <c r="P725" s="32">
        <f t="shared" si="5"/>
        <v>288.235</v>
      </c>
      <c r="Q725" s="22">
        <v>0.0</v>
      </c>
      <c r="R725" s="32">
        <f t="shared" si="6"/>
        <v>115.294</v>
      </c>
      <c r="S725" s="33" t="s">
        <v>29</v>
      </c>
      <c r="T725" s="33" t="s">
        <v>30</v>
      </c>
      <c r="U725" s="34" t="s">
        <v>114</v>
      </c>
      <c r="V725" s="35"/>
      <c r="W725" s="7"/>
      <c r="X725" s="7"/>
      <c r="Y725" s="7"/>
      <c r="Z725" s="7"/>
      <c r="AA725" s="7"/>
    </row>
    <row r="726" ht="18.75" customHeight="1">
      <c r="A726" s="8" t="s">
        <v>975</v>
      </c>
      <c r="B726" s="61" t="s">
        <v>976</v>
      </c>
      <c r="C726" s="61" t="s">
        <v>985</v>
      </c>
      <c r="D726" s="62">
        <v>0.0</v>
      </c>
      <c r="E726" s="8" t="s">
        <v>986</v>
      </c>
      <c r="F726" s="11" t="s">
        <v>26</v>
      </c>
      <c r="G726" s="12" t="s">
        <v>27</v>
      </c>
      <c r="H726" s="13">
        <v>623.61</v>
      </c>
      <c r="I726" s="14">
        <v>5.0</v>
      </c>
      <c r="J726" s="15" t="s">
        <v>38</v>
      </c>
      <c r="K726" s="16">
        <v>0.5</v>
      </c>
      <c r="L726" s="17">
        <f t="shared" si="1"/>
        <v>2.5</v>
      </c>
      <c r="M726" s="17">
        <f t="shared" si="2"/>
        <v>2.5</v>
      </c>
      <c r="N726" s="18">
        <f t="shared" si="3"/>
        <v>311.805</v>
      </c>
      <c r="O726" s="18">
        <f t="shared" si="4"/>
        <v>311.805</v>
      </c>
      <c r="P726" s="18">
        <f t="shared" si="5"/>
        <v>311.805</v>
      </c>
      <c r="Q726" s="8">
        <v>0.0</v>
      </c>
      <c r="R726" s="18">
        <f t="shared" si="6"/>
        <v>124.722</v>
      </c>
      <c r="S726" s="19" t="s">
        <v>29</v>
      </c>
      <c r="T726" s="19" t="s">
        <v>30</v>
      </c>
      <c r="U726" s="20" t="s">
        <v>117</v>
      </c>
      <c r="V726" s="37"/>
      <c r="W726" s="7"/>
      <c r="X726" s="7"/>
      <c r="Y726" s="7"/>
      <c r="Z726" s="7"/>
      <c r="AA726" s="7"/>
    </row>
    <row r="727" ht="18.75" customHeight="1">
      <c r="A727" s="22" t="s">
        <v>975</v>
      </c>
      <c r="B727" s="63" t="s">
        <v>976</v>
      </c>
      <c r="C727" s="63" t="s">
        <v>33</v>
      </c>
      <c r="D727" s="51">
        <v>0.0</v>
      </c>
      <c r="E727" s="22" t="s">
        <v>987</v>
      </c>
      <c r="F727" s="25" t="s">
        <v>26</v>
      </c>
      <c r="G727" s="26" t="s">
        <v>27</v>
      </c>
      <c r="H727" s="27">
        <v>623.61</v>
      </c>
      <c r="I727" s="28">
        <v>5.0</v>
      </c>
      <c r="J727" s="29" t="s">
        <v>38</v>
      </c>
      <c r="K727" s="30">
        <v>0.5</v>
      </c>
      <c r="L727" s="31">
        <f t="shared" si="1"/>
        <v>2.5</v>
      </c>
      <c r="M727" s="31">
        <f t="shared" si="2"/>
        <v>2.5</v>
      </c>
      <c r="N727" s="32">
        <f t="shared" si="3"/>
        <v>311.805</v>
      </c>
      <c r="O727" s="32">
        <f t="shared" si="4"/>
        <v>311.805</v>
      </c>
      <c r="P727" s="32">
        <f t="shared" si="5"/>
        <v>311.805</v>
      </c>
      <c r="Q727" s="22">
        <v>0.0</v>
      </c>
      <c r="R727" s="32">
        <f t="shared" si="6"/>
        <v>124.722</v>
      </c>
      <c r="S727" s="33" t="s">
        <v>29</v>
      </c>
      <c r="T727" s="33" t="s">
        <v>30</v>
      </c>
      <c r="U727" s="34" t="s">
        <v>117</v>
      </c>
      <c r="V727" s="35"/>
      <c r="W727" s="7"/>
      <c r="X727" s="7"/>
      <c r="Y727" s="7"/>
      <c r="Z727" s="7"/>
      <c r="AA727" s="7"/>
    </row>
    <row r="728" ht="18.75" customHeight="1">
      <c r="A728" s="8" t="s">
        <v>975</v>
      </c>
      <c r="B728" s="61" t="s">
        <v>976</v>
      </c>
      <c r="C728" s="61" t="s">
        <v>988</v>
      </c>
      <c r="D728" s="62">
        <v>134.0</v>
      </c>
      <c r="E728" s="8" t="s">
        <v>989</v>
      </c>
      <c r="F728" s="11" t="s">
        <v>37</v>
      </c>
      <c r="G728" s="12" t="s">
        <v>27</v>
      </c>
      <c r="H728" s="13">
        <v>578.76</v>
      </c>
      <c r="I728" s="14">
        <v>10.0</v>
      </c>
      <c r="J728" s="15" t="s">
        <v>38</v>
      </c>
      <c r="K728" s="16">
        <v>0.5</v>
      </c>
      <c r="L728" s="17">
        <f t="shared" si="1"/>
        <v>5</v>
      </c>
      <c r="M728" s="17">
        <f t="shared" si="2"/>
        <v>5</v>
      </c>
      <c r="N728" s="18">
        <f t="shared" si="3"/>
        <v>289.38</v>
      </c>
      <c r="O728" s="18">
        <f t="shared" si="4"/>
        <v>289.38</v>
      </c>
      <c r="P728" s="18">
        <f t="shared" si="5"/>
        <v>289.38</v>
      </c>
      <c r="Q728" s="8">
        <v>0.0</v>
      </c>
      <c r="R728" s="18">
        <f t="shared" si="6"/>
        <v>57.876</v>
      </c>
      <c r="S728" s="19" t="s">
        <v>29</v>
      </c>
      <c r="T728" s="19" t="s">
        <v>30</v>
      </c>
      <c r="U728" s="36" t="s">
        <v>784</v>
      </c>
      <c r="V728" s="37"/>
      <c r="W728" s="7"/>
      <c r="X728" s="7"/>
      <c r="Y728" s="7"/>
      <c r="Z728" s="7"/>
      <c r="AA728" s="7"/>
    </row>
    <row r="729" ht="18.75" customHeight="1">
      <c r="A729" s="22" t="s">
        <v>975</v>
      </c>
      <c r="B729" s="63" t="s">
        <v>976</v>
      </c>
      <c r="C729" s="63" t="s">
        <v>534</v>
      </c>
      <c r="D729" s="64">
        <v>376.0</v>
      </c>
      <c r="E729" s="22" t="s">
        <v>990</v>
      </c>
      <c r="F729" s="25" t="s">
        <v>37</v>
      </c>
      <c r="G729" s="26" t="s">
        <v>27</v>
      </c>
      <c r="H729" s="27">
        <v>469.2</v>
      </c>
      <c r="I729" s="28">
        <v>10.0</v>
      </c>
      <c r="J729" s="29" t="s">
        <v>38</v>
      </c>
      <c r="K729" s="30">
        <v>0.5</v>
      </c>
      <c r="L729" s="31">
        <f t="shared" si="1"/>
        <v>5</v>
      </c>
      <c r="M729" s="31">
        <f t="shared" si="2"/>
        <v>5</v>
      </c>
      <c r="N729" s="32">
        <f t="shared" si="3"/>
        <v>234.6</v>
      </c>
      <c r="O729" s="32">
        <f t="shared" si="4"/>
        <v>234.6</v>
      </c>
      <c r="P729" s="32">
        <f t="shared" si="5"/>
        <v>234.6</v>
      </c>
      <c r="Q729" s="22">
        <v>0.0</v>
      </c>
      <c r="R729" s="32">
        <f t="shared" si="6"/>
        <v>46.92</v>
      </c>
      <c r="S729" s="33" t="s">
        <v>29</v>
      </c>
      <c r="T729" s="33" t="s">
        <v>30</v>
      </c>
      <c r="U729" s="38" t="s">
        <v>52</v>
      </c>
      <c r="V729" s="35"/>
      <c r="W729" s="7"/>
      <c r="X729" s="7"/>
      <c r="Y729" s="7"/>
      <c r="Z729" s="7"/>
      <c r="AA729" s="7"/>
    </row>
    <row r="730" ht="18.75" customHeight="1">
      <c r="A730" s="8" t="s">
        <v>975</v>
      </c>
      <c r="B730" s="61" t="s">
        <v>976</v>
      </c>
      <c r="C730" s="61" t="s">
        <v>534</v>
      </c>
      <c r="D730" s="62">
        <v>377.0</v>
      </c>
      <c r="E730" s="8" t="s">
        <v>413</v>
      </c>
      <c r="F730" s="11" t="s">
        <v>26</v>
      </c>
      <c r="G730" s="12" t="s">
        <v>27</v>
      </c>
      <c r="H730" s="13">
        <v>1897.0</v>
      </c>
      <c r="I730" s="14">
        <v>10.0</v>
      </c>
      <c r="J730" s="15" t="s">
        <v>38</v>
      </c>
      <c r="K730" s="16">
        <v>0.5</v>
      </c>
      <c r="L730" s="17">
        <f t="shared" si="1"/>
        <v>5</v>
      </c>
      <c r="M730" s="17">
        <f t="shared" si="2"/>
        <v>5</v>
      </c>
      <c r="N730" s="18">
        <f t="shared" si="3"/>
        <v>948.5</v>
      </c>
      <c r="O730" s="18">
        <f t="shared" si="4"/>
        <v>948.5</v>
      </c>
      <c r="P730" s="18">
        <f t="shared" si="5"/>
        <v>948.5</v>
      </c>
      <c r="Q730" s="8">
        <v>0.0</v>
      </c>
      <c r="R730" s="18">
        <f t="shared" si="6"/>
        <v>189.7</v>
      </c>
      <c r="S730" s="19" t="s">
        <v>29</v>
      </c>
      <c r="T730" s="19" t="s">
        <v>30</v>
      </c>
      <c r="U730" s="20" t="s">
        <v>43</v>
      </c>
      <c r="V730" s="37"/>
      <c r="W730" s="7"/>
      <c r="X730" s="7"/>
      <c r="Y730" s="7"/>
      <c r="Z730" s="7"/>
      <c r="AA730" s="7"/>
    </row>
    <row r="731" ht="18.75" customHeight="1">
      <c r="A731" s="22" t="s">
        <v>975</v>
      </c>
      <c r="B731" s="63" t="s">
        <v>976</v>
      </c>
      <c r="C731" s="63" t="s">
        <v>534</v>
      </c>
      <c r="D731" s="64">
        <v>378.0</v>
      </c>
      <c r="E731" s="22" t="s">
        <v>412</v>
      </c>
      <c r="F731" s="25" t="s">
        <v>26</v>
      </c>
      <c r="G731" s="26" t="s">
        <v>27</v>
      </c>
      <c r="H731" s="27">
        <v>1351.57</v>
      </c>
      <c r="I731" s="28">
        <v>10.0</v>
      </c>
      <c r="J731" s="29" t="s">
        <v>38</v>
      </c>
      <c r="K731" s="30">
        <v>0.5</v>
      </c>
      <c r="L731" s="31">
        <f t="shared" si="1"/>
        <v>5</v>
      </c>
      <c r="M731" s="31">
        <f t="shared" si="2"/>
        <v>5</v>
      </c>
      <c r="N731" s="32">
        <f t="shared" si="3"/>
        <v>675.785</v>
      </c>
      <c r="O731" s="32">
        <f t="shared" si="4"/>
        <v>675.785</v>
      </c>
      <c r="P731" s="32">
        <f t="shared" si="5"/>
        <v>675.785</v>
      </c>
      <c r="Q731" s="22">
        <v>0.0</v>
      </c>
      <c r="R731" s="32">
        <f t="shared" si="6"/>
        <v>135.157</v>
      </c>
      <c r="S731" s="33" t="s">
        <v>29</v>
      </c>
      <c r="T731" s="33" t="s">
        <v>30</v>
      </c>
      <c r="U731" s="34" t="s">
        <v>41</v>
      </c>
      <c r="V731" s="35"/>
      <c r="W731" s="7"/>
      <c r="X731" s="7"/>
      <c r="Y731" s="7"/>
      <c r="Z731" s="7"/>
      <c r="AA731" s="7"/>
    </row>
    <row r="732" ht="18.75" customHeight="1">
      <c r="A732" s="8" t="s">
        <v>975</v>
      </c>
      <c r="B732" s="61" t="s">
        <v>976</v>
      </c>
      <c r="C732" s="61" t="s">
        <v>145</v>
      </c>
      <c r="D732" s="62">
        <v>379.0</v>
      </c>
      <c r="E732" s="8" t="s">
        <v>991</v>
      </c>
      <c r="F732" s="11" t="s">
        <v>26</v>
      </c>
      <c r="G732" s="12" t="s">
        <v>27</v>
      </c>
      <c r="H732" s="13">
        <v>22652.48</v>
      </c>
      <c r="I732" s="14">
        <v>10.0</v>
      </c>
      <c r="J732" s="15" t="s">
        <v>38</v>
      </c>
      <c r="K732" s="16">
        <v>0.5</v>
      </c>
      <c r="L732" s="17">
        <f t="shared" si="1"/>
        <v>5</v>
      </c>
      <c r="M732" s="17">
        <f t="shared" si="2"/>
        <v>5</v>
      </c>
      <c r="N732" s="18">
        <f t="shared" si="3"/>
        <v>11326.24</v>
      </c>
      <c r="O732" s="18">
        <f t="shared" si="4"/>
        <v>11326.24</v>
      </c>
      <c r="P732" s="18">
        <f t="shared" si="5"/>
        <v>11326.24</v>
      </c>
      <c r="Q732" s="8">
        <v>0.0</v>
      </c>
      <c r="R732" s="18">
        <f t="shared" si="6"/>
        <v>2265.248</v>
      </c>
      <c r="S732" s="19" t="s">
        <v>29</v>
      </c>
      <c r="T732" s="19" t="s">
        <v>30</v>
      </c>
      <c r="U732" s="20" t="s">
        <v>50</v>
      </c>
      <c r="V732" s="37"/>
      <c r="W732" s="7"/>
      <c r="X732" s="7"/>
      <c r="Y732" s="7"/>
      <c r="Z732" s="7"/>
      <c r="AA732" s="7"/>
    </row>
    <row r="733" ht="18.75" customHeight="1">
      <c r="A733" s="22" t="s">
        <v>975</v>
      </c>
      <c r="B733" s="63" t="s">
        <v>976</v>
      </c>
      <c r="C733" s="63" t="s">
        <v>534</v>
      </c>
      <c r="D733" s="64">
        <v>380.0</v>
      </c>
      <c r="E733" s="22" t="s">
        <v>992</v>
      </c>
      <c r="F733" s="25" t="s">
        <v>26</v>
      </c>
      <c r="G733" s="26" t="s">
        <v>27</v>
      </c>
      <c r="H733" s="27">
        <v>2338.0</v>
      </c>
      <c r="I733" s="28">
        <v>10.0</v>
      </c>
      <c r="J733" s="29" t="s">
        <v>38</v>
      </c>
      <c r="K733" s="30">
        <v>0.5</v>
      </c>
      <c r="L733" s="31">
        <f t="shared" si="1"/>
        <v>5</v>
      </c>
      <c r="M733" s="31">
        <f t="shared" si="2"/>
        <v>5</v>
      </c>
      <c r="N733" s="32">
        <f t="shared" si="3"/>
        <v>1169</v>
      </c>
      <c r="O733" s="32">
        <f t="shared" si="4"/>
        <v>1169</v>
      </c>
      <c r="P733" s="32">
        <f t="shared" si="5"/>
        <v>1169</v>
      </c>
      <c r="Q733" s="22">
        <v>0.0</v>
      </c>
      <c r="R733" s="32">
        <f t="shared" si="6"/>
        <v>233.8</v>
      </c>
      <c r="S733" s="33" t="s">
        <v>29</v>
      </c>
      <c r="T733" s="33" t="s">
        <v>30</v>
      </c>
      <c r="U733" s="38" t="s">
        <v>45</v>
      </c>
      <c r="V733" s="35"/>
      <c r="W733" s="7"/>
      <c r="X733" s="7"/>
      <c r="Y733" s="7"/>
      <c r="Z733" s="7"/>
      <c r="AA733" s="7"/>
    </row>
    <row r="734" ht="18.75" customHeight="1">
      <c r="A734" s="8" t="s">
        <v>975</v>
      </c>
      <c r="B734" s="61" t="s">
        <v>976</v>
      </c>
      <c r="C734" s="61" t="s">
        <v>534</v>
      </c>
      <c r="D734" s="62">
        <v>381.0</v>
      </c>
      <c r="E734" s="8" t="s">
        <v>990</v>
      </c>
      <c r="F734" s="11" t="s">
        <v>37</v>
      </c>
      <c r="G734" s="12" t="s">
        <v>27</v>
      </c>
      <c r="H734" s="13">
        <v>469.2</v>
      </c>
      <c r="I734" s="14">
        <v>10.0</v>
      </c>
      <c r="J734" s="15" t="s">
        <v>38</v>
      </c>
      <c r="K734" s="16">
        <v>0.5</v>
      </c>
      <c r="L734" s="17">
        <f t="shared" si="1"/>
        <v>5</v>
      </c>
      <c r="M734" s="17">
        <f t="shared" si="2"/>
        <v>5</v>
      </c>
      <c r="N734" s="18">
        <f t="shared" si="3"/>
        <v>234.6</v>
      </c>
      <c r="O734" s="18">
        <f t="shared" si="4"/>
        <v>234.6</v>
      </c>
      <c r="P734" s="18">
        <f t="shared" si="5"/>
        <v>234.6</v>
      </c>
      <c r="Q734" s="8">
        <v>0.0</v>
      </c>
      <c r="R734" s="18">
        <f t="shared" si="6"/>
        <v>46.92</v>
      </c>
      <c r="S734" s="19" t="s">
        <v>29</v>
      </c>
      <c r="T734" s="19" t="s">
        <v>30</v>
      </c>
      <c r="U734" s="36" t="s">
        <v>52</v>
      </c>
      <c r="V734" s="37"/>
      <c r="W734" s="7"/>
      <c r="X734" s="7"/>
      <c r="Y734" s="7"/>
      <c r="Z734" s="7"/>
      <c r="AA734" s="7"/>
    </row>
    <row r="735" ht="18.75" customHeight="1">
      <c r="A735" s="22" t="s">
        <v>975</v>
      </c>
      <c r="B735" s="63" t="s">
        <v>976</v>
      </c>
      <c r="C735" s="63" t="s">
        <v>534</v>
      </c>
      <c r="D735" s="64">
        <v>383.0</v>
      </c>
      <c r="E735" s="22" t="s">
        <v>993</v>
      </c>
      <c r="F735" s="25" t="s">
        <v>37</v>
      </c>
      <c r="G735" s="26" t="s">
        <v>27</v>
      </c>
      <c r="H735" s="27">
        <v>1614.0</v>
      </c>
      <c r="I735" s="28">
        <v>10.0</v>
      </c>
      <c r="J735" s="29" t="s">
        <v>38</v>
      </c>
      <c r="K735" s="30">
        <v>0.5</v>
      </c>
      <c r="L735" s="31">
        <f t="shared" si="1"/>
        <v>5</v>
      </c>
      <c r="M735" s="31">
        <f t="shared" si="2"/>
        <v>5</v>
      </c>
      <c r="N735" s="32">
        <f t="shared" si="3"/>
        <v>807</v>
      </c>
      <c r="O735" s="32">
        <f t="shared" si="4"/>
        <v>807</v>
      </c>
      <c r="P735" s="32">
        <f t="shared" si="5"/>
        <v>807</v>
      </c>
      <c r="Q735" s="22">
        <v>0.0</v>
      </c>
      <c r="R735" s="32">
        <f t="shared" si="6"/>
        <v>161.4</v>
      </c>
      <c r="S735" s="33" t="s">
        <v>29</v>
      </c>
      <c r="T735" s="33" t="s">
        <v>30</v>
      </c>
      <c r="U735" s="34" t="s">
        <v>411</v>
      </c>
      <c r="V735" s="35"/>
      <c r="W735" s="7"/>
      <c r="X735" s="7"/>
      <c r="Y735" s="7"/>
      <c r="Z735" s="7"/>
      <c r="AA735" s="7"/>
    </row>
    <row r="736" ht="18.75" customHeight="1">
      <c r="A736" s="8" t="s">
        <v>975</v>
      </c>
      <c r="B736" s="61" t="s">
        <v>976</v>
      </c>
      <c r="C736" s="61" t="s">
        <v>534</v>
      </c>
      <c r="D736" s="62">
        <v>384.0</v>
      </c>
      <c r="E736" s="8" t="s">
        <v>994</v>
      </c>
      <c r="F736" s="11" t="s">
        <v>26</v>
      </c>
      <c r="G736" s="12" t="s">
        <v>27</v>
      </c>
      <c r="H736" s="13">
        <v>1741.5</v>
      </c>
      <c r="I736" s="14">
        <v>5.0</v>
      </c>
      <c r="J736" s="48" t="s">
        <v>63</v>
      </c>
      <c r="K736" s="16">
        <v>0.700000000000004</v>
      </c>
      <c r="L736" s="17">
        <f t="shared" si="1"/>
        <v>3.5</v>
      </c>
      <c r="M736" s="17">
        <f t="shared" si="2"/>
        <v>1.5</v>
      </c>
      <c r="N736" s="18">
        <f t="shared" si="3"/>
        <v>1219.05</v>
      </c>
      <c r="O736" s="18">
        <f t="shared" si="4"/>
        <v>522.45</v>
      </c>
      <c r="P736" s="18">
        <f t="shared" si="5"/>
        <v>522.45</v>
      </c>
      <c r="Q736" s="8">
        <v>0.0</v>
      </c>
      <c r="R736" s="18">
        <f t="shared" si="6"/>
        <v>348.3</v>
      </c>
      <c r="S736" s="19" t="s">
        <v>29</v>
      </c>
      <c r="T736" s="19" t="s">
        <v>30</v>
      </c>
      <c r="U736" s="20" t="s">
        <v>452</v>
      </c>
      <c r="V736" s="37"/>
      <c r="W736" s="7"/>
      <c r="X736" s="7"/>
      <c r="Y736" s="7"/>
      <c r="Z736" s="7"/>
      <c r="AA736" s="7"/>
    </row>
    <row r="737" ht="18.75" customHeight="1">
      <c r="A737" s="22" t="s">
        <v>975</v>
      </c>
      <c r="B737" s="63" t="s">
        <v>976</v>
      </c>
      <c r="C737" s="63" t="s">
        <v>534</v>
      </c>
      <c r="D737" s="64">
        <v>385.0</v>
      </c>
      <c r="E737" s="22" t="s">
        <v>995</v>
      </c>
      <c r="F737" s="25" t="s">
        <v>26</v>
      </c>
      <c r="G737" s="26" t="s">
        <v>27</v>
      </c>
      <c r="H737" s="27">
        <v>4899.9</v>
      </c>
      <c r="I737" s="28">
        <v>5.0</v>
      </c>
      <c r="J737" s="45" t="s">
        <v>63</v>
      </c>
      <c r="K737" s="30">
        <v>0.700000000000004</v>
      </c>
      <c r="L737" s="31">
        <f t="shared" si="1"/>
        <v>3.5</v>
      </c>
      <c r="M737" s="31">
        <f t="shared" si="2"/>
        <v>1.5</v>
      </c>
      <c r="N737" s="32">
        <f t="shared" si="3"/>
        <v>3429.93</v>
      </c>
      <c r="O737" s="32">
        <f t="shared" si="4"/>
        <v>1469.97</v>
      </c>
      <c r="P737" s="32">
        <f t="shared" si="5"/>
        <v>1469.97</v>
      </c>
      <c r="Q737" s="22">
        <v>0.0</v>
      </c>
      <c r="R737" s="32">
        <f t="shared" si="6"/>
        <v>979.98</v>
      </c>
      <c r="S737" s="33" t="s">
        <v>29</v>
      </c>
      <c r="T737" s="33" t="s">
        <v>30</v>
      </c>
      <c r="U737" s="34" t="s">
        <v>67</v>
      </c>
      <c r="V737" s="35"/>
      <c r="W737" s="7"/>
      <c r="X737" s="7"/>
      <c r="Y737" s="7"/>
      <c r="Z737" s="7"/>
      <c r="AA737" s="7"/>
    </row>
    <row r="738" ht="18.75" customHeight="1">
      <c r="A738" s="8" t="s">
        <v>975</v>
      </c>
      <c r="B738" s="61" t="s">
        <v>976</v>
      </c>
      <c r="C738" s="61" t="s">
        <v>534</v>
      </c>
      <c r="D738" s="62">
        <v>387.0</v>
      </c>
      <c r="E738" s="8" t="s">
        <v>996</v>
      </c>
      <c r="F738" s="11" t="s">
        <v>26</v>
      </c>
      <c r="G738" s="12" t="s">
        <v>27</v>
      </c>
      <c r="H738" s="13">
        <v>279.0</v>
      </c>
      <c r="I738" s="14">
        <v>5.0</v>
      </c>
      <c r="J738" s="15" t="s">
        <v>38</v>
      </c>
      <c r="K738" s="16">
        <v>0.5</v>
      </c>
      <c r="L738" s="17">
        <f t="shared" si="1"/>
        <v>2.5</v>
      </c>
      <c r="M738" s="17">
        <f t="shared" si="2"/>
        <v>2.5</v>
      </c>
      <c r="N738" s="18">
        <f t="shared" si="3"/>
        <v>139.5</v>
      </c>
      <c r="O738" s="18">
        <f t="shared" si="4"/>
        <v>139.5</v>
      </c>
      <c r="P738" s="18">
        <f t="shared" si="5"/>
        <v>139.5</v>
      </c>
      <c r="Q738" s="8">
        <v>0.0</v>
      </c>
      <c r="R738" s="18">
        <f t="shared" si="6"/>
        <v>55.8</v>
      </c>
      <c r="S738" s="19" t="s">
        <v>29</v>
      </c>
      <c r="T738" s="19" t="s">
        <v>30</v>
      </c>
      <c r="U738" s="20" t="s">
        <v>55</v>
      </c>
      <c r="V738" s="37"/>
      <c r="W738" s="7"/>
      <c r="X738" s="7"/>
      <c r="Y738" s="7"/>
      <c r="Z738" s="7"/>
      <c r="AA738" s="7"/>
    </row>
    <row r="739" ht="18.75" customHeight="1">
      <c r="A739" s="22" t="s">
        <v>975</v>
      </c>
      <c r="B739" s="63" t="s">
        <v>976</v>
      </c>
      <c r="C739" s="63" t="s">
        <v>534</v>
      </c>
      <c r="D739" s="64">
        <v>388.0</v>
      </c>
      <c r="E739" s="22" t="s">
        <v>997</v>
      </c>
      <c r="F739" s="25" t="s">
        <v>26</v>
      </c>
      <c r="G739" s="26" t="s">
        <v>27</v>
      </c>
      <c r="H739" s="27">
        <v>15638.9</v>
      </c>
      <c r="I739" s="28">
        <v>10.0</v>
      </c>
      <c r="J739" s="29" t="s">
        <v>28</v>
      </c>
      <c r="K739" s="30">
        <v>0.4</v>
      </c>
      <c r="L739" s="31">
        <f t="shared" si="1"/>
        <v>4</v>
      </c>
      <c r="M739" s="31">
        <f t="shared" si="2"/>
        <v>6</v>
      </c>
      <c r="N739" s="32">
        <f t="shared" si="3"/>
        <v>6255.56</v>
      </c>
      <c r="O739" s="32">
        <f t="shared" si="4"/>
        <v>9383.34</v>
      </c>
      <c r="P739" s="32">
        <f t="shared" si="5"/>
        <v>9383.34</v>
      </c>
      <c r="Q739" s="22">
        <v>0.0</v>
      </c>
      <c r="R739" s="32">
        <f t="shared" si="6"/>
        <v>1563.89</v>
      </c>
      <c r="S739" s="33" t="s">
        <v>29</v>
      </c>
      <c r="T739" s="33" t="s">
        <v>30</v>
      </c>
      <c r="U739" s="34" t="s">
        <v>35</v>
      </c>
      <c r="V739" s="35"/>
      <c r="W739" s="7"/>
      <c r="X739" s="7"/>
      <c r="Y739" s="7"/>
      <c r="Z739" s="7"/>
      <c r="AA739" s="7"/>
    </row>
    <row r="740" ht="18.75" customHeight="1">
      <c r="A740" s="8" t="s">
        <v>975</v>
      </c>
      <c r="B740" s="61" t="s">
        <v>976</v>
      </c>
      <c r="C740" s="61" t="s">
        <v>534</v>
      </c>
      <c r="D740" s="62">
        <v>401.0</v>
      </c>
      <c r="E740" s="8" t="s">
        <v>998</v>
      </c>
      <c r="F740" s="11" t="s">
        <v>26</v>
      </c>
      <c r="G740" s="12" t="s">
        <v>27</v>
      </c>
      <c r="H740" s="13">
        <v>6583.2</v>
      </c>
      <c r="I740" s="14">
        <v>10.0</v>
      </c>
      <c r="J740" s="15" t="s">
        <v>154</v>
      </c>
      <c r="K740" s="16">
        <v>0.8</v>
      </c>
      <c r="L740" s="17">
        <f t="shared" si="1"/>
        <v>8</v>
      </c>
      <c r="M740" s="17">
        <f t="shared" si="2"/>
        <v>2</v>
      </c>
      <c r="N740" s="18">
        <f t="shared" si="3"/>
        <v>5266.56</v>
      </c>
      <c r="O740" s="18">
        <f t="shared" si="4"/>
        <v>1316.64</v>
      </c>
      <c r="P740" s="18">
        <f t="shared" si="5"/>
        <v>1316.64</v>
      </c>
      <c r="Q740" s="8">
        <v>0.0</v>
      </c>
      <c r="R740" s="18">
        <f t="shared" si="6"/>
        <v>658.32</v>
      </c>
      <c r="S740" s="19" t="s">
        <v>29</v>
      </c>
      <c r="T740" s="19" t="s">
        <v>30</v>
      </c>
      <c r="U740" s="20" t="s">
        <v>312</v>
      </c>
      <c r="V740" s="37"/>
      <c r="W740" s="7"/>
      <c r="X740" s="7"/>
      <c r="Y740" s="7"/>
      <c r="Z740" s="7"/>
      <c r="AA740" s="7"/>
    </row>
    <row r="741" ht="18.75" customHeight="1">
      <c r="A741" s="22" t="s">
        <v>975</v>
      </c>
      <c r="B741" s="63" t="s">
        <v>976</v>
      </c>
      <c r="C741" s="63" t="s">
        <v>534</v>
      </c>
      <c r="D741" s="64">
        <v>402.0</v>
      </c>
      <c r="E741" s="22" t="s">
        <v>999</v>
      </c>
      <c r="F741" s="25" t="s">
        <v>37</v>
      </c>
      <c r="G741" s="26" t="s">
        <v>27</v>
      </c>
      <c r="H741" s="27">
        <v>209.51</v>
      </c>
      <c r="I741" s="28">
        <v>10.0</v>
      </c>
      <c r="J741" s="29" t="s">
        <v>38</v>
      </c>
      <c r="K741" s="30">
        <v>0.5</v>
      </c>
      <c r="L741" s="31">
        <f t="shared" si="1"/>
        <v>5</v>
      </c>
      <c r="M741" s="31">
        <f t="shared" si="2"/>
        <v>5</v>
      </c>
      <c r="N741" s="32">
        <f t="shared" si="3"/>
        <v>104.755</v>
      </c>
      <c r="O741" s="32">
        <f t="shared" si="4"/>
        <v>104.755</v>
      </c>
      <c r="P741" s="32">
        <f t="shared" si="5"/>
        <v>104.755</v>
      </c>
      <c r="Q741" s="22">
        <v>0.0</v>
      </c>
      <c r="R741" s="32">
        <f t="shared" si="6"/>
        <v>20.951</v>
      </c>
      <c r="S741" s="33" t="s">
        <v>29</v>
      </c>
      <c r="T741" s="33" t="s">
        <v>30</v>
      </c>
      <c r="U741" s="38" t="s">
        <v>905</v>
      </c>
      <c r="V741" s="35"/>
      <c r="W741" s="7"/>
      <c r="X741" s="7"/>
      <c r="Y741" s="7"/>
      <c r="Z741" s="7"/>
      <c r="AA741" s="7"/>
    </row>
    <row r="742" ht="18.75" customHeight="1">
      <c r="A742" s="8" t="s">
        <v>975</v>
      </c>
      <c r="B742" s="61" t="s">
        <v>976</v>
      </c>
      <c r="C742" s="61" t="s">
        <v>985</v>
      </c>
      <c r="D742" s="62">
        <v>403.0</v>
      </c>
      <c r="E742" s="8" t="s">
        <v>1000</v>
      </c>
      <c r="F742" s="11" t="s">
        <v>26</v>
      </c>
      <c r="G742" s="12" t="s">
        <v>27</v>
      </c>
      <c r="H742" s="13">
        <v>1749.0</v>
      </c>
      <c r="I742" s="14">
        <v>10.0</v>
      </c>
      <c r="J742" s="15" t="s">
        <v>38</v>
      </c>
      <c r="K742" s="16">
        <v>0.5</v>
      </c>
      <c r="L742" s="17">
        <f t="shared" si="1"/>
        <v>5</v>
      </c>
      <c r="M742" s="17">
        <f t="shared" si="2"/>
        <v>5</v>
      </c>
      <c r="N742" s="18">
        <f t="shared" si="3"/>
        <v>874.5</v>
      </c>
      <c r="O742" s="18">
        <f t="shared" si="4"/>
        <v>874.5</v>
      </c>
      <c r="P742" s="18">
        <f t="shared" si="5"/>
        <v>874.5</v>
      </c>
      <c r="Q742" s="8">
        <v>0.0</v>
      </c>
      <c r="R742" s="18">
        <f t="shared" si="6"/>
        <v>174.9</v>
      </c>
      <c r="S742" s="19" t="s">
        <v>29</v>
      </c>
      <c r="T742" s="19" t="s">
        <v>30</v>
      </c>
      <c r="U742" s="20" t="s">
        <v>255</v>
      </c>
      <c r="V742" s="37"/>
      <c r="W742" s="7"/>
      <c r="X742" s="7"/>
      <c r="Y742" s="7"/>
      <c r="Z742" s="7"/>
      <c r="AA742" s="7"/>
    </row>
    <row r="743" ht="18.75" customHeight="1">
      <c r="A743" s="22" t="s">
        <v>975</v>
      </c>
      <c r="B743" s="63" t="s">
        <v>976</v>
      </c>
      <c r="C743" s="63" t="s">
        <v>985</v>
      </c>
      <c r="D743" s="64">
        <v>404.0</v>
      </c>
      <c r="E743" s="22" t="s">
        <v>1001</v>
      </c>
      <c r="F743" s="25" t="s">
        <v>128</v>
      </c>
      <c r="G743" s="26" t="s">
        <v>27</v>
      </c>
      <c r="H743" s="27">
        <v>1669.0</v>
      </c>
      <c r="I743" s="28">
        <v>5.0</v>
      </c>
      <c r="J743" s="29" t="s">
        <v>38</v>
      </c>
      <c r="K743" s="30">
        <v>0.5</v>
      </c>
      <c r="L743" s="31">
        <f t="shared" si="1"/>
        <v>2.5</v>
      </c>
      <c r="M743" s="31">
        <f t="shared" si="2"/>
        <v>2.5</v>
      </c>
      <c r="N743" s="32">
        <f t="shared" si="3"/>
        <v>834.5</v>
      </c>
      <c r="O743" s="32">
        <f t="shared" si="4"/>
        <v>834.5</v>
      </c>
      <c r="P743" s="32">
        <f t="shared" si="5"/>
        <v>834.5</v>
      </c>
      <c r="Q743" s="22">
        <v>0.0</v>
      </c>
      <c r="R743" s="32">
        <f t="shared" si="6"/>
        <v>333.8</v>
      </c>
      <c r="S743" s="33" t="s">
        <v>29</v>
      </c>
      <c r="T743" s="33" t="s">
        <v>30</v>
      </c>
      <c r="U743" s="34" t="s">
        <v>129</v>
      </c>
      <c r="V743" s="35"/>
      <c r="W743" s="7"/>
      <c r="X743" s="7"/>
      <c r="Y743" s="7"/>
      <c r="Z743" s="7"/>
      <c r="AA743" s="7"/>
    </row>
    <row r="744" ht="18.75" customHeight="1">
      <c r="A744" s="8" t="s">
        <v>975</v>
      </c>
      <c r="B744" s="61" t="s">
        <v>976</v>
      </c>
      <c r="C744" s="61" t="s">
        <v>985</v>
      </c>
      <c r="D744" s="62">
        <v>405.0</v>
      </c>
      <c r="E744" s="8" t="s">
        <v>1002</v>
      </c>
      <c r="F744" s="11" t="s">
        <v>26</v>
      </c>
      <c r="G744" s="12" t="s">
        <v>27</v>
      </c>
      <c r="H744" s="13">
        <v>785.82</v>
      </c>
      <c r="I744" s="14">
        <v>10.0</v>
      </c>
      <c r="J744" s="15" t="s">
        <v>38</v>
      </c>
      <c r="K744" s="16">
        <v>0.5</v>
      </c>
      <c r="L744" s="17">
        <f t="shared" si="1"/>
        <v>5</v>
      </c>
      <c r="M744" s="17">
        <f t="shared" si="2"/>
        <v>5</v>
      </c>
      <c r="N744" s="18">
        <f t="shared" si="3"/>
        <v>392.91</v>
      </c>
      <c r="O744" s="18">
        <f t="shared" si="4"/>
        <v>392.91</v>
      </c>
      <c r="P744" s="18">
        <f t="shared" si="5"/>
        <v>392.91</v>
      </c>
      <c r="Q744" s="8">
        <v>0.0</v>
      </c>
      <c r="R744" s="18">
        <f t="shared" si="6"/>
        <v>78.582</v>
      </c>
      <c r="S744" s="19" t="s">
        <v>29</v>
      </c>
      <c r="T744" s="19" t="s">
        <v>30</v>
      </c>
      <c r="U744" s="20" t="s">
        <v>220</v>
      </c>
      <c r="V744" s="37"/>
      <c r="W744" s="7"/>
      <c r="X744" s="7"/>
      <c r="Y744" s="7"/>
      <c r="Z744" s="7"/>
      <c r="AA744" s="7"/>
    </row>
    <row r="745" ht="18.75" customHeight="1">
      <c r="A745" s="22" t="s">
        <v>975</v>
      </c>
      <c r="B745" s="63" t="s">
        <v>976</v>
      </c>
      <c r="C745" s="63" t="s">
        <v>985</v>
      </c>
      <c r="D745" s="64">
        <v>406.0</v>
      </c>
      <c r="E745" s="22" t="s">
        <v>1003</v>
      </c>
      <c r="F745" s="25" t="s">
        <v>26</v>
      </c>
      <c r="G745" s="26" t="s">
        <v>27</v>
      </c>
      <c r="H745" s="27">
        <v>1178.73</v>
      </c>
      <c r="I745" s="28">
        <v>10.0</v>
      </c>
      <c r="J745" s="29" t="s">
        <v>28</v>
      </c>
      <c r="K745" s="30">
        <v>0.4</v>
      </c>
      <c r="L745" s="31">
        <f t="shared" si="1"/>
        <v>4</v>
      </c>
      <c r="M745" s="31">
        <f t="shared" si="2"/>
        <v>6</v>
      </c>
      <c r="N745" s="32">
        <f t="shared" si="3"/>
        <v>471.492</v>
      </c>
      <c r="O745" s="32">
        <f t="shared" si="4"/>
        <v>707.238</v>
      </c>
      <c r="P745" s="32">
        <f t="shared" si="5"/>
        <v>707.238</v>
      </c>
      <c r="Q745" s="22">
        <v>0.0</v>
      </c>
      <c r="R745" s="32">
        <f t="shared" si="6"/>
        <v>117.873</v>
      </c>
      <c r="S745" s="33" t="s">
        <v>29</v>
      </c>
      <c r="T745" s="33" t="s">
        <v>30</v>
      </c>
      <c r="U745" s="34" t="s">
        <v>220</v>
      </c>
      <c r="V745" s="35"/>
      <c r="W745" s="7"/>
      <c r="X745" s="7"/>
      <c r="Y745" s="7"/>
      <c r="Z745" s="7"/>
      <c r="AA745" s="7"/>
    </row>
    <row r="746" ht="18.75" customHeight="1">
      <c r="A746" s="8" t="s">
        <v>975</v>
      </c>
      <c r="B746" s="61" t="s">
        <v>976</v>
      </c>
      <c r="C746" s="61" t="s">
        <v>985</v>
      </c>
      <c r="D746" s="62">
        <v>408.0</v>
      </c>
      <c r="E746" s="8" t="s">
        <v>1004</v>
      </c>
      <c r="F746" s="11" t="s">
        <v>37</v>
      </c>
      <c r="G746" s="12" t="s">
        <v>27</v>
      </c>
      <c r="H746" s="13">
        <v>255.7</v>
      </c>
      <c r="I746" s="14">
        <v>15.0</v>
      </c>
      <c r="J746" s="15" t="s">
        <v>54</v>
      </c>
      <c r="K746" s="16">
        <v>0.3</v>
      </c>
      <c r="L746" s="17">
        <f t="shared" si="1"/>
        <v>4.5</v>
      </c>
      <c r="M746" s="17">
        <f t="shared" si="2"/>
        <v>10.5</v>
      </c>
      <c r="N746" s="18">
        <f t="shared" si="3"/>
        <v>76.71</v>
      </c>
      <c r="O746" s="18">
        <f t="shared" si="4"/>
        <v>178.99</v>
      </c>
      <c r="P746" s="18">
        <f t="shared" si="5"/>
        <v>178.99</v>
      </c>
      <c r="Q746" s="8">
        <v>0.0</v>
      </c>
      <c r="R746" s="18">
        <f t="shared" si="6"/>
        <v>17.04666667</v>
      </c>
      <c r="S746" s="19" t="s">
        <v>29</v>
      </c>
      <c r="T746" s="19" t="s">
        <v>30</v>
      </c>
      <c r="U746" s="20" t="s">
        <v>300</v>
      </c>
      <c r="V746" s="37"/>
      <c r="W746" s="7"/>
      <c r="X746" s="7"/>
      <c r="Y746" s="7"/>
      <c r="Z746" s="7"/>
      <c r="AA746" s="7"/>
    </row>
    <row r="747" ht="18.75" customHeight="1">
      <c r="A747" s="22" t="s">
        <v>975</v>
      </c>
      <c r="B747" s="63" t="s">
        <v>976</v>
      </c>
      <c r="C747" s="63" t="s">
        <v>985</v>
      </c>
      <c r="D747" s="64">
        <v>409.0</v>
      </c>
      <c r="E747" s="22" t="s">
        <v>1005</v>
      </c>
      <c r="F747" s="25" t="s">
        <v>37</v>
      </c>
      <c r="G747" s="26" t="s">
        <v>27</v>
      </c>
      <c r="H747" s="27">
        <v>255.7</v>
      </c>
      <c r="I747" s="28">
        <v>10.0</v>
      </c>
      <c r="J747" s="29" t="s">
        <v>28</v>
      </c>
      <c r="K747" s="30">
        <v>0.4</v>
      </c>
      <c r="L747" s="31">
        <f t="shared" si="1"/>
        <v>4</v>
      </c>
      <c r="M747" s="31">
        <f t="shared" si="2"/>
        <v>6</v>
      </c>
      <c r="N747" s="32">
        <f t="shared" si="3"/>
        <v>102.28</v>
      </c>
      <c r="O747" s="32">
        <f t="shared" si="4"/>
        <v>153.42</v>
      </c>
      <c r="P747" s="32">
        <f t="shared" si="5"/>
        <v>153.42</v>
      </c>
      <c r="Q747" s="22">
        <v>0.0</v>
      </c>
      <c r="R747" s="32">
        <f t="shared" si="6"/>
        <v>25.57</v>
      </c>
      <c r="S747" s="33" t="s">
        <v>29</v>
      </c>
      <c r="T747" s="33" t="s">
        <v>30</v>
      </c>
      <c r="U747" s="34" t="s">
        <v>300</v>
      </c>
      <c r="V747" s="35"/>
      <c r="W747" s="7"/>
      <c r="X747" s="7"/>
      <c r="Y747" s="7"/>
      <c r="Z747" s="7"/>
      <c r="AA747" s="7"/>
    </row>
    <row r="748" ht="18.75" customHeight="1">
      <c r="A748" s="8" t="s">
        <v>975</v>
      </c>
      <c r="B748" s="61" t="s">
        <v>976</v>
      </c>
      <c r="C748" s="8" t="s">
        <v>588</v>
      </c>
      <c r="D748" s="50">
        <v>489.0</v>
      </c>
      <c r="E748" s="8" t="s">
        <v>1006</v>
      </c>
      <c r="F748" s="11" t="s">
        <v>26</v>
      </c>
      <c r="G748" s="12" t="s">
        <v>27</v>
      </c>
      <c r="H748" s="13">
        <v>243.0</v>
      </c>
      <c r="I748" s="14">
        <v>5.0</v>
      </c>
      <c r="J748" s="15" t="s">
        <v>38</v>
      </c>
      <c r="K748" s="16">
        <v>0.5</v>
      </c>
      <c r="L748" s="17">
        <f t="shared" si="1"/>
        <v>2.5</v>
      </c>
      <c r="M748" s="17">
        <f t="shared" si="2"/>
        <v>2.5</v>
      </c>
      <c r="N748" s="18">
        <f t="shared" si="3"/>
        <v>121.5</v>
      </c>
      <c r="O748" s="18">
        <f t="shared" si="4"/>
        <v>121.5</v>
      </c>
      <c r="P748" s="18">
        <f t="shared" si="5"/>
        <v>121.5</v>
      </c>
      <c r="Q748" s="8">
        <v>0.0</v>
      </c>
      <c r="R748" s="18">
        <f t="shared" si="6"/>
        <v>48.6</v>
      </c>
      <c r="S748" s="19" t="s">
        <v>29</v>
      </c>
      <c r="T748" s="19" t="s">
        <v>30</v>
      </c>
      <c r="U748" s="36" t="s">
        <v>1007</v>
      </c>
      <c r="V748" s="37"/>
      <c r="W748" s="7"/>
      <c r="X748" s="7"/>
      <c r="Y748" s="7"/>
      <c r="Z748" s="7"/>
      <c r="AA748" s="7"/>
    </row>
    <row r="749" ht="18.75" customHeight="1">
      <c r="A749" s="22" t="s">
        <v>975</v>
      </c>
      <c r="B749" s="63" t="s">
        <v>976</v>
      </c>
      <c r="C749" s="63" t="s">
        <v>985</v>
      </c>
      <c r="D749" s="64">
        <v>1752.0</v>
      </c>
      <c r="E749" s="22" t="s">
        <v>1008</v>
      </c>
      <c r="F749" s="25" t="s">
        <v>26</v>
      </c>
      <c r="G749" s="26" t="s">
        <v>27</v>
      </c>
      <c r="H749" s="27">
        <v>260.0</v>
      </c>
      <c r="I749" s="28">
        <v>5.0</v>
      </c>
      <c r="J749" s="29" t="s">
        <v>38</v>
      </c>
      <c r="K749" s="30">
        <v>0.5</v>
      </c>
      <c r="L749" s="31">
        <f t="shared" si="1"/>
        <v>2.5</v>
      </c>
      <c r="M749" s="31">
        <f t="shared" si="2"/>
        <v>2.5</v>
      </c>
      <c r="N749" s="32">
        <f t="shared" si="3"/>
        <v>130</v>
      </c>
      <c r="O749" s="32">
        <f t="shared" si="4"/>
        <v>130</v>
      </c>
      <c r="P749" s="32">
        <f t="shared" si="5"/>
        <v>130</v>
      </c>
      <c r="Q749" s="22">
        <v>0.0</v>
      </c>
      <c r="R749" s="32">
        <f t="shared" si="6"/>
        <v>52</v>
      </c>
      <c r="S749" s="33" t="s">
        <v>29</v>
      </c>
      <c r="T749" s="33" t="s">
        <v>30</v>
      </c>
      <c r="U749" s="38" t="s">
        <v>521</v>
      </c>
      <c r="V749" s="35"/>
      <c r="W749" s="7"/>
      <c r="X749" s="7"/>
      <c r="Y749" s="7"/>
      <c r="Z749" s="7"/>
      <c r="AA749" s="7"/>
    </row>
    <row r="750" ht="18.75" customHeight="1">
      <c r="A750" s="8" t="s">
        <v>975</v>
      </c>
      <c r="B750" s="61" t="s">
        <v>976</v>
      </c>
      <c r="C750" s="61" t="s">
        <v>985</v>
      </c>
      <c r="D750" s="62">
        <v>1753.0</v>
      </c>
      <c r="E750" s="8" t="s">
        <v>1009</v>
      </c>
      <c r="F750" s="11" t="s">
        <v>26</v>
      </c>
      <c r="G750" s="12" t="s">
        <v>27</v>
      </c>
      <c r="H750" s="13">
        <v>328.8</v>
      </c>
      <c r="I750" s="14">
        <v>5.0</v>
      </c>
      <c r="J750" s="15" t="s">
        <v>154</v>
      </c>
      <c r="K750" s="16">
        <v>0.8</v>
      </c>
      <c r="L750" s="17">
        <f t="shared" si="1"/>
        <v>4</v>
      </c>
      <c r="M750" s="17">
        <f t="shared" si="2"/>
        <v>1</v>
      </c>
      <c r="N750" s="18">
        <f t="shared" si="3"/>
        <v>263.04</v>
      </c>
      <c r="O750" s="18">
        <f t="shared" si="4"/>
        <v>65.76</v>
      </c>
      <c r="P750" s="18">
        <f t="shared" si="5"/>
        <v>65.76</v>
      </c>
      <c r="Q750" s="8">
        <v>0.0</v>
      </c>
      <c r="R750" s="18">
        <f t="shared" si="6"/>
        <v>65.76</v>
      </c>
      <c r="S750" s="19" t="s">
        <v>29</v>
      </c>
      <c r="T750" s="19" t="s">
        <v>30</v>
      </c>
      <c r="U750" s="20" t="s">
        <v>344</v>
      </c>
      <c r="V750" s="37"/>
      <c r="W750" s="7"/>
      <c r="X750" s="7"/>
      <c r="Y750" s="7"/>
      <c r="Z750" s="7"/>
      <c r="AA750" s="7"/>
    </row>
    <row r="751" ht="18.75" customHeight="1">
      <c r="A751" s="22" t="s">
        <v>975</v>
      </c>
      <c r="B751" s="63" t="s">
        <v>976</v>
      </c>
      <c r="C751" s="63" t="s">
        <v>985</v>
      </c>
      <c r="D751" s="64">
        <v>1755.0</v>
      </c>
      <c r="E751" s="22" t="s">
        <v>1010</v>
      </c>
      <c r="F751" s="25" t="s">
        <v>37</v>
      </c>
      <c r="G751" s="26" t="s">
        <v>27</v>
      </c>
      <c r="H751" s="27">
        <v>338.53</v>
      </c>
      <c r="I751" s="28">
        <v>15.0</v>
      </c>
      <c r="J751" s="29" t="s">
        <v>54</v>
      </c>
      <c r="K751" s="30">
        <v>0.3</v>
      </c>
      <c r="L751" s="31">
        <f t="shared" si="1"/>
        <v>4.5</v>
      </c>
      <c r="M751" s="31">
        <f t="shared" si="2"/>
        <v>10.5</v>
      </c>
      <c r="N751" s="32">
        <f t="shared" si="3"/>
        <v>101.559</v>
      </c>
      <c r="O751" s="32">
        <f t="shared" si="4"/>
        <v>236.971</v>
      </c>
      <c r="P751" s="32">
        <f t="shared" si="5"/>
        <v>236.971</v>
      </c>
      <c r="Q751" s="22">
        <v>0.0</v>
      </c>
      <c r="R751" s="32">
        <f t="shared" si="6"/>
        <v>22.56866667</v>
      </c>
      <c r="S751" s="33" t="s">
        <v>29</v>
      </c>
      <c r="T751" s="33" t="s">
        <v>30</v>
      </c>
      <c r="U751" s="38" t="s">
        <v>1011</v>
      </c>
      <c r="V751" s="35"/>
      <c r="W751" s="7"/>
      <c r="X751" s="7"/>
      <c r="Y751" s="7"/>
      <c r="Z751" s="7"/>
      <c r="AA751" s="7"/>
    </row>
    <row r="752" ht="18.75" customHeight="1">
      <c r="A752" s="8" t="s">
        <v>975</v>
      </c>
      <c r="B752" s="61" t="s">
        <v>976</v>
      </c>
      <c r="C752" s="61" t="s">
        <v>985</v>
      </c>
      <c r="D752" s="62">
        <v>1756.0</v>
      </c>
      <c r="E752" s="8" t="s">
        <v>1010</v>
      </c>
      <c r="F752" s="11" t="s">
        <v>37</v>
      </c>
      <c r="G752" s="12" t="s">
        <v>27</v>
      </c>
      <c r="H752" s="13">
        <v>338.53</v>
      </c>
      <c r="I752" s="14">
        <v>15.0</v>
      </c>
      <c r="J752" s="15" t="s">
        <v>81</v>
      </c>
      <c r="K752" s="16">
        <v>0.15</v>
      </c>
      <c r="L752" s="17">
        <f t="shared" si="1"/>
        <v>2.25</v>
      </c>
      <c r="M752" s="17">
        <f t="shared" si="2"/>
        <v>12.75</v>
      </c>
      <c r="N752" s="18">
        <f t="shared" si="3"/>
        <v>50.7795</v>
      </c>
      <c r="O752" s="18">
        <f t="shared" si="4"/>
        <v>287.7505</v>
      </c>
      <c r="P752" s="18">
        <f t="shared" si="5"/>
        <v>287.7505</v>
      </c>
      <c r="Q752" s="8">
        <v>0.0</v>
      </c>
      <c r="R752" s="18">
        <f t="shared" si="6"/>
        <v>22.56866667</v>
      </c>
      <c r="S752" s="19" t="s">
        <v>29</v>
      </c>
      <c r="T752" s="19" t="s">
        <v>30</v>
      </c>
      <c r="U752" s="36" t="s">
        <v>1011</v>
      </c>
      <c r="V752" s="37"/>
      <c r="W752" s="7"/>
      <c r="X752" s="7"/>
      <c r="Y752" s="7"/>
      <c r="Z752" s="7"/>
      <c r="AA752" s="7"/>
    </row>
    <row r="753" ht="18.75" customHeight="1">
      <c r="A753" s="22" t="s">
        <v>975</v>
      </c>
      <c r="B753" s="63" t="s">
        <v>976</v>
      </c>
      <c r="C753" s="63" t="s">
        <v>985</v>
      </c>
      <c r="D753" s="64">
        <v>1758.0</v>
      </c>
      <c r="E753" s="22" t="s">
        <v>1012</v>
      </c>
      <c r="F753" s="25" t="s">
        <v>37</v>
      </c>
      <c r="G753" s="26" t="s">
        <v>27</v>
      </c>
      <c r="H753" s="27">
        <v>285.0</v>
      </c>
      <c r="I753" s="28">
        <v>10.0</v>
      </c>
      <c r="J753" s="29" t="s">
        <v>154</v>
      </c>
      <c r="K753" s="30">
        <v>0.8</v>
      </c>
      <c r="L753" s="31">
        <f t="shared" si="1"/>
        <v>8</v>
      </c>
      <c r="M753" s="31">
        <f t="shared" si="2"/>
        <v>2</v>
      </c>
      <c r="N753" s="32">
        <f t="shared" si="3"/>
        <v>228</v>
      </c>
      <c r="O753" s="32">
        <f t="shared" si="4"/>
        <v>57</v>
      </c>
      <c r="P753" s="32">
        <f t="shared" si="5"/>
        <v>57</v>
      </c>
      <c r="Q753" s="22">
        <v>0.0</v>
      </c>
      <c r="R753" s="32">
        <f t="shared" si="6"/>
        <v>28.5</v>
      </c>
      <c r="S753" s="33" t="s">
        <v>29</v>
      </c>
      <c r="T753" s="33" t="s">
        <v>30</v>
      </c>
      <c r="U753" s="34" t="s">
        <v>456</v>
      </c>
      <c r="V753" s="35"/>
      <c r="W753" s="7"/>
      <c r="X753" s="7"/>
      <c r="Y753" s="7"/>
      <c r="Z753" s="7"/>
      <c r="AA753" s="7"/>
    </row>
    <row r="754" ht="18.75" customHeight="1">
      <c r="A754" s="8" t="s">
        <v>975</v>
      </c>
      <c r="B754" s="61" t="s">
        <v>976</v>
      </c>
      <c r="C754" s="61" t="s">
        <v>33</v>
      </c>
      <c r="D754" s="62">
        <v>2070.0</v>
      </c>
      <c r="E754" s="8" t="s">
        <v>1013</v>
      </c>
      <c r="F754" s="11" t="s">
        <v>26</v>
      </c>
      <c r="G754" s="12" t="s">
        <v>27</v>
      </c>
      <c r="H754" s="13">
        <v>6246.9</v>
      </c>
      <c r="I754" s="14">
        <v>5.0</v>
      </c>
      <c r="J754" s="15" t="s">
        <v>38</v>
      </c>
      <c r="K754" s="16">
        <v>0.5</v>
      </c>
      <c r="L754" s="17">
        <f t="shared" si="1"/>
        <v>2.5</v>
      </c>
      <c r="M754" s="17">
        <f t="shared" si="2"/>
        <v>2.5</v>
      </c>
      <c r="N754" s="18">
        <f t="shared" si="3"/>
        <v>3123.45</v>
      </c>
      <c r="O754" s="18">
        <f t="shared" si="4"/>
        <v>3123.45</v>
      </c>
      <c r="P754" s="18">
        <f t="shared" si="5"/>
        <v>3123.45</v>
      </c>
      <c r="Q754" s="8">
        <v>0.0</v>
      </c>
      <c r="R754" s="18">
        <f t="shared" si="6"/>
        <v>1249.38</v>
      </c>
      <c r="S754" s="19" t="s">
        <v>29</v>
      </c>
      <c r="T754" s="19" t="s">
        <v>30</v>
      </c>
      <c r="U754" s="20" t="s">
        <v>333</v>
      </c>
      <c r="V754" s="37"/>
      <c r="W754" s="7"/>
      <c r="X754" s="7"/>
      <c r="Y754" s="7"/>
      <c r="Z754" s="7"/>
      <c r="AA754" s="7"/>
    </row>
    <row r="755" ht="18.75" customHeight="1">
      <c r="A755" s="22" t="s">
        <v>975</v>
      </c>
      <c r="B755" s="63" t="s">
        <v>976</v>
      </c>
      <c r="C755" s="63" t="s">
        <v>33</v>
      </c>
      <c r="D755" s="64">
        <v>2214.0</v>
      </c>
      <c r="E755" s="22" t="s">
        <v>1014</v>
      </c>
      <c r="F755" s="25" t="s">
        <v>37</v>
      </c>
      <c r="G755" s="26" t="s">
        <v>27</v>
      </c>
      <c r="H755" s="27">
        <v>1044.42</v>
      </c>
      <c r="I755" s="28">
        <v>10.0</v>
      </c>
      <c r="J755" s="29" t="s">
        <v>54</v>
      </c>
      <c r="K755" s="30">
        <v>0.3</v>
      </c>
      <c r="L755" s="31">
        <f t="shared" si="1"/>
        <v>3</v>
      </c>
      <c r="M755" s="31">
        <f t="shared" si="2"/>
        <v>7</v>
      </c>
      <c r="N755" s="32">
        <f t="shared" si="3"/>
        <v>313.326</v>
      </c>
      <c r="O755" s="32">
        <f t="shared" si="4"/>
        <v>731.094</v>
      </c>
      <c r="P755" s="32">
        <f t="shared" si="5"/>
        <v>731.094</v>
      </c>
      <c r="Q755" s="22">
        <v>0.0</v>
      </c>
      <c r="R755" s="32">
        <f t="shared" si="6"/>
        <v>104.442</v>
      </c>
      <c r="S755" s="33" t="s">
        <v>29</v>
      </c>
      <c r="T755" s="33" t="s">
        <v>30</v>
      </c>
      <c r="U755" s="34" t="s">
        <v>346</v>
      </c>
      <c r="V755" s="35"/>
      <c r="W755" s="7"/>
      <c r="X755" s="7"/>
      <c r="Y755" s="7"/>
      <c r="Z755" s="7"/>
      <c r="AA755" s="7"/>
    </row>
    <row r="756" ht="18.75" customHeight="1">
      <c r="A756" s="8" t="s">
        <v>975</v>
      </c>
      <c r="B756" s="61" t="s">
        <v>976</v>
      </c>
      <c r="C756" s="61" t="s">
        <v>33</v>
      </c>
      <c r="D756" s="62">
        <v>2216.0</v>
      </c>
      <c r="E756" s="8" t="s">
        <v>1015</v>
      </c>
      <c r="F756" s="11" t="s">
        <v>37</v>
      </c>
      <c r="G756" s="12" t="s">
        <v>27</v>
      </c>
      <c r="H756" s="13">
        <v>1044.42</v>
      </c>
      <c r="I756" s="14">
        <v>10.0</v>
      </c>
      <c r="J756" s="15" t="s">
        <v>54</v>
      </c>
      <c r="K756" s="16">
        <v>0.3</v>
      </c>
      <c r="L756" s="17">
        <f t="shared" si="1"/>
        <v>3</v>
      </c>
      <c r="M756" s="17">
        <f t="shared" si="2"/>
        <v>7</v>
      </c>
      <c r="N756" s="18">
        <f t="shared" si="3"/>
        <v>313.326</v>
      </c>
      <c r="O756" s="18">
        <f t="shared" si="4"/>
        <v>731.094</v>
      </c>
      <c r="P756" s="18">
        <f t="shared" si="5"/>
        <v>731.094</v>
      </c>
      <c r="Q756" s="8">
        <v>0.0</v>
      </c>
      <c r="R756" s="18">
        <f t="shared" si="6"/>
        <v>104.442</v>
      </c>
      <c r="S756" s="19" t="s">
        <v>29</v>
      </c>
      <c r="T756" s="19" t="s">
        <v>30</v>
      </c>
      <c r="U756" s="20" t="s">
        <v>346</v>
      </c>
      <c r="V756" s="37"/>
      <c r="W756" s="7"/>
      <c r="X756" s="7"/>
      <c r="Y756" s="7"/>
      <c r="Z756" s="7"/>
      <c r="AA756" s="7"/>
    </row>
    <row r="757" ht="18.75" customHeight="1">
      <c r="A757" s="22" t="s">
        <v>975</v>
      </c>
      <c r="B757" s="63" t="s">
        <v>976</v>
      </c>
      <c r="C757" s="63" t="s">
        <v>33</v>
      </c>
      <c r="D757" s="64">
        <v>2217.0</v>
      </c>
      <c r="E757" s="22" t="s">
        <v>1016</v>
      </c>
      <c r="F757" s="25" t="s">
        <v>26</v>
      </c>
      <c r="G757" s="26" t="s">
        <v>27</v>
      </c>
      <c r="H757" s="27">
        <v>1034.9</v>
      </c>
      <c r="I757" s="28">
        <v>5.0</v>
      </c>
      <c r="J757" s="29" t="s">
        <v>38</v>
      </c>
      <c r="K757" s="30">
        <v>0.5</v>
      </c>
      <c r="L757" s="31">
        <f t="shared" si="1"/>
        <v>2.5</v>
      </c>
      <c r="M757" s="31">
        <f t="shared" si="2"/>
        <v>2.5</v>
      </c>
      <c r="N757" s="32">
        <f t="shared" si="3"/>
        <v>517.45</v>
      </c>
      <c r="O757" s="32">
        <f t="shared" si="4"/>
        <v>517.45</v>
      </c>
      <c r="P757" s="32">
        <f t="shared" si="5"/>
        <v>517.45</v>
      </c>
      <c r="Q757" s="22">
        <v>0.0</v>
      </c>
      <c r="R757" s="32">
        <f t="shared" si="6"/>
        <v>206.98</v>
      </c>
      <c r="S757" s="33" t="s">
        <v>29</v>
      </c>
      <c r="T757" s="33" t="s">
        <v>30</v>
      </c>
      <c r="U757" s="38" t="s">
        <v>1017</v>
      </c>
      <c r="V757" s="35"/>
      <c r="W757" s="7"/>
      <c r="X757" s="7"/>
      <c r="Y757" s="7"/>
      <c r="Z757" s="7"/>
      <c r="AA757" s="7"/>
    </row>
    <row r="758" ht="18.75" customHeight="1">
      <c r="A758" s="8" t="s">
        <v>975</v>
      </c>
      <c r="B758" s="61" t="s">
        <v>976</v>
      </c>
      <c r="C758" s="61" t="s">
        <v>33</v>
      </c>
      <c r="D758" s="62">
        <v>2218.0</v>
      </c>
      <c r="E758" s="8" t="s">
        <v>1018</v>
      </c>
      <c r="F758" s="11" t="s">
        <v>37</v>
      </c>
      <c r="G758" s="12" t="s">
        <v>27</v>
      </c>
      <c r="H758" s="13">
        <v>1044.42</v>
      </c>
      <c r="I758" s="14">
        <v>10.0</v>
      </c>
      <c r="J758" s="15" t="s">
        <v>54</v>
      </c>
      <c r="K758" s="16">
        <v>0.3</v>
      </c>
      <c r="L758" s="17">
        <f t="shared" si="1"/>
        <v>3</v>
      </c>
      <c r="M758" s="17">
        <f t="shared" si="2"/>
        <v>7</v>
      </c>
      <c r="N758" s="18">
        <f t="shared" si="3"/>
        <v>313.326</v>
      </c>
      <c r="O758" s="18">
        <f t="shared" si="4"/>
        <v>731.094</v>
      </c>
      <c r="P758" s="18">
        <f t="shared" si="5"/>
        <v>731.094</v>
      </c>
      <c r="Q758" s="8">
        <v>0.0</v>
      </c>
      <c r="R758" s="18">
        <f t="shared" si="6"/>
        <v>104.442</v>
      </c>
      <c r="S758" s="19" t="s">
        <v>29</v>
      </c>
      <c r="T758" s="19" t="s">
        <v>30</v>
      </c>
      <c r="U758" s="20" t="s">
        <v>346</v>
      </c>
      <c r="V758" s="37"/>
      <c r="W758" s="7"/>
      <c r="X758" s="7"/>
      <c r="Y758" s="7"/>
      <c r="Z758" s="7"/>
      <c r="AA758" s="7"/>
    </row>
    <row r="759" ht="18.75" customHeight="1">
      <c r="A759" s="22" t="s">
        <v>975</v>
      </c>
      <c r="B759" s="63" t="s">
        <v>976</v>
      </c>
      <c r="C759" s="63" t="s">
        <v>145</v>
      </c>
      <c r="D759" s="64">
        <v>2699.0</v>
      </c>
      <c r="E759" s="22" t="s">
        <v>466</v>
      </c>
      <c r="F759" s="25" t="s">
        <v>26</v>
      </c>
      <c r="G759" s="26" t="s">
        <v>27</v>
      </c>
      <c r="H759" s="27">
        <v>603.0</v>
      </c>
      <c r="I759" s="28">
        <v>5.0</v>
      </c>
      <c r="J759" s="29" t="s">
        <v>28</v>
      </c>
      <c r="K759" s="30">
        <v>0.4</v>
      </c>
      <c r="L759" s="31">
        <f t="shared" si="1"/>
        <v>2</v>
      </c>
      <c r="M759" s="31">
        <f t="shared" si="2"/>
        <v>3</v>
      </c>
      <c r="N759" s="32">
        <f t="shared" si="3"/>
        <v>241.2</v>
      </c>
      <c r="O759" s="32">
        <f t="shared" si="4"/>
        <v>361.8</v>
      </c>
      <c r="P759" s="32">
        <f t="shared" si="5"/>
        <v>361.8</v>
      </c>
      <c r="Q759" s="22">
        <v>0.0</v>
      </c>
      <c r="R759" s="32">
        <f t="shared" si="6"/>
        <v>120.6</v>
      </c>
      <c r="S759" s="33" t="s">
        <v>29</v>
      </c>
      <c r="T759" s="33" t="s">
        <v>30</v>
      </c>
      <c r="U759" s="34" t="s">
        <v>79</v>
      </c>
      <c r="V759" s="35"/>
      <c r="W759" s="7"/>
      <c r="X759" s="7"/>
      <c r="Y759" s="7"/>
      <c r="Z759" s="7"/>
      <c r="AA759" s="7"/>
    </row>
    <row r="760" ht="18.75" customHeight="1">
      <c r="A760" s="8" t="s">
        <v>975</v>
      </c>
      <c r="B760" s="61" t="s">
        <v>976</v>
      </c>
      <c r="C760" s="61" t="s">
        <v>985</v>
      </c>
      <c r="D760" s="62">
        <v>2781.0</v>
      </c>
      <c r="E760" s="8" t="s">
        <v>1019</v>
      </c>
      <c r="F760" s="11" t="s">
        <v>26</v>
      </c>
      <c r="G760" s="12" t="s">
        <v>27</v>
      </c>
      <c r="H760" s="13">
        <v>4263.9</v>
      </c>
      <c r="I760" s="14">
        <v>10.0</v>
      </c>
      <c r="J760" s="15" t="s">
        <v>54</v>
      </c>
      <c r="K760" s="16">
        <v>0.3</v>
      </c>
      <c r="L760" s="17">
        <f t="shared" si="1"/>
        <v>3</v>
      </c>
      <c r="M760" s="17">
        <f t="shared" si="2"/>
        <v>7</v>
      </c>
      <c r="N760" s="18">
        <f t="shared" si="3"/>
        <v>1279.17</v>
      </c>
      <c r="O760" s="18">
        <f t="shared" si="4"/>
        <v>2984.73</v>
      </c>
      <c r="P760" s="18">
        <f t="shared" si="5"/>
        <v>2984.73</v>
      </c>
      <c r="Q760" s="8">
        <v>0.0</v>
      </c>
      <c r="R760" s="18">
        <f t="shared" si="6"/>
        <v>426.39</v>
      </c>
      <c r="S760" s="19" t="s">
        <v>29</v>
      </c>
      <c r="T760" s="19" t="s">
        <v>30</v>
      </c>
      <c r="U760" s="78" t="s">
        <v>767</v>
      </c>
      <c r="V760" s="37"/>
      <c r="W760" s="7"/>
      <c r="X760" s="7"/>
      <c r="Y760" s="7"/>
      <c r="Z760" s="7"/>
      <c r="AA760" s="7"/>
    </row>
    <row r="761" ht="18.75" customHeight="1">
      <c r="A761" s="81" t="s">
        <v>1020</v>
      </c>
      <c r="B761" s="23" t="s">
        <v>1021</v>
      </c>
      <c r="C761" s="81" t="s">
        <v>1022</v>
      </c>
      <c r="D761" s="82">
        <v>0.0</v>
      </c>
      <c r="E761" s="25" t="s">
        <v>1023</v>
      </c>
      <c r="F761" s="25" t="s">
        <v>37</v>
      </c>
      <c r="G761" s="40"/>
      <c r="H761" s="83">
        <v>866.56</v>
      </c>
      <c r="I761" s="28">
        <v>10.0</v>
      </c>
      <c r="J761" s="29" t="s">
        <v>38</v>
      </c>
      <c r="K761" s="30">
        <v>0.5</v>
      </c>
      <c r="L761" s="31">
        <f t="shared" si="1"/>
        <v>5</v>
      </c>
      <c r="M761" s="31">
        <f t="shared" si="2"/>
        <v>5</v>
      </c>
      <c r="N761" s="32">
        <f t="shared" si="3"/>
        <v>433.28</v>
      </c>
      <c r="O761" s="32">
        <f t="shared" si="4"/>
        <v>433.28</v>
      </c>
      <c r="P761" s="32">
        <f t="shared" si="5"/>
        <v>433.28</v>
      </c>
      <c r="Q761" s="22">
        <v>0.0</v>
      </c>
      <c r="R761" s="32">
        <f t="shared" si="6"/>
        <v>86.656</v>
      </c>
      <c r="S761" s="33" t="s">
        <v>29</v>
      </c>
      <c r="T761" s="33" t="s">
        <v>30</v>
      </c>
      <c r="U761" s="84" t="s">
        <v>1024</v>
      </c>
      <c r="V761" s="35"/>
      <c r="W761" s="7"/>
      <c r="X761" s="7"/>
      <c r="Y761" s="7"/>
      <c r="Z761" s="7"/>
      <c r="AA761" s="7"/>
    </row>
    <row r="762" ht="18.75" customHeight="1">
      <c r="A762" s="52" t="s">
        <v>1020</v>
      </c>
      <c r="B762" s="9" t="s">
        <v>1025</v>
      </c>
      <c r="C762" s="9" t="s">
        <v>230</v>
      </c>
      <c r="D762" s="10">
        <v>108.0</v>
      </c>
      <c r="E762" s="9" t="s">
        <v>1026</v>
      </c>
      <c r="F762" s="11" t="s">
        <v>26</v>
      </c>
      <c r="G762" s="39"/>
      <c r="H762" s="13">
        <v>2899.97</v>
      </c>
      <c r="I762" s="14">
        <v>5.0</v>
      </c>
      <c r="J762" s="15" t="s">
        <v>38</v>
      </c>
      <c r="K762" s="16">
        <v>0.5</v>
      </c>
      <c r="L762" s="17">
        <f t="shared" si="1"/>
        <v>2.5</v>
      </c>
      <c r="M762" s="17">
        <f t="shared" si="2"/>
        <v>2.5</v>
      </c>
      <c r="N762" s="18">
        <f t="shared" si="3"/>
        <v>1449.985</v>
      </c>
      <c r="O762" s="18">
        <f t="shared" si="4"/>
        <v>1449.985</v>
      </c>
      <c r="P762" s="18">
        <f t="shared" si="5"/>
        <v>1449.985</v>
      </c>
      <c r="Q762" s="8">
        <v>0.0</v>
      </c>
      <c r="R762" s="18">
        <f t="shared" si="6"/>
        <v>579.994</v>
      </c>
      <c r="S762" s="19" t="s">
        <v>29</v>
      </c>
      <c r="T762" s="19" t="s">
        <v>30</v>
      </c>
      <c r="U762" s="36" t="s">
        <v>1027</v>
      </c>
      <c r="V762" s="37"/>
      <c r="W762" s="7"/>
      <c r="X762" s="7"/>
      <c r="Y762" s="7"/>
      <c r="Z762" s="7"/>
      <c r="AA762" s="7"/>
    </row>
    <row r="763" ht="18.75" customHeight="1">
      <c r="A763" s="81" t="s">
        <v>1020</v>
      </c>
      <c r="B763" s="23" t="s">
        <v>1028</v>
      </c>
      <c r="C763" s="23" t="s">
        <v>230</v>
      </c>
      <c r="D763" s="24">
        <v>219.0</v>
      </c>
      <c r="E763" s="23" t="s">
        <v>1029</v>
      </c>
      <c r="F763" s="25" t="s">
        <v>26</v>
      </c>
      <c r="G763" s="40"/>
      <c r="H763" s="27">
        <v>1725.896</v>
      </c>
      <c r="I763" s="28">
        <v>5.0</v>
      </c>
      <c r="J763" s="29" t="s">
        <v>38</v>
      </c>
      <c r="K763" s="30">
        <v>0.5</v>
      </c>
      <c r="L763" s="31">
        <f t="shared" si="1"/>
        <v>2.5</v>
      </c>
      <c r="M763" s="31">
        <f t="shared" si="2"/>
        <v>2.5</v>
      </c>
      <c r="N763" s="32">
        <f t="shared" si="3"/>
        <v>862.948</v>
      </c>
      <c r="O763" s="32">
        <f t="shared" si="4"/>
        <v>862.948</v>
      </c>
      <c r="P763" s="32">
        <f t="shared" si="5"/>
        <v>862.948</v>
      </c>
      <c r="Q763" s="22">
        <v>0.0</v>
      </c>
      <c r="R763" s="32">
        <f t="shared" si="6"/>
        <v>345.1792</v>
      </c>
      <c r="S763" s="33" t="s">
        <v>29</v>
      </c>
      <c r="T763" s="33" t="s">
        <v>30</v>
      </c>
      <c r="U763" s="38" t="s">
        <v>1030</v>
      </c>
      <c r="V763" s="35"/>
      <c r="W763" s="7"/>
      <c r="X763" s="7"/>
      <c r="Y763" s="7"/>
      <c r="Z763" s="7"/>
      <c r="AA763" s="7"/>
    </row>
    <row r="764" ht="18.75" customHeight="1">
      <c r="A764" s="52" t="s">
        <v>1020</v>
      </c>
      <c r="B764" s="9" t="s">
        <v>1028</v>
      </c>
      <c r="C764" s="9" t="s">
        <v>230</v>
      </c>
      <c r="D764" s="10">
        <v>220.0</v>
      </c>
      <c r="E764" s="9" t="s">
        <v>1031</v>
      </c>
      <c r="F764" s="11" t="s">
        <v>26</v>
      </c>
      <c r="G764" s="39"/>
      <c r="H764" s="13">
        <v>2588.844</v>
      </c>
      <c r="I764" s="14">
        <v>5.0</v>
      </c>
      <c r="J764" s="48" t="s">
        <v>63</v>
      </c>
      <c r="K764" s="16">
        <v>0.700000000000004</v>
      </c>
      <c r="L764" s="17">
        <f t="shared" si="1"/>
        <v>3.5</v>
      </c>
      <c r="M764" s="17">
        <f t="shared" si="2"/>
        <v>1.5</v>
      </c>
      <c r="N764" s="18">
        <f t="shared" si="3"/>
        <v>1812.1908</v>
      </c>
      <c r="O764" s="18">
        <f t="shared" si="4"/>
        <v>776.6532</v>
      </c>
      <c r="P764" s="18">
        <f t="shared" si="5"/>
        <v>776.6532</v>
      </c>
      <c r="Q764" s="8">
        <v>0.0</v>
      </c>
      <c r="R764" s="18">
        <f t="shared" si="6"/>
        <v>517.7688</v>
      </c>
      <c r="S764" s="19" t="s">
        <v>29</v>
      </c>
      <c r="T764" s="19" t="s">
        <v>30</v>
      </c>
      <c r="U764" s="36" t="s">
        <v>1030</v>
      </c>
      <c r="V764" s="37"/>
      <c r="W764" s="7"/>
      <c r="X764" s="7"/>
      <c r="Y764" s="7"/>
      <c r="Z764" s="7"/>
      <c r="AA764" s="7"/>
    </row>
    <row r="765" ht="18.75" customHeight="1">
      <c r="A765" s="81" t="s">
        <v>1020</v>
      </c>
      <c r="B765" s="23" t="s">
        <v>1028</v>
      </c>
      <c r="C765" s="23" t="s">
        <v>626</v>
      </c>
      <c r="D765" s="24">
        <v>229.0</v>
      </c>
      <c r="E765" s="23" t="s">
        <v>1032</v>
      </c>
      <c r="F765" s="25" t="s">
        <v>26</v>
      </c>
      <c r="G765" s="26" t="s">
        <v>27</v>
      </c>
      <c r="H765" s="27">
        <v>785.82</v>
      </c>
      <c r="I765" s="28">
        <v>10.0</v>
      </c>
      <c r="J765" s="29" t="s">
        <v>38</v>
      </c>
      <c r="K765" s="30">
        <v>0.5</v>
      </c>
      <c r="L765" s="31">
        <f t="shared" si="1"/>
        <v>5</v>
      </c>
      <c r="M765" s="31">
        <f t="shared" si="2"/>
        <v>5</v>
      </c>
      <c r="N765" s="32">
        <f t="shared" si="3"/>
        <v>392.91</v>
      </c>
      <c r="O765" s="32">
        <f t="shared" si="4"/>
        <v>392.91</v>
      </c>
      <c r="P765" s="32">
        <f t="shared" si="5"/>
        <v>392.91</v>
      </c>
      <c r="Q765" s="22">
        <v>0.0</v>
      </c>
      <c r="R765" s="32">
        <f t="shared" si="6"/>
        <v>78.582</v>
      </c>
      <c r="S765" s="33" t="s">
        <v>29</v>
      </c>
      <c r="T765" s="33" t="s">
        <v>30</v>
      </c>
      <c r="U765" s="34" t="s">
        <v>220</v>
      </c>
      <c r="V765" s="35"/>
      <c r="W765" s="7"/>
      <c r="X765" s="7"/>
      <c r="Y765" s="7"/>
      <c r="Z765" s="7"/>
      <c r="AA765" s="7"/>
    </row>
    <row r="766" ht="18.75" customHeight="1">
      <c r="A766" s="52" t="s">
        <v>1020</v>
      </c>
      <c r="B766" s="9" t="s">
        <v>1033</v>
      </c>
      <c r="C766" s="9" t="s">
        <v>1034</v>
      </c>
      <c r="D766" s="10">
        <v>248.0</v>
      </c>
      <c r="E766" s="9" t="s">
        <v>1035</v>
      </c>
      <c r="F766" s="11" t="s">
        <v>26</v>
      </c>
      <c r="G766" s="12" t="s">
        <v>27</v>
      </c>
      <c r="H766" s="13">
        <v>1178.73</v>
      </c>
      <c r="I766" s="14">
        <v>5.0</v>
      </c>
      <c r="J766" s="15" t="s">
        <v>38</v>
      </c>
      <c r="K766" s="16">
        <v>0.5</v>
      </c>
      <c r="L766" s="17">
        <f t="shared" si="1"/>
        <v>2.5</v>
      </c>
      <c r="M766" s="17">
        <f t="shared" si="2"/>
        <v>2.5</v>
      </c>
      <c r="N766" s="18">
        <f t="shared" si="3"/>
        <v>589.365</v>
      </c>
      <c r="O766" s="18">
        <f t="shared" si="4"/>
        <v>589.365</v>
      </c>
      <c r="P766" s="18">
        <f t="shared" si="5"/>
        <v>589.365</v>
      </c>
      <c r="Q766" s="8">
        <v>0.0</v>
      </c>
      <c r="R766" s="18">
        <f t="shared" si="6"/>
        <v>235.746</v>
      </c>
      <c r="S766" s="19" t="s">
        <v>29</v>
      </c>
      <c r="T766" s="19" t="s">
        <v>30</v>
      </c>
      <c r="U766" s="20" t="s">
        <v>220</v>
      </c>
      <c r="V766" s="37"/>
      <c r="W766" s="7"/>
      <c r="X766" s="7"/>
      <c r="Y766" s="7"/>
      <c r="Z766" s="7"/>
      <c r="AA766" s="7"/>
    </row>
    <row r="767" ht="18.75" customHeight="1">
      <c r="A767" s="81" t="s">
        <v>1020</v>
      </c>
      <c r="B767" s="23" t="s">
        <v>1033</v>
      </c>
      <c r="C767" s="23" t="s">
        <v>1034</v>
      </c>
      <c r="D767" s="24">
        <v>249.0</v>
      </c>
      <c r="E767" s="23" t="s">
        <v>1036</v>
      </c>
      <c r="F767" s="25" t="s">
        <v>26</v>
      </c>
      <c r="G767" s="26" t="s">
        <v>27</v>
      </c>
      <c r="H767" s="27">
        <v>785.82</v>
      </c>
      <c r="I767" s="28">
        <v>10.0</v>
      </c>
      <c r="J767" s="29" t="s">
        <v>38</v>
      </c>
      <c r="K767" s="30">
        <v>0.5</v>
      </c>
      <c r="L767" s="31">
        <f t="shared" si="1"/>
        <v>5</v>
      </c>
      <c r="M767" s="31">
        <f t="shared" si="2"/>
        <v>5</v>
      </c>
      <c r="N767" s="32">
        <f t="shared" si="3"/>
        <v>392.91</v>
      </c>
      <c r="O767" s="32">
        <f t="shared" si="4"/>
        <v>392.91</v>
      </c>
      <c r="P767" s="32">
        <f t="shared" si="5"/>
        <v>392.91</v>
      </c>
      <c r="Q767" s="22">
        <v>0.0</v>
      </c>
      <c r="R767" s="32">
        <f t="shared" si="6"/>
        <v>78.582</v>
      </c>
      <c r="S767" s="33" t="s">
        <v>29</v>
      </c>
      <c r="T767" s="33" t="s">
        <v>30</v>
      </c>
      <c r="U767" s="34" t="s">
        <v>220</v>
      </c>
      <c r="V767" s="35"/>
      <c r="W767" s="7"/>
      <c r="X767" s="7"/>
      <c r="Y767" s="7"/>
      <c r="Z767" s="7"/>
      <c r="AA767" s="7"/>
    </row>
    <row r="768" ht="18.75" customHeight="1">
      <c r="A768" s="52" t="s">
        <v>1020</v>
      </c>
      <c r="B768" s="9" t="s">
        <v>1037</v>
      </c>
      <c r="C768" s="9" t="s">
        <v>199</v>
      </c>
      <c r="D768" s="10">
        <v>264.0</v>
      </c>
      <c r="E768" s="9" t="s">
        <v>1038</v>
      </c>
      <c r="F768" s="11" t="s">
        <v>37</v>
      </c>
      <c r="G768" s="12" t="s">
        <v>27</v>
      </c>
      <c r="H768" s="13">
        <v>1300.12</v>
      </c>
      <c r="I768" s="14">
        <v>15.0</v>
      </c>
      <c r="J768" s="15" t="s">
        <v>28</v>
      </c>
      <c r="K768" s="16">
        <v>0.4</v>
      </c>
      <c r="L768" s="17">
        <f t="shared" si="1"/>
        <v>6</v>
      </c>
      <c r="M768" s="17">
        <f t="shared" si="2"/>
        <v>9</v>
      </c>
      <c r="N768" s="18">
        <f t="shared" si="3"/>
        <v>520.048</v>
      </c>
      <c r="O768" s="18">
        <f t="shared" si="4"/>
        <v>780.072</v>
      </c>
      <c r="P768" s="18">
        <f t="shared" si="5"/>
        <v>780.072</v>
      </c>
      <c r="Q768" s="8">
        <v>0.0</v>
      </c>
      <c r="R768" s="18">
        <f t="shared" si="6"/>
        <v>86.67466667</v>
      </c>
      <c r="S768" s="19" t="s">
        <v>29</v>
      </c>
      <c r="T768" s="19" t="s">
        <v>30</v>
      </c>
      <c r="U768" s="20" t="s">
        <v>459</v>
      </c>
      <c r="V768" s="37"/>
      <c r="W768" s="7"/>
      <c r="X768" s="7"/>
      <c r="Y768" s="7"/>
      <c r="Z768" s="7"/>
      <c r="AA768" s="7"/>
    </row>
    <row r="769" ht="18.75" customHeight="1">
      <c r="A769" s="81" t="s">
        <v>1020</v>
      </c>
      <c r="B769" s="23" t="s">
        <v>1037</v>
      </c>
      <c r="C769" s="23" t="s">
        <v>1039</v>
      </c>
      <c r="D769" s="24">
        <v>279.0</v>
      </c>
      <c r="E769" s="23" t="s">
        <v>1040</v>
      </c>
      <c r="F769" s="25" t="s">
        <v>26</v>
      </c>
      <c r="G769" s="26" t="s">
        <v>27</v>
      </c>
      <c r="H769" s="56">
        <v>840.42</v>
      </c>
      <c r="I769" s="28">
        <v>10.0</v>
      </c>
      <c r="J769" s="29" t="s">
        <v>38</v>
      </c>
      <c r="K769" s="30">
        <v>0.5</v>
      </c>
      <c r="L769" s="31">
        <f t="shared" si="1"/>
        <v>5</v>
      </c>
      <c r="M769" s="31">
        <f t="shared" si="2"/>
        <v>5</v>
      </c>
      <c r="N769" s="32">
        <f t="shared" si="3"/>
        <v>420.21</v>
      </c>
      <c r="O769" s="32">
        <f t="shared" si="4"/>
        <v>420.21</v>
      </c>
      <c r="P769" s="32">
        <f t="shared" si="5"/>
        <v>420.21</v>
      </c>
      <c r="Q769" s="22">
        <v>0.0</v>
      </c>
      <c r="R769" s="32">
        <f t="shared" si="6"/>
        <v>84.042</v>
      </c>
      <c r="S769" s="33" t="s">
        <v>29</v>
      </c>
      <c r="T769" s="33" t="s">
        <v>30</v>
      </c>
      <c r="U769" s="34" t="s">
        <v>102</v>
      </c>
      <c r="V769" s="35"/>
      <c r="W769" s="7"/>
      <c r="X769" s="7"/>
      <c r="Y769" s="7"/>
      <c r="Z769" s="7"/>
      <c r="AA769" s="7"/>
    </row>
    <row r="770" ht="18.75" customHeight="1">
      <c r="A770" s="52" t="s">
        <v>1020</v>
      </c>
      <c r="B770" s="9" t="s">
        <v>1021</v>
      </c>
      <c r="C770" s="9" t="s">
        <v>1041</v>
      </c>
      <c r="D770" s="10">
        <v>300.0</v>
      </c>
      <c r="E770" s="9" t="s">
        <v>1042</v>
      </c>
      <c r="F770" s="11" t="s">
        <v>37</v>
      </c>
      <c r="G770" s="39"/>
      <c r="H770" s="13">
        <v>319.9</v>
      </c>
      <c r="I770" s="14">
        <v>10.0</v>
      </c>
      <c r="J770" s="15" t="s">
        <v>38</v>
      </c>
      <c r="K770" s="16">
        <v>0.5</v>
      </c>
      <c r="L770" s="17">
        <f t="shared" si="1"/>
        <v>5</v>
      </c>
      <c r="M770" s="17">
        <f t="shared" si="2"/>
        <v>5</v>
      </c>
      <c r="N770" s="18">
        <f t="shared" si="3"/>
        <v>159.95</v>
      </c>
      <c r="O770" s="18">
        <f t="shared" si="4"/>
        <v>159.95</v>
      </c>
      <c r="P770" s="18">
        <f t="shared" si="5"/>
        <v>159.95</v>
      </c>
      <c r="Q770" s="8">
        <v>0.0</v>
      </c>
      <c r="R770" s="18">
        <f t="shared" si="6"/>
        <v>31.99</v>
      </c>
      <c r="S770" s="19" t="s">
        <v>29</v>
      </c>
      <c r="T770" s="19" t="s">
        <v>30</v>
      </c>
      <c r="U770" s="36" t="s">
        <v>1043</v>
      </c>
      <c r="V770" s="37"/>
      <c r="W770" s="7"/>
      <c r="X770" s="7"/>
      <c r="Y770" s="7"/>
      <c r="Z770" s="7"/>
      <c r="AA770" s="7"/>
    </row>
    <row r="771" ht="18.75" customHeight="1">
      <c r="A771" s="81" t="s">
        <v>1020</v>
      </c>
      <c r="B771" s="23" t="s">
        <v>1044</v>
      </c>
      <c r="C771" s="23" t="s">
        <v>534</v>
      </c>
      <c r="D771" s="24">
        <v>506.0</v>
      </c>
      <c r="E771" s="23" t="s">
        <v>1045</v>
      </c>
      <c r="F771" s="25" t="s">
        <v>26</v>
      </c>
      <c r="G771" s="40"/>
      <c r="H771" s="27">
        <v>1592.4</v>
      </c>
      <c r="I771" s="28">
        <v>10.0</v>
      </c>
      <c r="J771" s="29" t="s">
        <v>38</v>
      </c>
      <c r="K771" s="30">
        <v>0.5</v>
      </c>
      <c r="L771" s="31">
        <f t="shared" si="1"/>
        <v>5</v>
      </c>
      <c r="M771" s="31">
        <f t="shared" si="2"/>
        <v>5</v>
      </c>
      <c r="N771" s="32">
        <f t="shared" si="3"/>
        <v>796.2</v>
      </c>
      <c r="O771" s="32">
        <f t="shared" si="4"/>
        <v>796.2</v>
      </c>
      <c r="P771" s="32">
        <f t="shared" si="5"/>
        <v>796.2</v>
      </c>
      <c r="Q771" s="22">
        <v>0.0</v>
      </c>
      <c r="R771" s="32">
        <f t="shared" si="6"/>
        <v>159.24</v>
      </c>
      <c r="S771" s="33" t="s">
        <v>29</v>
      </c>
      <c r="T771" s="33" t="s">
        <v>30</v>
      </c>
      <c r="U771" s="38" t="s">
        <v>1046</v>
      </c>
      <c r="V771" s="35"/>
      <c r="W771" s="7"/>
      <c r="X771" s="7"/>
      <c r="Y771" s="7"/>
      <c r="Z771" s="7"/>
      <c r="AA771" s="7"/>
    </row>
    <row r="772" ht="18.75" customHeight="1">
      <c r="A772" s="52" t="s">
        <v>1020</v>
      </c>
      <c r="B772" s="9" t="s">
        <v>23</v>
      </c>
      <c r="C772" s="9" t="s">
        <v>24</v>
      </c>
      <c r="D772" s="10">
        <v>517.0</v>
      </c>
      <c r="E772" s="9" t="s">
        <v>786</v>
      </c>
      <c r="F772" s="11" t="s">
        <v>37</v>
      </c>
      <c r="G772" s="12" t="s">
        <v>27</v>
      </c>
      <c r="H772" s="13">
        <v>332.91</v>
      </c>
      <c r="I772" s="14">
        <v>10.0</v>
      </c>
      <c r="J772" s="85" t="s">
        <v>289</v>
      </c>
      <c r="K772" s="16">
        <v>0.95</v>
      </c>
      <c r="L772" s="17">
        <f t="shared" si="1"/>
        <v>9.5</v>
      </c>
      <c r="M772" s="17">
        <f t="shared" si="2"/>
        <v>0.5</v>
      </c>
      <c r="N772" s="18">
        <f t="shared" si="3"/>
        <v>316.2645</v>
      </c>
      <c r="O772" s="18">
        <f t="shared" si="4"/>
        <v>16.6455</v>
      </c>
      <c r="P772" s="18">
        <f t="shared" si="5"/>
        <v>16.6455</v>
      </c>
      <c r="Q772" s="8">
        <v>0.0</v>
      </c>
      <c r="R772" s="18">
        <f t="shared" si="6"/>
        <v>33.291</v>
      </c>
      <c r="S772" s="19" t="s">
        <v>29</v>
      </c>
      <c r="T772" s="19" t="s">
        <v>30</v>
      </c>
      <c r="U772" s="20" t="s">
        <v>223</v>
      </c>
      <c r="V772" s="37"/>
      <c r="W772" s="7"/>
      <c r="X772" s="7"/>
      <c r="Y772" s="7"/>
      <c r="Z772" s="7"/>
      <c r="AA772" s="7"/>
    </row>
    <row r="773" ht="18.75" customHeight="1">
      <c r="A773" s="81" t="s">
        <v>1020</v>
      </c>
      <c r="B773" s="23" t="s">
        <v>1037</v>
      </c>
      <c r="C773" s="23" t="s">
        <v>199</v>
      </c>
      <c r="D773" s="24">
        <v>619.0</v>
      </c>
      <c r="E773" s="23" t="s">
        <v>1047</v>
      </c>
      <c r="F773" s="25" t="s">
        <v>37</v>
      </c>
      <c r="G773" s="26" t="s">
        <v>27</v>
      </c>
      <c r="H773" s="27">
        <v>285.0</v>
      </c>
      <c r="I773" s="28">
        <v>10.0</v>
      </c>
      <c r="J773" s="29" t="s">
        <v>38</v>
      </c>
      <c r="K773" s="30">
        <v>0.5</v>
      </c>
      <c r="L773" s="31">
        <f t="shared" si="1"/>
        <v>5</v>
      </c>
      <c r="M773" s="31">
        <f t="shared" si="2"/>
        <v>5</v>
      </c>
      <c r="N773" s="32">
        <f t="shared" si="3"/>
        <v>142.5</v>
      </c>
      <c r="O773" s="32">
        <f t="shared" si="4"/>
        <v>142.5</v>
      </c>
      <c r="P773" s="32">
        <f t="shared" si="5"/>
        <v>142.5</v>
      </c>
      <c r="Q773" s="22">
        <v>0.0</v>
      </c>
      <c r="R773" s="32">
        <f t="shared" si="6"/>
        <v>28.5</v>
      </c>
      <c r="S773" s="33" t="s">
        <v>29</v>
      </c>
      <c r="T773" s="33" t="s">
        <v>30</v>
      </c>
      <c r="U773" s="34" t="s">
        <v>527</v>
      </c>
      <c r="V773" s="35"/>
      <c r="W773" s="7"/>
      <c r="X773" s="7"/>
      <c r="Y773" s="7"/>
      <c r="Z773" s="7"/>
      <c r="AA773" s="7"/>
    </row>
    <row r="774" ht="18.75" customHeight="1">
      <c r="A774" s="52" t="s">
        <v>1020</v>
      </c>
      <c r="B774" s="9" t="s">
        <v>1037</v>
      </c>
      <c r="C774" s="9" t="s">
        <v>1048</v>
      </c>
      <c r="D774" s="10">
        <v>620.0</v>
      </c>
      <c r="E774" s="9" t="s">
        <v>1049</v>
      </c>
      <c r="F774" s="11" t="s">
        <v>37</v>
      </c>
      <c r="G774" s="12" t="s">
        <v>27</v>
      </c>
      <c r="H774" s="13">
        <v>332.91</v>
      </c>
      <c r="I774" s="14">
        <v>10.0</v>
      </c>
      <c r="J774" s="15" t="s">
        <v>38</v>
      </c>
      <c r="K774" s="16">
        <v>0.5</v>
      </c>
      <c r="L774" s="17">
        <f t="shared" si="1"/>
        <v>5</v>
      </c>
      <c r="M774" s="17">
        <f t="shared" si="2"/>
        <v>5</v>
      </c>
      <c r="N774" s="18">
        <f t="shared" si="3"/>
        <v>166.455</v>
      </c>
      <c r="O774" s="18">
        <f t="shared" si="4"/>
        <v>166.455</v>
      </c>
      <c r="P774" s="18">
        <f t="shared" si="5"/>
        <v>166.455</v>
      </c>
      <c r="Q774" s="8">
        <v>0.0</v>
      </c>
      <c r="R774" s="18">
        <f t="shared" si="6"/>
        <v>33.291</v>
      </c>
      <c r="S774" s="19" t="s">
        <v>29</v>
      </c>
      <c r="T774" s="19" t="s">
        <v>30</v>
      </c>
      <c r="U774" s="20" t="s">
        <v>223</v>
      </c>
      <c r="V774" s="37"/>
      <c r="W774" s="7"/>
      <c r="X774" s="7"/>
      <c r="Y774" s="7"/>
      <c r="Z774" s="7"/>
      <c r="AA774" s="7"/>
    </row>
    <row r="775" ht="18.75" customHeight="1">
      <c r="A775" s="81" t="s">
        <v>1020</v>
      </c>
      <c r="B775" s="23" t="s">
        <v>1037</v>
      </c>
      <c r="C775" s="23" t="s">
        <v>199</v>
      </c>
      <c r="D775" s="24">
        <v>621.0</v>
      </c>
      <c r="E775" s="23" t="s">
        <v>1050</v>
      </c>
      <c r="F775" s="25" t="s">
        <v>37</v>
      </c>
      <c r="G775" s="26" t="s">
        <v>27</v>
      </c>
      <c r="H775" s="27">
        <v>332.91</v>
      </c>
      <c r="I775" s="28">
        <v>10.0</v>
      </c>
      <c r="J775" s="29" t="s">
        <v>38</v>
      </c>
      <c r="K775" s="30">
        <v>0.5</v>
      </c>
      <c r="L775" s="31">
        <f t="shared" si="1"/>
        <v>5</v>
      </c>
      <c r="M775" s="31">
        <f t="shared" si="2"/>
        <v>5</v>
      </c>
      <c r="N775" s="32">
        <f t="shared" si="3"/>
        <v>166.455</v>
      </c>
      <c r="O775" s="32">
        <f t="shared" si="4"/>
        <v>166.455</v>
      </c>
      <c r="P775" s="32">
        <f t="shared" si="5"/>
        <v>166.455</v>
      </c>
      <c r="Q775" s="22">
        <v>0.0</v>
      </c>
      <c r="R775" s="32">
        <f t="shared" si="6"/>
        <v>33.291</v>
      </c>
      <c r="S775" s="33" t="s">
        <v>29</v>
      </c>
      <c r="T775" s="33" t="s">
        <v>30</v>
      </c>
      <c r="U775" s="34" t="s">
        <v>223</v>
      </c>
      <c r="V775" s="35"/>
      <c r="W775" s="7"/>
      <c r="X775" s="7"/>
      <c r="Y775" s="7"/>
      <c r="Z775" s="7"/>
      <c r="AA775" s="7"/>
    </row>
    <row r="776" ht="18.75" customHeight="1">
      <c r="A776" s="52" t="s">
        <v>1020</v>
      </c>
      <c r="B776" s="9" t="s">
        <v>1037</v>
      </c>
      <c r="C776" s="9" t="s">
        <v>1022</v>
      </c>
      <c r="D776" s="10">
        <v>622.0</v>
      </c>
      <c r="E776" s="9" t="s">
        <v>1049</v>
      </c>
      <c r="F776" s="11" t="s">
        <v>37</v>
      </c>
      <c r="G776" s="12" t="s">
        <v>27</v>
      </c>
      <c r="H776" s="13">
        <v>332.91</v>
      </c>
      <c r="I776" s="14">
        <v>10.0</v>
      </c>
      <c r="J776" s="15" t="s">
        <v>38</v>
      </c>
      <c r="K776" s="16">
        <v>0.5</v>
      </c>
      <c r="L776" s="17">
        <f t="shared" si="1"/>
        <v>5</v>
      </c>
      <c r="M776" s="17">
        <f t="shared" si="2"/>
        <v>5</v>
      </c>
      <c r="N776" s="18">
        <f t="shared" si="3"/>
        <v>166.455</v>
      </c>
      <c r="O776" s="18">
        <f t="shared" si="4"/>
        <v>166.455</v>
      </c>
      <c r="P776" s="18">
        <f t="shared" si="5"/>
        <v>166.455</v>
      </c>
      <c r="Q776" s="8">
        <v>0.0</v>
      </c>
      <c r="R776" s="18">
        <f t="shared" si="6"/>
        <v>33.291</v>
      </c>
      <c r="S776" s="19" t="s">
        <v>29</v>
      </c>
      <c r="T776" s="19" t="s">
        <v>30</v>
      </c>
      <c r="U776" s="20" t="s">
        <v>223</v>
      </c>
      <c r="V776" s="37"/>
      <c r="W776" s="7"/>
      <c r="X776" s="7"/>
      <c r="Y776" s="7"/>
      <c r="Z776" s="7"/>
      <c r="AA776" s="7"/>
    </row>
    <row r="777" ht="18.75" customHeight="1">
      <c r="A777" s="81" t="s">
        <v>1020</v>
      </c>
      <c r="B777" s="23" t="s">
        <v>1037</v>
      </c>
      <c r="C777" s="23" t="s">
        <v>1022</v>
      </c>
      <c r="D777" s="24">
        <v>630.0</v>
      </c>
      <c r="E777" s="23" t="s">
        <v>1051</v>
      </c>
      <c r="F777" s="25" t="s">
        <v>37</v>
      </c>
      <c r="G777" s="26" t="s">
        <v>27</v>
      </c>
      <c r="H777" s="27">
        <v>332.91</v>
      </c>
      <c r="I777" s="28">
        <v>10.0</v>
      </c>
      <c r="J777" s="29" t="s">
        <v>28</v>
      </c>
      <c r="K777" s="30">
        <v>0.4</v>
      </c>
      <c r="L777" s="31">
        <f t="shared" si="1"/>
        <v>4</v>
      </c>
      <c r="M777" s="31">
        <f t="shared" si="2"/>
        <v>6</v>
      </c>
      <c r="N777" s="32">
        <f t="shared" si="3"/>
        <v>133.164</v>
      </c>
      <c r="O777" s="32">
        <f t="shared" si="4"/>
        <v>199.746</v>
      </c>
      <c r="P777" s="32">
        <f t="shared" si="5"/>
        <v>199.746</v>
      </c>
      <c r="Q777" s="22">
        <v>0.0</v>
      </c>
      <c r="R777" s="32">
        <f t="shared" si="6"/>
        <v>33.291</v>
      </c>
      <c r="S777" s="33" t="s">
        <v>29</v>
      </c>
      <c r="T777" s="33" t="s">
        <v>30</v>
      </c>
      <c r="U777" s="34" t="s">
        <v>223</v>
      </c>
      <c r="V777" s="35"/>
      <c r="W777" s="7"/>
      <c r="X777" s="7"/>
      <c r="Y777" s="7"/>
      <c r="Z777" s="7"/>
      <c r="AA777" s="7"/>
    </row>
    <row r="778" ht="18.75" customHeight="1">
      <c r="A778" s="52" t="s">
        <v>1020</v>
      </c>
      <c r="B778" s="9" t="s">
        <v>1037</v>
      </c>
      <c r="C778" s="9" t="s">
        <v>199</v>
      </c>
      <c r="D778" s="10">
        <v>632.0</v>
      </c>
      <c r="E778" s="9" t="s">
        <v>1052</v>
      </c>
      <c r="F778" s="11" t="s">
        <v>37</v>
      </c>
      <c r="G778" s="12" t="s">
        <v>27</v>
      </c>
      <c r="H778" s="13">
        <v>285.0</v>
      </c>
      <c r="I778" s="14">
        <v>10.0</v>
      </c>
      <c r="J778" s="46" t="s">
        <v>63</v>
      </c>
      <c r="K778" s="16">
        <v>0.700000000000004</v>
      </c>
      <c r="L778" s="17">
        <f t="shared" si="1"/>
        <v>7</v>
      </c>
      <c r="M778" s="17">
        <f t="shared" si="2"/>
        <v>3</v>
      </c>
      <c r="N778" s="18">
        <f t="shared" si="3"/>
        <v>199.5</v>
      </c>
      <c r="O778" s="18">
        <f t="shared" si="4"/>
        <v>85.5</v>
      </c>
      <c r="P778" s="18">
        <f t="shared" si="5"/>
        <v>85.5</v>
      </c>
      <c r="Q778" s="8">
        <v>0.0</v>
      </c>
      <c r="R778" s="18">
        <f t="shared" si="6"/>
        <v>28.5</v>
      </c>
      <c r="S778" s="19" t="s">
        <v>29</v>
      </c>
      <c r="T778" s="19" t="s">
        <v>30</v>
      </c>
      <c r="U778" s="20" t="s">
        <v>527</v>
      </c>
      <c r="V778" s="37"/>
      <c r="W778" s="7"/>
      <c r="X778" s="7"/>
      <c r="Y778" s="7"/>
      <c r="Z778" s="7"/>
      <c r="AA778" s="7"/>
    </row>
    <row r="779" ht="18.75" customHeight="1">
      <c r="A779" s="81" t="s">
        <v>1020</v>
      </c>
      <c r="B779" s="23" t="s">
        <v>1037</v>
      </c>
      <c r="C779" s="23" t="s">
        <v>1022</v>
      </c>
      <c r="D779" s="24">
        <v>633.0</v>
      </c>
      <c r="E779" s="23" t="s">
        <v>1053</v>
      </c>
      <c r="F779" s="25" t="s">
        <v>37</v>
      </c>
      <c r="G779" s="26" t="s">
        <v>27</v>
      </c>
      <c r="H779" s="27">
        <v>332.91</v>
      </c>
      <c r="I779" s="28">
        <v>10.0</v>
      </c>
      <c r="J779" s="72" t="s">
        <v>289</v>
      </c>
      <c r="K779" s="30">
        <v>0.95</v>
      </c>
      <c r="L779" s="31">
        <f t="shared" si="1"/>
        <v>9.5</v>
      </c>
      <c r="M779" s="31">
        <f t="shared" si="2"/>
        <v>0.5</v>
      </c>
      <c r="N779" s="32">
        <f t="shared" si="3"/>
        <v>316.2645</v>
      </c>
      <c r="O779" s="32">
        <f t="shared" si="4"/>
        <v>16.6455</v>
      </c>
      <c r="P779" s="32">
        <f t="shared" si="5"/>
        <v>16.6455</v>
      </c>
      <c r="Q779" s="22">
        <v>0.0</v>
      </c>
      <c r="R779" s="32">
        <f t="shared" si="6"/>
        <v>33.291</v>
      </c>
      <c r="S779" s="33" t="s">
        <v>29</v>
      </c>
      <c r="T779" s="33" t="s">
        <v>30</v>
      </c>
      <c r="U779" s="34" t="s">
        <v>223</v>
      </c>
      <c r="V779" s="35"/>
      <c r="W779" s="7"/>
      <c r="X779" s="7"/>
      <c r="Y779" s="7"/>
      <c r="Z779" s="7"/>
      <c r="AA779" s="7"/>
    </row>
    <row r="780" ht="18.75" customHeight="1">
      <c r="A780" s="52" t="s">
        <v>1020</v>
      </c>
      <c r="B780" s="9" t="s">
        <v>1037</v>
      </c>
      <c r="C780" s="9" t="s">
        <v>253</v>
      </c>
      <c r="D780" s="10">
        <v>637.0</v>
      </c>
      <c r="E780" s="9" t="s">
        <v>1054</v>
      </c>
      <c r="F780" s="11" t="s">
        <v>37</v>
      </c>
      <c r="G780" s="39"/>
      <c r="H780" s="13">
        <v>374.92</v>
      </c>
      <c r="I780" s="14">
        <v>10.0</v>
      </c>
      <c r="J780" s="48" t="s">
        <v>63</v>
      </c>
      <c r="K780" s="59">
        <v>0.700000000000004</v>
      </c>
      <c r="L780" s="17">
        <f t="shared" si="1"/>
        <v>7</v>
      </c>
      <c r="M780" s="17">
        <f t="shared" si="2"/>
        <v>3</v>
      </c>
      <c r="N780" s="18">
        <f t="shared" si="3"/>
        <v>262.444</v>
      </c>
      <c r="O780" s="18">
        <f t="shared" si="4"/>
        <v>112.476</v>
      </c>
      <c r="P780" s="18">
        <f t="shared" si="5"/>
        <v>112.476</v>
      </c>
      <c r="Q780" s="8">
        <v>0.0</v>
      </c>
      <c r="R780" s="18">
        <f t="shared" si="6"/>
        <v>37.492</v>
      </c>
      <c r="S780" s="19" t="s">
        <v>29</v>
      </c>
      <c r="T780" s="19" t="s">
        <v>30</v>
      </c>
      <c r="U780" s="36" t="s">
        <v>1055</v>
      </c>
      <c r="V780" s="37"/>
      <c r="W780" s="7"/>
      <c r="X780" s="7"/>
      <c r="Y780" s="7"/>
      <c r="Z780" s="7"/>
      <c r="AA780" s="7"/>
    </row>
    <row r="781" ht="18.75" customHeight="1">
      <c r="A781" s="81" t="s">
        <v>1020</v>
      </c>
      <c r="B781" s="23" t="s">
        <v>1037</v>
      </c>
      <c r="C781" s="23" t="s">
        <v>253</v>
      </c>
      <c r="D781" s="24">
        <v>638.0</v>
      </c>
      <c r="E781" s="23" t="s">
        <v>1056</v>
      </c>
      <c r="F781" s="25" t="s">
        <v>26</v>
      </c>
      <c r="G781" s="26" t="s">
        <v>27</v>
      </c>
      <c r="H781" s="27">
        <v>1749.0</v>
      </c>
      <c r="I781" s="28">
        <v>10.0</v>
      </c>
      <c r="J781" s="29" t="s">
        <v>38</v>
      </c>
      <c r="K781" s="30">
        <v>0.5</v>
      </c>
      <c r="L781" s="31">
        <f t="shared" si="1"/>
        <v>5</v>
      </c>
      <c r="M781" s="31">
        <f t="shared" si="2"/>
        <v>5</v>
      </c>
      <c r="N781" s="32">
        <f t="shared" si="3"/>
        <v>874.5</v>
      </c>
      <c r="O781" s="32">
        <f t="shared" si="4"/>
        <v>874.5</v>
      </c>
      <c r="P781" s="32">
        <f t="shared" si="5"/>
        <v>874.5</v>
      </c>
      <c r="Q781" s="22">
        <v>0.0</v>
      </c>
      <c r="R781" s="32">
        <f t="shared" si="6"/>
        <v>174.9</v>
      </c>
      <c r="S781" s="33" t="s">
        <v>29</v>
      </c>
      <c r="T781" s="33" t="s">
        <v>30</v>
      </c>
      <c r="U781" s="34" t="s">
        <v>255</v>
      </c>
      <c r="V781" s="35"/>
      <c r="W781" s="7"/>
      <c r="X781" s="7"/>
      <c r="Y781" s="7"/>
      <c r="Z781" s="7"/>
      <c r="AA781" s="7"/>
    </row>
    <row r="782" ht="18.75" customHeight="1">
      <c r="A782" s="52" t="s">
        <v>1020</v>
      </c>
      <c r="B782" s="9" t="s">
        <v>1037</v>
      </c>
      <c r="C782" s="9" t="s">
        <v>253</v>
      </c>
      <c r="D782" s="10">
        <v>642.0</v>
      </c>
      <c r="E782" s="9" t="s">
        <v>1057</v>
      </c>
      <c r="F782" s="11" t="s">
        <v>37</v>
      </c>
      <c r="G782" s="39"/>
      <c r="H782" s="13">
        <v>639.98</v>
      </c>
      <c r="I782" s="14">
        <v>10.0</v>
      </c>
      <c r="J782" s="15" t="s">
        <v>38</v>
      </c>
      <c r="K782" s="16">
        <v>0.5</v>
      </c>
      <c r="L782" s="17">
        <f t="shared" si="1"/>
        <v>5</v>
      </c>
      <c r="M782" s="17">
        <f t="shared" si="2"/>
        <v>5</v>
      </c>
      <c r="N782" s="18">
        <f t="shared" si="3"/>
        <v>319.99</v>
      </c>
      <c r="O782" s="18">
        <f t="shared" si="4"/>
        <v>319.99</v>
      </c>
      <c r="P782" s="18">
        <f t="shared" si="5"/>
        <v>319.99</v>
      </c>
      <c r="Q782" s="8">
        <v>0.0</v>
      </c>
      <c r="R782" s="18">
        <f t="shared" si="6"/>
        <v>63.998</v>
      </c>
      <c r="S782" s="19" t="s">
        <v>29</v>
      </c>
      <c r="T782" s="19" t="s">
        <v>30</v>
      </c>
      <c r="U782" s="36" t="s">
        <v>77</v>
      </c>
      <c r="V782" s="37"/>
      <c r="W782" s="7"/>
      <c r="X782" s="7"/>
      <c r="Y782" s="7"/>
      <c r="Z782" s="7"/>
      <c r="AA782" s="7"/>
    </row>
    <row r="783" ht="18.75" customHeight="1">
      <c r="A783" s="81" t="s">
        <v>1020</v>
      </c>
      <c r="B783" s="23" t="s">
        <v>1037</v>
      </c>
      <c r="C783" s="23" t="s">
        <v>253</v>
      </c>
      <c r="D783" s="24">
        <v>643.0</v>
      </c>
      <c r="E783" s="23" t="s">
        <v>1057</v>
      </c>
      <c r="F783" s="25" t="s">
        <v>37</v>
      </c>
      <c r="G783" s="40"/>
      <c r="H783" s="27">
        <v>639.98</v>
      </c>
      <c r="I783" s="28">
        <v>10.0</v>
      </c>
      <c r="J783" s="45" t="s">
        <v>63</v>
      </c>
      <c r="K783" s="30">
        <v>0.700000000000004</v>
      </c>
      <c r="L783" s="31">
        <f t="shared" si="1"/>
        <v>7</v>
      </c>
      <c r="M783" s="31">
        <f t="shared" si="2"/>
        <v>3</v>
      </c>
      <c r="N783" s="32">
        <f t="shared" si="3"/>
        <v>447.986</v>
      </c>
      <c r="O783" s="32">
        <f t="shared" si="4"/>
        <v>191.994</v>
      </c>
      <c r="P783" s="32">
        <f t="shared" si="5"/>
        <v>191.994</v>
      </c>
      <c r="Q783" s="22">
        <v>0.0</v>
      </c>
      <c r="R783" s="32">
        <f t="shared" si="6"/>
        <v>63.998</v>
      </c>
      <c r="S783" s="33" t="s">
        <v>29</v>
      </c>
      <c r="T783" s="33" t="s">
        <v>30</v>
      </c>
      <c r="U783" s="38" t="s">
        <v>77</v>
      </c>
      <c r="V783" s="35"/>
      <c r="W783" s="7"/>
      <c r="X783" s="7"/>
      <c r="Y783" s="7"/>
      <c r="Z783" s="7"/>
      <c r="AA783" s="7"/>
    </row>
    <row r="784" ht="18.75" customHeight="1">
      <c r="A784" s="52" t="s">
        <v>1020</v>
      </c>
      <c r="B784" s="9" t="s">
        <v>1037</v>
      </c>
      <c r="C784" s="9" t="s">
        <v>199</v>
      </c>
      <c r="D784" s="10">
        <v>644.0</v>
      </c>
      <c r="E784" s="9" t="s">
        <v>1058</v>
      </c>
      <c r="F784" s="11" t="s">
        <v>37</v>
      </c>
      <c r="G784" s="12" t="s">
        <v>27</v>
      </c>
      <c r="H784" s="13">
        <v>1300.12</v>
      </c>
      <c r="I784" s="14">
        <v>15.0</v>
      </c>
      <c r="J784" s="15" t="s">
        <v>38</v>
      </c>
      <c r="K784" s="16">
        <v>0.5</v>
      </c>
      <c r="L784" s="17">
        <f t="shared" si="1"/>
        <v>7.5</v>
      </c>
      <c r="M784" s="17">
        <f t="shared" si="2"/>
        <v>7.5</v>
      </c>
      <c r="N784" s="18">
        <f t="shared" si="3"/>
        <v>650.06</v>
      </c>
      <c r="O784" s="18">
        <f t="shared" si="4"/>
        <v>650.06</v>
      </c>
      <c r="P784" s="18">
        <f t="shared" si="5"/>
        <v>650.06</v>
      </c>
      <c r="Q784" s="8">
        <v>0.0</v>
      </c>
      <c r="R784" s="18">
        <f t="shared" si="6"/>
        <v>86.67466667</v>
      </c>
      <c r="S784" s="19" t="s">
        <v>29</v>
      </c>
      <c r="T784" s="19" t="s">
        <v>30</v>
      </c>
      <c r="U784" s="20" t="s">
        <v>459</v>
      </c>
      <c r="V784" s="37"/>
      <c r="W784" s="7"/>
      <c r="X784" s="7"/>
      <c r="Y784" s="7"/>
      <c r="Z784" s="7"/>
      <c r="AA784" s="7"/>
    </row>
    <row r="785" ht="18.75" customHeight="1">
      <c r="A785" s="81" t="s">
        <v>1020</v>
      </c>
      <c r="B785" s="23" t="s">
        <v>1037</v>
      </c>
      <c r="C785" s="23" t="s">
        <v>528</v>
      </c>
      <c r="D785" s="24">
        <v>646.0</v>
      </c>
      <c r="E785" s="23" t="s">
        <v>228</v>
      </c>
      <c r="F785" s="25" t="s">
        <v>37</v>
      </c>
      <c r="G785" s="26" t="s">
        <v>27</v>
      </c>
      <c r="H785" s="27">
        <v>1300.12</v>
      </c>
      <c r="I785" s="28">
        <v>15.0</v>
      </c>
      <c r="J785" s="29" t="s">
        <v>38</v>
      </c>
      <c r="K785" s="30">
        <v>0.5</v>
      </c>
      <c r="L785" s="31">
        <f t="shared" si="1"/>
        <v>7.5</v>
      </c>
      <c r="M785" s="31">
        <f t="shared" si="2"/>
        <v>7.5</v>
      </c>
      <c r="N785" s="32">
        <f t="shared" si="3"/>
        <v>650.06</v>
      </c>
      <c r="O785" s="32">
        <f t="shared" si="4"/>
        <v>650.06</v>
      </c>
      <c r="P785" s="32">
        <f t="shared" si="5"/>
        <v>650.06</v>
      </c>
      <c r="Q785" s="22">
        <v>0.0</v>
      </c>
      <c r="R785" s="32">
        <f t="shared" si="6"/>
        <v>86.67466667</v>
      </c>
      <c r="S785" s="33" t="s">
        <v>29</v>
      </c>
      <c r="T785" s="33" t="s">
        <v>30</v>
      </c>
      <c r="U785" s="34" t="s">
        <v>459</v>
      </c>
      <c r="V785" s="35"/>
      <c r="W785" s="7"/>
      <c r="X785" s="7"/>
      <c r="Y785" s="7"/>
      <c r="Z785" s="7"/>
      <c r="AA785" s="7"/>
    </row>
    <row r="786" ht="18.75" customHeight="1">
      <c r="A786" s="52" t="s">
        <v>1020</v>
      </c>
      <c r="B786" s="9" t="s">
        <v>1037</v>
      </c>
      <c r="C786" s="9" t="s">
        <v>1059</v>
      </c>
      <c r="D786" s="10">
        <v>647.0</v>
      </c>
      <c r="E786" s="9" t="s">
        <v>228</v>
      </c>
      <c r="F786" s="11" t="s">
        <v>37</v>
      </c>
      <c r="G786" s="12" t="s">
        <v>27</v>
      </c>
      <c r="H786" s="13">
        <v>1300.12</v>
      </c>
      <c r="I786" s="14">
        <v>15.0</v>
      </c>
      <c r="J786" s="15" t="s">
        <v>38</v>
      </c>
      <c r="K786" s="16">
        <v>0.5</v>
      </c>
      <c r="L786" s="17">
        <f t="shared" si="1"/>
        <v>7.5</v>
      </c>
      <c r="M786" s="17">
        <f t="shared" si="2"/>
        <v>7.5</v>
      </c>
      <c r="N786" s="18">
        <f t="shared" si="3"/>
        <v>650.06</v>
      </c>
      <c r="O786" s="18">
        <f t="shared" si="4"/>
        <v>650.06</v>
      </c>
      <c r="P786" s="18">
        <f t="shared" si="5"/>
        <v>650.06</v>
      </c>
      <c r="Q786" s="8">
        <v>0.0</v>
      </c>
      <c r="R786" s="18">
        <f t="shared" si="6"/>
        <v>86.67466667</v>
      </c>
      <c r="S786" s="19" t="s">
        <v>29</v>
      </c>
      <c r="T786" s="19" t="s">
        <v>30</v>
      </c>
      <c r="U786" s="20" t="s">
        <v>459</v>
      </c>
      <c r="V786" s="37"/>
      <c r="W786" s="7"/>
      <c r="X786" s="7"/>
      <c r="Y786" s="7"/>
      <c r="Z786" s="7"/>
      <c r="AA786" s="7"/>
    </row>
    <row r="787" ht="18.75" customHeight="1">
      <c r="A787" s="81" t="s">
        <v>1020</v>
      </c>
      <c r="B787" s="23" t="s">
        <v>1037</v>
      </c>
      <c r="C787" s="23" t="s">
        <v>528</v>
      </c>
      <c r="D787" s="24">
        <v>648.0</v>
      </c>
      <c r="E787" s="23" t="s">
        <v>228</v>
      </c>
      <c r="F787" s="25" t="s">
        <v>37</v>
      </c>
      <c r="G787" s="26" t="s">
        <v>27</v>
      </c>
      <c r="H787" s="27">
        <v>1300.12</v>
      </c>
      <c r="I787" s="28">
        <v>15.0</v>
      </c>
      <c r="J787" s="29" t="s">
        <v>38</v>
      </c>
      <c r="K787" s="30">
        <v>0.5</v>
      </c>
      <c r="L787" s="31">
        <f t="shared" si="1"/>
        <v>7.5</v>
      </c>
      <c r="M787" s="31">
        <f t="shared" si="2"/>
        <v>7.5</v>
      </c>
      <c r="N787" s="32">
        <f t="shared" si="3"/>
        <v>650.06</v>
      </c>
      <c r="O787" s="32">
        <f t="shared" si="4"/>
        <v>650.06</v>
      </c>
      <c r="P787" s="32">
        <f t="shared" si="5"/>
        <v>650.06</v>
      </c>
      <c r="Q787" s="22">
        <v>0.0</v>
      </c>
      <c r="R787" s="32">
        <f t="shared" si="6"/>
        <v>86.67466667</v>
      </c>
      <c r="S787" s="33" t="s">
        <v>29</v>
      </c>
      <c r="T787" s="33" t="s">
        <v>30</v>
      </c>
      <c r="U787" s="34" t="s">
        <v>459</v>
      </c>
      <c r="V787" s="35"/>
      <c r="W787" s="7"/>
      <c r="X787" s="7"/>
      <c r="Y787" s="7"/>
      <c r="Z787" s="7"/>
      <c r="AA787" s="7"/>
    </row>
    <row r="788" ht="18.75" customHeight="1">
      <c r="A788" s="52" t="s">
        <v>1020</v>
      </c>
      <c r="B788" s="9" t="s">
        <v>1037</v>
      </c>
      <c r="C788" s="9" t="s">
        <v>528</v>
      </c>
      <c r="D788" s="10">
        <v>652.0</v>
      </c>
      <c r="E788" s="9" t="s">
        <v>711</v>
      </c>
      <c r="F788" s="11" t="s">
        <v>37</v>
      </c>
      <c r="G788" s="39"/>
      <c r="H788" s="13">
        <v>969.0</v>
      </c>
      <c r="I788" s="14">
        <v>10.0</v>
      </c>
      <c r="J788" s="15" t="s">
        <v>38</v>
      </c>
      <c r="K788" s="16">
        <v>0.5</v>
      </c>
      <c r="L788" s="17">
        <f t="shared" si="1"/>
        <v>5</v>
      </c>
      <c r="M788" s="17">
        <f t="shared" si="2"/>
        <v>5</v>
      </c>
      <c r="N788" s="18">
        <f t="shared" si="3"/>
        <v>484.5</v>
      </c>
      <c r="O788" s="18">
        <f t="shared" si="4"/>
        <v>484.5</v>
      </c>
      <c r="P788" s="18">
        <f t="shared" si="5"/>
        <v>484.5</v>
      </c>
      <c r="Q788" s="8">
        <v>0.0</v>
      </c>
      <c r="R788" s="18">
        <f t="shared" si="6"/>
        <v>96.9</v>
      </c>
      <c r="S788" s="19" t="s">
        <v>29</v>
      </c>
      <c r="T788" s="19" t="s">
        <v>30</v>
      </c>
      <c r="U788" s="36" t="s">
        <v>707</v>
      </c>
      <c r="V788" s="37"/>
      <c r="W788" s="7"/>
      <c r="X788" s="7"/>
      <c r="Y788" s="7"/>
      <c r="Z788" s="7"/>
      <c r="AA788" s="7"/>
    </row>
    <row r="789" ht="18.75" customHeight="1">
      <c r="A789" s="81" t="s">
        <v>1020</v>
      </c>
      <c r="B789" s="23" t="s">
        <v>1037</v>
      </c>
      <c r="C789" s="23" t="s">
        <v>1022</v>
      </c>
      <c r="D789" s="24">
        <v>654.0</v>
      </c>
      <c r="E789" s="23" t="s">
        <v>1053</v>
      </c>
      <c r="F789" s="25" t="s">
        <v>37</v>
      </c>
      <c r="G789" s="26" t="s">
        <v>27</v>
      </c>
      <c r="H789" s="27">
        <v>332.91</v>
      </c>
      <c r="I789" s="28">
        <v>10.0</v>
      </c>
      <c r="J789" s="29" t="s">
        <v>154</v>
      </c>
      <c r="K789" s="30">
        <v>0.8</v>
      </c>
      <c r="L789" s="31">
        <f t="shared" si="1"/>
        <v>8</v>
      </c>
      <c r="M789" s="31">
        <f t="shared" si="2"/>
        <v>2</v>
      </c>
      <c r="N789" s="32">
        <f t="shared" si="3"/>
        <v>266.328</v>
      </c>
      <c r="O789" s="32">
        <f t="shared" si="4"/>
        <v>66.582</v>
      </c>
      <c r="P789" s="32">
        <f t="shared" si="5"/>
        <v>66.582</v>
      </c>
      <c r="Q789" s="22">
        <v>0.0</v>
      </c>
      <c r="R789" s="32">
        <f t="shared" si="6"/>
        <v>33.291</v>
      </c>
      <c r="S789" s="33" t="s">
        <v>29</v>
      </c>
      <c r="T789" s="33" t="s">
        <v>30</v>
      </c>
      <c r="U789" s="34" t="s">
        <v>223</v>
      </c>
      <c r="V789" s="35"/>
      <c r="W789" s="7"/>
      <c r="X789" s="7"/>
      <c r="Y789" s="7"/>
      <c r="Z789" s="7"/>
      <c r="AA789" s="7"/>
    </row>
    <row r="790" ht="18.75" customHeight="1">
      <c r="A790" s="52" t="s">
        <v>1020</v>
      </c>
      <c r="B790" s="9" t="s">
        <v>1037</v>
      </c>
      <c r="C790" s="9" t="s">
        <v>199</v>
      </c>
      <c r="D790" s="10">
        <v>659.0</v>
      </c>
      <c r="E790" s="9" t="s">
        <v>1049</v>
      </c>
      <c r="F790" s="11" t="s">
        <v>37</v>
      </c>
      <c r="G790" s="12" t="s">
        <v>27</v>
      </c>
      <c r="H790" s="13">
        <v>332.91</v>
      </c>
      <c r="I790" s="14">
        <v>10.0</v>
      </c>
      <c r="J790" s="15" t="s">
        <v>38</v>
      </c>
      <c r="K790" s="16">
        <v>0.5</v>
      </c>
      <c r="L790" s="17">
        <f t="shared" si="1"/>
        <v>5</v>
      </c>
      <c r="M790" s="17">
        <f t="shared" si="2"/>
        <v>5</v>
      </c>
      <c r="N790" s="18">
        <f t="shared" si="3"/>
        <v>166.455</v>
      </c>
      <c r="O790" s="18">
        <f t="shared" si="4"/>
        <v>166.455</v>
      </c>
      <c r="P790" s="18">
        <f t="shared" si="5"/>
        <v>166.455</v>
      </c>
      <c r="Q790" s="8">
        <v>0.0</v>
      </c>
      <c r="R790" s="18">
        <f t="shared" si="6"/>
        <v>33.291</v>
      </c>
      <c r="S790" s="19" t="s">
        <v>29</v>
      </c>
      <c r="T790" s="19" t="s">
        <v>30</v>
      </c>
      <c r="U790" s="20" t="s">
        <v>223</v>
      </c>
      <c r="V790" s="37"/>
      <c r="W790" s="7"/>
      <c r="X790" s="7"/>
      <c r="Y790" s="7"/>
      <c r="Z790" s="7"/>
      <c r="AA790" s="7"/>
    </row>
    <row r="791" ht="18.75" customHeight="1">
      <c r="A791" s="81" t="s">
        <v>1020</v>
      </c>
      <c r="B791" s="23" t="s">
        <v>1037</v>
      </c>
      <c r="C791" s="23" t="s">
        <v>1022</v>
      </c>
      <c r="D791" s="24">
        <v>661.0</v>
      </c>
      <c r="E791" s="23" t="s">
        <v>1053</v>
      </c>
      <c r="F791" s="25" t="s">
        <v>37</v>
      </c>
      <c r="G791" s="26" t="s">
        <v>27</v>
      </c>
      <c r="H791" s="27">
        <v>332.91</v>
      </c>
      <c r="I791" s="28">
        <v>10.0</v>
      </c>
      <c r="J791" s="72" t="s">
        <v>289</v>
      </c>
      <c r="K791" s="30">
        <v>0.95</v>
      </c>
      <c r="L791" s="31">
        <f t="shared" si="1"/>
        <v>9.5</v>
      </c>
      <c r="M791" s="31">
        <f t="shared" si="2"/>
        <v>0.5</v>
      </c>
      <c r="N791" s="32">
        <f t="shared" si="3"/>
        <v>316.2645</v>
      </c>
      <c r="O791" s="32">
        <f t="shared" si="4"/>
        <v>16.6455</v>
      </c>
      <c r="P791" s="32">
        <f t="shared" si="5"/>
        <v>16.6455</v>
      </c>
      <c r="Q791" s="22">
        <v>0.0</v>
      </c>
      <c r="R791" s="32">
        <f t="shared" si="6"/>
        <v>33.291</v>
      </c>
      <c r="S791" s="33" t="s">
        <v>29</v>
      </c>
      <c r="T791" s="33" t="s">
        <v>30</v>
      </c>
      <c r="U791" s="34" t="s">
        <v>223</v>
      </c>
      <c r="V791" s="35"/>
      <c r="W791" s="7"/>
      <c r="X791" s="7"/>
      <c r="Y791" s="7"/>
      <c r="Z791" s="7"/>
      <c r="AA791" s="7"/>
    </row>
    <row r="792" ht="18.75" customHeight="1">
      <c r="A792" s="52" t="s">
        <v>1020</v>
      </c>
      <c r="B792" s="9" t="s">
        <v>1037</v>
      </c>
      <c r="C792" s="9" t="s">
        <v>230</v>
      </c>
      <c r="D792" s="10">
        <v>666.0</v>
      </c>
      <c r="E792" s="9" t="s">
        <v>1060</v>
      </c>
      <c r="F792" s="11" t="s">
        <v>37</v>
      </c>
      <c r="G792" s="12" t="s">
        <v>27</v>
      </c>
      <c r="H792" s="13">
        <v>285.0</v>
      </c>
      <c r="I792" s="14">
        <v>10.0</v>
      </c>
      <c r="J792" s="15" t="s">
        <v>38</v>
      </c>
      <c r="K792" s="16">
        <v>0.5</v>
      </c>
      <c r="L792" s="17">
        <f t="shared" si="1"/>
        <v>5</v>
      </c>
      <c r="M792" s="17">
        <f t="shared" si="2"/>
        <v>5</v>
      </c>
      <c r="N792" s="18">
        <f t="shared" si="3"/>
        <v>142.5</v>
      </c>
      <c r="O792" s="18">
        <f t="shared" si="4"/>
        <v>142.5</v>
      </c>
      <c r="P792" s="18">
        <f t="shared" si="5"/>
        <v>142.5</v>
      </c>
      <c r="Q792" s="8">
        <v>0.0</v>
      </c>
      <c r="R792" s="18">
        <f t="shared" si="6"/>
        <v>28.5</v>
      </c>
      <c r="S792" s="19" t="s">
        <v>29</v>
      </c>
      <c r="T792" s="19" t="s">
        <v>30</v>
      </c>
      <c r="U792" s="20" t="s">
        <v>527</v>
      </c>
      <c r="V792" s="37"/>
      <c r="W792" s="7"/>
      <c r="X792" s="7"/>
      <c r="Y792" s="7"/>
      <c r="Z792" s="7"/>
      <c r="AA792" s="7"/>
    </row>
    <row r="793" ht="18.75" customHeight="1">
      <c r="A793" s="81" t="s">
        <v>1020</v>
      </c>
      <c r="B793" s="23" t="s">
        <v>1037</v>
      </c>
      <c r="C793" s="23" t="s">
        <v>199</v>
      </c>
      <c r="D793" s="24">
        <v>671.0</v>
      </c>
      <c r="E793" s="23" t="s">
        <v>1053</v>
      </c>
      <c r="F793" s="25" t="s">
        <v>37</v>
      </c>
      <c r="G793" s="26" t="s">
        <v>27</v>
      </c>
      <c r="H793" s="27">
        <v>332.91</v>
      </c>
      <c r="I793" s="28">
        <v>10.0</v>
      </c>
      <c r="J793" s="72" t="s">
        <v>289</v>
      </c>
      <c r="K793" s="30">
        <v>0.95</v>
      </c>
      <c r="L793" s="31">
        <f t="shared" si="1"/>
        <v>9.5</v>
      </c>
      <c r="M793" s="31">
        <f t="shared" si="2"/>
        <v>0.5</v>
      </c>
      <c r="N793" s="32">
        <f t="shared" si="3"/>
        <v>316.2645</v>
      </c>
      <c r="O793" s="32">
        <f t="shared" si="4"/>
        <v>16.6455</v>
      </c>
      <c r="P793" s="32">
        <f t="shared" si="5"/>
        <v>16.6455</v>
      </c>
      <c r="Q793" s="22">
        <v>0.0</v>
      </c>
      <c r="R793" s="32">
        <f t="shared" si="6"/>
        <v>33.291</v>
      </c>
      <c r="S793" s="33" t="s">
        <v>29</v>
      </c>
      <c r="T793" s="33" t="s">
        <v>30</v>
      </c>
      <c r="U793" s="34" t="s">
        <v>223</v>
      </c>
      <c r="V793" s="35"/>
      <c r="W793" s="7"/>
      <c r="X793" s="7"/>
      <c r="Y793" s="7"/>
      <c r="Z793" s="7"/>
      <c r="AA793" s="7"/>
    </row>
    <row r="794" ht="18.75" customHeight="1">
      <c r="A794" s="52" t="s">
        <v>1020</v>
      </c>
      <c r="B794" s="9" t="s">
        <v>1037</v>
      </c>
      <c r="C794" s="9" t="s">
        <v>539</v>
      </c>
      <c r="D794" s="10">
        <v>675.0</v>
      </c>
      <c r="E794" s="9" t="s">
        <v>1049</v>
      </c>
      <c r="F794" s="11" t="s">
        <v>37</v>
      </c>
      <c r="G794" s="12" t="s">
        <v>27</v>
      </c>
      <c r="H794" s="13">
        <v>332.91</v>
      </c>
      <c r="I794" s="14">
        <v>10.0</v>
      </c>
      <c r="J794" s="15" t="s">
        <v>38</v>
      </c>
      <c r="K794" s="16">
        <v>0.5</v>
      </c>
      <c r="L794" s="17">
        <f t="shared" si="1"/>
        <v>5</v>
      </c>
      <c r="M794" s="17">
        <f t="shared" si="2"/>
        <v>5</v>
      </c>
      <c r="N794" s="18">
        <f t="shared" si="3"/>
        <v>166.455</v>
      </c>
      <c r="O794" s="18">
        <f t="shared" si="4"/>
        <v>166.455</v>
      </c>
      <c r="P794" s="18">
        <f t="shared" si="5"/>
        <v>166.455</v>
      </c>
      <c r="Q794" s="8">
        <v>0.0</v>
      </c>
      <c r="R794" s="18">
        <f t="shared" si="6"/>
        <v>33.291</v>
      </c>
      <c r="S794" s="19" t="s">
        <v>29</v>
      </c>
      <c r="T794" s="19" t="s">
        <v>30</v>
      </c>
      <c r="U794" s="20" t="s">
        <v>223</v>
      </c>
      <c r="V794" s="37"/>
      <c r="W794" s="7"/>
      <c r="X794" s="7"/>
      <c r="Y794" s="7"/>
      <c r="Z794" s="7"/>
      <c r="AA794" s="7"/>
    </row>
    <row r="795" ht="18.75" customHeight="1">
      <c r="A795" s="81" t="s">
        <v>1020</v>
      </c>
      <c r="B795" s="23" t="s">
        <v>1037</v>
      </c>
      <c r="C795" s="23" t="s">
        <v>230</v>
      </c>
      <c r="D795" s="24">
        <v>676.0</v>
      </c>
      <c r="E795" s="23" t="s">
        <v>1049</v>
      </c>
      <c r="F795" s="25" t="s">
        <v>37</v>
      </c>
      <c r="G795" s="26" t="s">
        <v>27</v>
      </c>
      <c r="H795" s="27">
        <v>332.91</v>
      </c>
      <c r="I795" s="28">
        <v>10.0</v>
      </c>
      <c r="J795" s="29" t="s">
        <v>38</v>
      </c>
      <c r="K795" s="30">
        <v>0.5</v>
      </c>
      <c r="L795" s="31">
        <f t="shared" si="1"/>
        <v>5</v>
      </c>
      <c r="M795" s="31">
        <f t="shared" si="2"/>
        <v>5</v>
      </c>
      <c r="N795" s="32">
        <f t="shared" si="3"/>
        <v>166.455</v>
      </c>
      <c r="O795" s="32">
        <f t="shared" si="4"/>
        <v>166.455</v>
      </c>
      <c r="P795" s="32">
        <f t="shared" si="5"/>
        <v>166.455</v>
      </c>
      <c r="Q795" s="22">
        <v>0.0</v>
      </c>
      <c r="R795" s="32">
        <f t="shared" si="6"/>
        <v>33.291</v>
      </c>
      <c r="S795" s="33" t="s">
        <v>29</v>
      </c>
      <c r="T795" s="33" t="s">
        <v>30</v>
      </c>
      <c r="U795" s="34" t="s">
        <v>223</v>
      </c>
      <c r="V795" s="35"/>
      <c r="W795" s="7"/>
      <c r="X795" s="7"/>
      <c r="Y795" s="7"/>
      <c r="Z795" s="7"/>
      <c r="AA795" s="7"/>
    </row>
    <row r="796" ht="18.75" customHeight="1">
      <c r="A796" s="52" t="s">
        <v>1020</v>
      </c>
      <c r="B796" s="9" t="s">
        <v>1037</v>
      </c>
      <c r="C796" s="9" t="s">
        <v>1022</v>
      </c>
      <c r="D796" s="10">
        <v>684.0</v>
      </c>
      <c r="E796" s="9" t="s">
        <v>1053</v>
      </c>
      <c r="F796" s="11" t="s">
        <v>37</v>
      </c>
      <c r="G796" s="12" t="s">
        <v>27</v>
      </c>
      <c r="H796" s="13">
        <v>332.91</v>
      </c>
      <c r="I796" s="14">
        <v>10.0</v>
      </c>
      <c r="J796" s="44" t="s">
        <v>289</v>
      </c>
      <c r="K796" s="16">
        <v>0.95</v>
      </c>
      <c r="L796" s="17">
        <f t="shared" si="1"/>
        <v>9.5</v>
      </c>
      <c r="M796" s="17">
        <f t="shared" si="2"/>
        <v>0.5</v>
      </c>
      <c r="N796" s="18">
        <f t="shared" si="3"/>
        <v>316.2645</v>
      </c>
      <c r="O796" s="18">
        <f t="shared" si="4"/>
        <v>16.6455</v>
      </c>
      <c r="P796" s="18">
        <f t="shared" si="5"/>
        <v>16.6455</v>
      </c>
      <c r="Q796" s="8">
        <v>0.0</v>
      </c>
      <c r="R796" s="18">
        <f t="shared" si="6"/>
        <v>33.291</v>
      </c>
      <c r="S796" s="19" t="s">
        <v>29</v>
      </c>
      <c r="T796" s="19" t="s">
        <v>30</v>
      </c>
      <c r="U796" s="20" t="s">
        <v>223</v>
      </c>
      <c r="V796" s="37"/>
      <c r="W796" s="7"/>
      <c r="X796" s="7"/>
      <c r="Y796" s="7"/>
      <c r="Z796" s="7"/>
      <c r="AA796" s="7"/>
    </row>
    <row r="797" ht="18.75" customHeight="1">
      <c r="A797" s="81" t="s">
        <v>1020</v>
      </c>
      <c r="B797" s="23" t="s">
        <v>1037</v>
      </c>
      <c r="C797" s="23" t="s">
        <v>1059</v>
      </c>
      <c r="D797" s="24">
        <v>687.0</v>
      </c>
      <c r="E797" s="23" t="s">
        <v>711</v>
      </c>
      <c r="F797" s="25" t="s">
        <v>37</v>
      </c>
      <c r="G797" s="40"/>
      <c r="H797" s="27">
        <v>969.0</v>
      </c>
      <c r="I797" s="28">
        <v>10.0</v>
      </c>
      <c r="J797" s="72" t="s">
        <v>54</v>
      </c>
      <c r="K797" s="30">
        <v>0.3</v>
      </c>
      <c r="L797" s="31">
        <f t="shared" si="1"/>
        <v>3</v>
      </c>
      <c r="M797" s="31">
        <f t="shared" si="2"/>
        <v>7</v>
      </c>
      <c r="N797" s="32">
        <f t="shared" si="3"/>
        <v>290.7</v>
      </c>
      <c r="O797" s="32">
        <f t="shared" si="4"/>
        <v>678.3</v>
      </c>
      <c r="P797" s="32">
        <f t="shared" si="5"/>
        <v>678.3</v>
      </c>
      <c r="Q797" s="22">
        <v>0.0</v>
      </c>
      <c r="R797" s="32">
        <f t="shared" si="6"/>
        <v>96.9</v>
      </c>
      <c r="S797" s="33" t="s">
        <v>29</v>
      </c>
      <c r="T797" s="33" t="s">
        <v>30</v>
      </c>
      <c r="U797" s="38" t="s">
        <v>707</v>
      </c>
      <c r="V797" s="35"/>
      <c r="W797" s="7"/>
      <c r="X797" s="7"/>
      <c r="Y797" s="7"/>
      <c r="Z797" s="7"/>
      <c r="AA797" s="7"/>
    </row>
    <row r="798" ht="18.75" customHeight="1">
      <c r="A798" s="52" t="s">
        <v>1020</v>
      </c>
      <c r="B798" s="9" t="s">
        <v>1037</v>
      </c>
      <c r="C798" s="9" t="s">
        <v>199</v>
      </c>
      <c r="D798" s="10">
        <v>688.0</v>
      </c>
      <c r="E798" s="9" t="s">
        <v>711</v>
      </c>
      <c r="F798" s="11" t="s">
        <v>37</v>
      </c>
      <c r="G798" s="39"/>
      <c r="H798" s="13">
        <v>969.0</v>
      </c>
      <c r="I798" s="14">
        <v>10.0</v>
      </c>
      <c r="J798" s="48" t="s">
        <v>63</v>
      </c>
      <c r="K798" s="16">
        <v>0.700000000000004</v>
      </c>
      <c r="L798" s="17">
        <f t="shared" si="1"/>
        <v>7</v>
      </c>
      <c r="M798" s="17">
        <f t="shared" si="2"/>
        <v>3</v>
      </c>
      <c r="N798" s="18">
        <f t="shared" si="3"/>
        <v>678.3</v>
      </c>
      <c r="O798" s="18">
        <f t="shared" si="4"/>
        <v>290.7</v>
      </c>
      <c r="P798" s="18">
        <f t="shared" si="5"/>
        <v>290.7</v>
      </c>
      <c r="Q798" s="8">
        <v>0.0</v>
      </c>
      <c r="R798" s="18">
        <f t="shared" si="6"/>
        <v>96.9</v>
      </c>
      <c r="S798" s="19" t="s">
        <v>29</v>
      </c>
      <c r="T798" s="19" t="s">
        <v>30</v>
      </c>
      <c r="U798" s="36" t="s">
        <v>707</v>
      </c>
      <c r="V798" s="37"/>
      <c r="W798" s="7"/>
      <c r="X798" s="7"/>
      <c r="Y798" s="7"/>
      <c r="Z798" s="7"/>
      <c r="AA798" s="7"/>
    </row>
    <row r="799" ht="18.75" customHeight="1">
      <c r="A799" s="81" t="s">
        <v>1020</v>
      </c>
      <c r="B799" s="23" t="s">
        <v>1037</v>
      </c>
      <c r="C799" s="23" t="s">
        <v>199</v>
      </c>
      <c r="D799" s="24">
        <v>689.0</v>
      </c>
      <c r="E799" s="23" t="s">
        <v>1061</v>
      </c>
      <c r="F799" s="25" t="s">
        <v>37</v>
      </c>
      <c r="G799" s="26" t="s">
        <v>27</v>
      </c>
      <c r="H799" s="27">
        <v>1300.12</v>
      </c>
      <c r="I799" s="28">
        <v>15.0</v>
      </c>
      <c r="J799" s="29" t="s">
        <v>38</v>
      </c>
      <c r="K799" s="30">
        <v>0.5</v>
      </c>
      <c r="L799" s="31">
        <f t="shared" si="1"/>
        <v>7.5</v>
      </c>
      <c r="M799" s="31">
        <f t="shared" si="2"/>
        <v>7.5</v>
      </c>
      <c r="N799" s="32">
        <f t="shared" si="3"/>
        <v>650.06</v>
      </c>
      <c r="O799" s="32">
        <f t="shared" si="4"/>
        <v>650.06</v>
      </c>
      <c r="P799" s="32">
        <f t="shared" si="5"/>
        <v>650.06</v>
      </c>
      <c r="Q799" s="22">
        <v>0.0</v>
      </c>
      <c r="R799" s="32">
        <f t="shared" si="6"/>
        <v>86.67466667</v>
      </c>
      <c r="S799" s="33" t="s">
        <v>29</v>
      </c>
      <c r="T799" s="33" t="s">
        <v>30</v>
      </c>
      <c r="U799" s="34" t="s">
        <v>459</v>
      </c>
      <c r="V799" s="35"/>
      <c r="W799" s="7"/>
      <c r="X799" s="7"/>
      <c r="Y799" s="7"/>
      <c r="Z799" s="7"/>
      <c r="AA799" s="7"/>
    </row>
    <row r="800" ht="18.75" customHeight="1">
      <c r="A800" s="52" t="s">
        <v>1020</v>
      </c>
      <c r="B800" s="9" t="s">
        <v>1037</v>
      </c>
      <c r="C800" s="9" t="s">
        <v>253</v>
      </c>
      <c r="D800" s="10">
        <v>690.0</v>
      </c>
      <c r="E800" s="9" t="s">
        <v>1062</v>
      </c>
      <c r="F800" s="11" t="s">
        <v>37</v>
      </c>
      <c r="G800" s="39"/>
      <c r="H800" s="13">
        <v>374.92</v>
      </c>
      <c r="I800" s="14">
        <v>10.0</v>
      </c>
      <c r="J800" s="15" t="s">
        <v>154</v>
      </c>
      <c r="K800" s="16">
        <v>0.8</v>
      </c>
      <c r="L800" s="17">
        <f t="shared" si="1"/>
        <v>8</v>
      </c>
      <c r="M800" s="17">
        <f t="shared" si="2"/>
        <v>2</v>
      </c>
      <c r="N800" s="18">
        <f t="shared" si="3"/>
        <v>299.936</v>
      </c>
      <c r="O800" s="18">
        <f t="shared" si="4"/>
        <v>74.984</v>
      </c>
      <c r="P800" s="18">
        <f t="shared" si="5"/>
        <v>74.984</v>
      </c>
      <c r="Q800" s="8">
        <v>0.0</v>
      </c>
      <c r="R800" s="18">
        <f t="shared" si="6"/>
        <v>37.492</v>
      </c>
      <c r="S800" s="19" t="s">
        <v>29</v>
      </c>
      <c r="T800" s="19" t="s">
        <v>30</v>
      </c>
      <c r="U800" s="36" t="s">
        <v>1055</v>
      </c>
      <c r="V800" s="37"/>
      <c r="W800" s="7"/>
      <c r="X800" s="7"/>
      <c r="Y800" s="7"/>
      <c r="Z800" s="7"/>
      <c r="AA800" s="7"/>
    </row>
    <row r="801" ht="18.75" customHeight="1">
      <c r="A801" s="81" t="s">
        <v>1020</v>
      </c>
      <c r="B801" s="23" t="s">
        <v>1037</v>
      </c>
      <c r="C801" s="23" t="s">
        <v>1022</v>
      </c>
      <c r="D801" s="24">
        <v>691.0</v>
      </c>
      <c r="E801" s="23" t="s">
        <v>1049</v>
      </c>
      <c r="F801" s="25" t="s">
        <v>37</v>
      </c>
      <c r="G801" s="26" t="s">
        <v>27</v>
      </c>
      <c r="H801" s="27">
        <v>332.91</v>
      </c>
      <c r="I801" s="28">
        <v>10.0</v>
      </c>
      <c r="J801" s="29" t="s">
        <v>38</v>
      </c>
      <c r="K801" s="30">
        <v>0.5</v>
      </c>
      <c r="L801" s="31">
        <f t="shared" si="1"/>
        <v>5</v>
      </c>
      <c r="M801" s="31">
        <f t="shared" si="2"/>
        <v>5</v>
      </c>
      <c r="N801" s="32">
        <f t="shared" si="3"/>
        <v>166.455</v>
      </c>
      <c r="O801" s="32">
        <f t="shared" si="4"/>
        <v>166.455</v>
      </c>
      <c r="P801" s="32">
        <f t="shared" si="5"/>
        <v>166.455</v>
      </c>
      <c r="Q801" s="22">
        <v>0.0</v>
      </c>
      <c r="R801" s="32">
        <f t="shared" si="6"/>
        <v>33.291</v>
      </c>
      <c r="S801" s="33" t="s">
        <v>29</v>
      </c>
      <c r="T801" s="33" t="s">
        <v>30</v>
      </c>
      <c r="U801" s="34" t="s">
        <v>223</v>
      </c>
      <c r="V801" s="35"/>
      <c r="W801" s="7"/>
      <c r="X801" s="7"/>
      <c r="Y801" s="7"/>
      <c r="Z801" s="7"/>
      <c r="AA801" s="7"/>
    </row>
    <row r="802" ht="18.75" customHeight="1">
      <c r="A802" s="52" t="s">
        <v>1020</v>
      </c>
      <c r="B802" s="9" t="s">
        <v>1037</v>
      </c>
      <c r="C802" s="9" t="s">
        <v>1039</v>
      </c>
      <c r="D802" s="10">
        <v>692.0</v>
      </c>
      <c r="E802" s="9" t="s">
        <v>1063</v>
      </c>
      <c r="F802" s="11" t="s">
        <v>37</v>
      </c>
      <c r="G802" s="12" t="s">
        <v>27</v>
      </c>
      <c r="H802" s="13">
        <v>332.91</v>
      </c>
      <c r="I802" s="14">
        <v>10.0</v>
      </c>
      <c r="J802" s="15" t="s">
        <v>38</v>
      </c>
      <c r="K802" s="16">
        <v>0.5</v>
      </c>
      <c r="L802" s="17">
        <f t="shared" si="1"/>
        <v>5</v>
      </c>
      <c r="M802" s="17">
        <f t="shared" si="2"/>
        <v>5</v>
      </c>
      <c r="N802" s="18">
        <f t="shared" si="3"/>
        <v>166.455</v>
      </c>
      <c r="O802" s="18">
        <f t="shared" si="4"/>
        <v>166.455</v>
      </c>
      <c r="P802" s="18">
        <f t="shared" si="5"/>
        <v>166.455</v>
      </c>
      <c r="Q802" s="8">
        <v>0.0</v>
      </c>
      <c r="R802" s="18">
        <f t="shared" si="6"/>
        <v>33.291</v>
      </c>
      <c r="S802" s="19" t="s">
        <v>29</v>
      </c>
      <c r="T802" s="19" t="s">
        <v>30</v>
      </c>
      <c r="U802" s="20" t="s">
        <v>223</v>
      </c>
      <c r="V802" s="37"/>
      <c r="W802" s="7"/>
      <c r="X802" s="7"/>
      <c r="Y802" s="7"/>
      <c r="Z802" s="7"/>
      <c r="AA802" s="7"/>
    </row>
    <row r="803" ht="18.75" customHeight="1">
      <c r="A803" s="81" t="s">
        <v>1020</v>
      </c>
      <c r="B803" s="23" t="s">
        <v>1037</v>
      </c>
      <c r="C803" s="23" t="s">
        <v>1048</v>
      </c>
      <c r="D803" s="24">
        <v>693.0</v>
      </c>
      <c r="E803" s="23" t="s">
        <v>1049</v>
      </c>
      <c r="F803" s="25" t="s">
        <v>37</v>
      </c>
      <c r="G803" s="26" t="s">
        <v>27</v>
      </c>
      <c r="H803" s="27">
        <v>332.91</v>
      </c>
      <c r="I803" s="28">
        <v>10.0</v>
      </c>
      <c r="J803" s="29" t="s">
        <v>38</v>
      </c>
      <c r="K803" s="30">
        <v>0.5</v>
      </c>
      <c r="L803" s="31">
        <f t="shared" si="1"/>
        <v>5</v>
      </c>
      <c r="M803" s="31">
        <f t="shared" si="2"/>
        <v>5</v>
      </c>
      <c r="N803" s="32">
        <f t="shared" si="3"/>
        <v>166.455</v>
      </c>
      <c r="O803" s="32">
        <f t="shared" si="4"/>
        <v>166.455</v>
      </c>
      <c r="P803" s="32">
        <f t="shared" si="5"/>
        <v>166.455</v>
      </c>
      <c r="Q803" s="22">
        <v>0.0</v>
      </c>
      <c r="R803" s="32">
        <f t="shared" si="6"/>
        <v>33.291</v>
      </c>
      <c r="S803" s="33" t="s">
        <v>29</v>
      </c>
      <c r="T803" s="33" t="s">
        <v>30</v>
      </c>
      <c r="U803" s="34" t="s">
        <v>223</v>
      </c>
      <c r="V803" s="35"/>
      <c r="W803" s="7"/>
      <c r="X803" s="7"/>
      <c r="Y803" s="7"/>
      <c r="Z803" s="7"/>
      <c r="AA803" s="7"/>
    </row>
    <row r="804" ht="18.75" customHeight="1">
      <c r="A804" s="52" t="s">
        <v>1020</v>
      </c>
      <c r="B804" s="9" t="s">
        <v>1037</v>
      </c>
      <c r="C804" s="9" t="s">
        <v>253</v>
      </c>
      <c r="D804" s="10">
        <v>702.0</v>
      </c>
      <c r="E804" s="9" t="s">
        <v>1064</v>
      </c>
      <c r="F804" s="11" t="s">
        <v>37</v>
      </c>
      <c r="G804" s="39"/>
      <c r="H804" s="13">
        <v>726.88</v>
      </c>
      <c r="I804" s="14">
        <v>10.0</v>
      </c>
      <c r="J804" s="15" t="s">
        <v>154</v>
      </c>
      <c r="K804" s="16">
        <v>0.8</v>
      </c>
      <c r="L804" s="17">
        <f t="shared" si="1"/>
        <v>8</v>
      </c>
      <c r="M804" s="17">
        <f t="shared" si="2"/>
        <v>2</v>
      </c>
      <c r="N804" s="18">
        <f t="shared" si="3"/>
        <v>581.504</v>
      </c>
      <c r="O804" s="18">
        <f t="shared" si="4"/>
        <v>145.376</v>
      </c>
      <c r="P804" s="18">
        <f t="shared" si="5"/>
        <v>145.376</v>
      </c>
      <c r="Q804" s="8">
        <v>0.0</v>
      </c>
      <c r="R804" s="18">
        <f t="shared" si="6"/>
        <v>72.688</v>
      </c>
      <c r="S804" s="19" t="s">
        <v>29</v>
      </c>
      <c r="T804" s="19" t="s">
        <v>30</v>
      </c>
      <c r="U804" s="36" t="s">
        <v>77</v>
      </c>
      <c r="V804" s="37"/>
      <c r="W804" s="7"/>
      <c r="X804" s="7"/>
      <c r="Y804" s="7"/>
      <c r="Z804" s="7"/>
      <c r="AA804" s="7"/>
    </row>
    <row r="805" ht="18.75" customHeight="1">
      <c r="A805" s="81" t="s">
        <v>1020</v>
      </c>
      <c r="B805" s="23" t="s">
        <v>1037</v>
      </c>
      <c r="C805" s="23" t="s">
        <v>1039</v>
      </c>
      <c r="D805" s="24">
        <v>704.0</v>
      </c>
      <c r="E805" s="23" t="s">
        <v>1065</v>
      </c>
      <c r="F805" s="25" t="s">
        <v>37</v>
      </c>
      <c r="G805" s="26" t="s">
        <v>27</v>
      </c>
      <c r="H805" s="27">
        <v>945.0</v>
      </c>
      <c r="I805" s="28">
        <v>15.0</v>
      </c>
      <c r="J805" s="41" t="s">
        <v>63</v>
      </c>
      <c r="K805" s="42">
        <v>0.700000000000004</v>
      </c>
      <c r="L805" s="31">
        <f t="shared" si="1"/>
        <v>10.5</v>
      </c>
      <c r="M805" s="31">
        <f t="shared" si="2"/>
        <v>4.5</v>
      </c>
      <c r="N805" s="32">
        <f t="shared" si="3"/>
        <v>661.5</v>
      </c>
      <c r="O805" s="32">
        <f t="shared" si="4"/>
        <v>283.5</v>
      </c>
      <c r="P805" s="32">
        <f t="shared" si="5"/>
        <v>283.5</v>
      </c>
      <c r="Q805" s="22">
        <v>0.0</v>
      </c>
      <c r="R805" s="32">
        <f t="shared" si="6"/>
        <v>63</v>
      </c>
      <c r="S805" s="33" t="s">
        <v>29</v>
      </c>
      <c r="T805" s="33" t="s">
        <v>30</v>
      </c>
      <c r="U805" s="34" t="s">
        <v>205</v>
      </c>
      <c r="V805" s="35"/>
      <c r="W805" s="7"/>
      <c r="X805" s="7"/>
      <c r="Y805" s="7"/>
      <c r="Z805" s="7"/>
      <c r="AA805" s="7"/>
    </row>
    <row r="806" ht="18.75" customHeight="1">
      <c r="A806" s="52" t="s">
        <v>1020</v>
      </c>
      <c r="B806" s="9" t="s">
        <v>1037</v>
      </c>
      <c r="C806" s="9" t="s">
        <v>1048</v>
      </c>
      <c r="D806" s="10">
        <v>1102.0</v>
      </c>
      <c r="E806" s="9" t="s">
        <v>1066</v>
      </c>
      <c r="F806" s="11" t="s">
        <v>26</v>
      </c>
      <c r="G806" s="12" t="s">
        <v>27</v>
      </c>
      <c r="H806" s="13">
        <v>37.9</v>
      </c>
      <c r="I806" s="14">
        <v>5.0</v>
      </c>
      <c r="J806" s="15" t="s">
        <v>38</v>
      </c>
      <c r="K806" s="16">
        <v>0.5</v>
      </c>
      <c r="L806" s="17">
        <f t="shared" si="1"/>
        <v>2.5</v>
      </c>
      <c r="M806" s="17">
        <f t="shared" si="2"/>
        <v>2.5</v>
      </c>
      <c r="N806" s="18">
        <f t="shared" si="3"/>
        <v>18.95</v>
      </c>
      <c r="O806" s="18">
        <f t="shared" si="4"/>
        <v>18.95</v>
      </c>
      <c r="P806" s="18">
        <f t="shared" si="5"/>
        <v>18.95</v>
      </c>
      <c r="Q806" s="8">
        <v>0.0</v>
      </c>
      <c r="R806" s="18">
        <f t="shared" si="6"/>
        <v>7.58</v>
      </c>
      <c r="S806" s="19" t="s">
        <v>29</v>
      </c>
      <c r="T806" s="19" t="s">
        <v>30</v>
      </c>
      <c r="U806" s="20" t="s">
        <v>302</v>
      </c>
      <c r="V806" s="37"/>
      <c r="W806" s="7"/>
      <c r="X806" s="7"/>
      <c r="Y806" s="7"/>
      <c r="Z806" s="7"/>
      <c r="AA806" s="7"/>
    </row>
    <row r="807" ht="18.75" customHeight="1">
      <c r="A807" s="81" t="s">
        <v>1020</v>
      </c>
      <c r="B807" s="23" t="s">
        <v>1067</v>
      </c>
      <c r="C807" s="23" t="s">
        <v>1068</v>
      </c>
      <c r="D807" s="24">
        <v>1730.0</v>
      </c>
      <c r="E807" s="23" t="s">
        <v>1069</v>
      </c>
      <c r="F807" s="25" t="s">
        <v>37</v>
      </c>
      <c r="G807" s="26" t="s">
        <v>27</v>
      </c>
      <c r="H807" s="65">
        <v>478.4</v>
      </c>
      <c r="I807" s="28">
        <v>10.0</v>
      </c>
      <c r="J807" s="29" t="s">
        <v>154</v>
      </c>
      <c r="K807" s="30">
        <v>0.8</v>
      </c>
      <c r="L807" s="31">
        <f t="shared" si="1"/>
        <v>8</v>
      </c>
      <c r="M807" s="31">
        <f t="shared" si="2"/>
        <v>2</v>
      </c>
      <c r="N807" s="32">
        <f t="shared" si="3"/>
        <v>382.72</v>
      </c>
      <c r="O807" s="32">
        <f t="shared" si="4"/>
        <v>95.68</v>
      </c>
      <c r="P807" s="32">
        <f t="shared" si="5"/>
        <v>95.68</v>
      </c>
      <c r="Q807" s="22">
        <v>0.0</v>
      </c>
      <c r="R807" s="32">
        <f t="shared" si="6"/>
        <v>47.84</v>
      </c>
      <c r="S807" s="33" t="s">
        <v>29</v>
      </c>
      <c r="T807" s="33" t="s">
        <v>30</v>
      </c>
      <c r="U807" s="86" t="s">
        <v>1070</v>
      </c>
      <c r="V807" s="35"/>
      <c r="W807" s="7"/>
      <c r="X807" s="7"/>
      <c r="Y807" s="7"/>
      <c r="Z807" s="7"/>
      <c r="AA807" s="7"/>
    </row>
    <row r="808" ht="18.75" customHeight="1">
      <c r="A808" s="52" t="s">
        <v>1020</v>
      </c>
      <c r="B808" s="9" t="s">
        <v>1021</v>
      </c>
      <c r="C808" s="9" t="s">
        <v>1071</v>
      </c>
      <c r="D808" s="10">
        <v>1880.0</v>
      </c>
      <c r="E808" s="9" t="s">
        <v>1072</v>
      </c>
      <c r="F808" s="11" t="s">
        <v>37</v>
      </c>
      <c r="G808" s="39"/>
      <c r="H808" s="87">
        <v>578.76</v>
      </c>
      <c r="I808" s="14">
        <v>10.0</v>
      </c>
      <c r="J808" s="15" t="s">
        <v>38</v>
      </c>
      <c r="K808" s="16">
        <v>0.5</v>
      </c>
      <c r="L808" s="17">
        <f t="shared" si="1"/>
        <v>5</v>
      </c>
      <c r="M808" s="17">
        <f t="shared" si="2"/>
        <v>5</v>
      </c>
      <c r="N808" s="18">
        <f t="shared" si="3"/>
        <v>289.38</v>
      </c>
      <c r="O808" s="18">
        <f t="shared" si="4"/>
        <v>289.38</v>
      </c>
      <c r="P808" s="18">
        <f t="shared" si="5"/>
        <v>289.38</v>
      </c>
      <c r="Q808" s="8">
        <v>0.0</v>
      </c>
      <c r="R808" s="18">
        <f t="shared" si="6"/>
        <v>57.876</v>
      </c>
      <c r="S808" s="19" t="s">
        <v>29</v>
      </c>
      <c r="T808" s="19" t="s">
        <v>30</v>
      </c>
      <c r="U808" s="85" t="s">
        <v>784</v>
      </c>
      <c r="V808" s="37"/>
      <c r="W808" s="7"/>
      <c r="X808" s="7"/>
      <c r="Y808" s="7"/>
      <c r="Z808" s="7"/>
      <c r="AA808" s="7"/>
    </row>
    <row r="809" ht="18.75" customHeight="1">
      <c r="A809" s="81" t="s">
        <v>1020</v>
      </c>
      <c r="B809" s="23" t="s">
        <v>1037</v>
      </c>
      <c r="C809" s="23" t="s">
        <v>199</v>
      </c>
      <c r="D809" s="24">
        <v>1891.0</v>
      </c>
      <c r="E809" s="23" t="s">
        <v>1073</v>
      </c>
      <c r="F809" s="25" t="s">
        <v>202</v>
      </c>
      <c r="G809" s="26" t="s">
        <v>27</v>
      </c>
      <c r="H809" s="27">
        <v>764.99</v>
      </c>
      <c r="I809" s="28">
        <v>5.0</v>
      </c>
      <c r="J809" s="45" t="s">
        <v>63</v>
      </c>
      <c r="K809" s="42">
        <v>0.700000000000004</v>
      </c>
      <c r="L809" s="31">
        <f t="shared" si="1"/>
        <v>3.5</v>
      </c>
      <c r="M809" s="31">
        <f t="shared" si="2"/>
        <v>1.5</v>
      </c>
      <c r="N809" s="32">
        <f t="shared" si="3"/>
        <v>535.493</v>
      </c>
      <c r="O809" s="32">
        <f t="shared" si="4"/>
        <v>229.497</v>
      </c>
      <c r="P809" s="32">
        <f t="shared" si="5"/>
        <v>229.497</v>
      </c>
      <c r="Q809" s="22">
        <v>0.0</v>
      </c>
      <c r="R809" s="32">
        <f t="shared" si="6"/>
        <v>152.998</v>
      </c>
      <c r="S809" s="33" t="s">
        <v>29</v>
      </c>
      <c r="T809" s="33" t="s">
        <v>30</v>
      </c>
      <c r="U809" s="34" t="s">
        <v>203</v>
      </c>
      <c r="V809" s="35"/>
      <c r="W809" s="7"/>
      <c r="X809" s="7"/>
      <c r="Y809" s="7"/>
      <c r="Z809" s="7"/>
      <c r="AA809" s="7"/>
    </row>
    <row r="810" ht="18.75" customHeight="1">
      <c r="A810" s="52" t="s">
        <v>1020</v>
      </c>
      <c r="B810" s="9" t="s">
        <v>1074</v>
      </c>
      <c r="C810" s="9" t="s">
        <v>1075</v>
      </c>
      <c r="D810" s="10">
        <v>1906.0</v>
      </c>
      <c r="E810" s="46" t="s">
        <v>1076</v>
      </c>
      <c r="F810" s="11" t="s">
        <v>26</v>
      </c>
      <c r="G810" s="12" t="s">
        <v>27</v>
      </c>
      <c r="H810" s="55">
        <v>1260.63</v>
      </c>
      <c r="I810" s="14">
        <v>10.0</v>
      </c>
      <c r="J810" s="15" t="s">
        <v>38</v>
      </c>
      <c r="K810" s="16">
        <v>0.5</v>
      </c>
      <c r="L810" s="17">
        <f t="shared" si="1"/>
        <v>5</v>
      </c>
      <c r="M810" s="17">
        <f t="shared" si="2"/>
        <v>5</v>
      </c>
      <c r="N810" s="18">
        <f t="shared" si="3"/>
        <v>630.315</v>
      </c>
      <c r="O810" s="18">
        <f t="shared" si="4"/>
        <v>630.315</v>
      </c>
      <c r="P810" s="18">
        <f t="shared" si="5"/>
        <v>630.315</v>
      </c>
      <c r="Q810" s="8">
        <v>0.0</v>
      </c>
      <c r="R810" s="18">
        <f t="shared" si="6"/>
        <v>126.063</v>
      </c>
      <c r="S810" s="19" t="s">
        <v>29</v>
      </c>
      <c r="T810" s="19" t="s">
        <v>30</v>
      </c>
      <c r="U810" s="20" t="s">
        <v>102</v>
      </c>
      <c r="V810" s="37"/>
      <c r="W810" s="7"/>
      <c r="X810" s="7"/>
      <c r="Y810" s="7"/>
      <c r="Z810" s="7"/>
      <c r="AA810" s="7"/>
    </row>
    <row r="811" ht="18.75" customHeight="1">
      <c r="A811" s="81" t="s">
        <v>1020</v>
      </c>
      <c r="B811" s="23" t="s">
        <v>1037</v>
      </c>
      <c r="C811" s="23" t="s">
        <v>539</v>
      </c>
      <c r="D811" s="24">
        <v>1945.0</v>
      </c>
      <c r="E811" s="23" t="s">
        <v>1077</v>
      </c>
      <c r="F811" s="25" t="s">
        <v>26</v>
      </c>
      <c r="G811" s="26" t="s">
        <v>27</v>
      </c>
      <c r="H811" s="27">
        <v>143.57</v>
      </c>
      <c r="I811" s="28">
        <v>5.0</v>
      </c>
      <c r="J811" s="29" t="s">
        <v>38</v>
      </c>
      <c r="K811" s="30">
        <v>0.5</v>
      </c>
      <c r="L811" s="31">
        <f t="shared" si="1"/>
        <v>2.5</v>
      </c>
      <c r="M811" s="31">
        <f t="shared" si="2"/>
        <v>2.5</v>
      </c>
      <c r="N811" s="32">
        <f t="shared" si="3"/>
        <v>71.785</v>
      </c>
      <c r="O811" s="32">
        <f t="shared" si="4"/>
        <v>71.785</v>
      </c>
      <c r="P811" s="32">
        <f t="shared" si="5"/>
        <v>71.785</v>
      </c>
      <c r="Q811" s="22">
        <v>0.0</v>
      </c>
      <c r="R811" s="32">
        <f t="shared" si="6"/>
        <v>28.714</v>
      </c>
      <c r="S811" s="33" t="s">
        <v>29</v>
      </c>
      <c r="T811" s="33" t="s">
        <v>30</v>
      </c>
      <c r="U811" s="34" t="s">
        <v>335</v>
      </c>
      <c r="V811" s="35"/>
      <c r="W811" s="7"/>
      <c r="X811" s="7"/>
      <c r="Y811" s="7"/>
      <c r="Z811" s="7"/>
      <c r="AA811" s="7"/>
    </row>
    <row r="812" ht="18.75" customHeight="1">
      <c r="A812" s="52" t="s">
        <v>1020</v>
      </c>
      <c r="B812" s="9" t="s">
        <v>1037</v>
      </c>
      <c r="C812" s="9" t="s">
        <v>1059</v>
      </c>
      <c r="D812" s="10">
        <v>1946.0</v>
      </c>
      <c r="E812" s="9" t="s">
        <v>1077</v>
      </c>
      <c r="F812" s="11" t="s">
        <v>26</v>
      </c>
      <c r="G812" s="12" t="s">
        <v>27</v>
      </c>
      <c r="H812" s="77">
        <v>143.57</v>
      </c>
      <c r="I812" s="14">
        <v>5.0</v>
      </c>
      <c r="J812" s="15" t="s">
        <v>38</v>
      </c>
      <c r="K812" s="16">
        <v>0.5</v>
      </c>
      <c r="L812" s="17">
        <f t="shared" si="1"/>
        <v>2.5</v>
      </c>
      <c r="M812" s="17">
        <f t="shared" si="2"/>
        <v>2.5</v>
      </c>
      <c r="N812" s="18">
        <f t="shared" si="3"/>
        <v>71.785</v>
      </c>
      <c r="O812" s="18">
        <f t="shared" si="4"/>
        <v>71.785</v>
      </c>
      <c r="P812" s="18">
        <f t="shared" si="5"/>
        <v>71.785</v>
      </c>
      <c r="Q812" s="8">
        <v>0.0</v>
      </c>
      <c r="R812" s="18">
        <f t="shared" si="6"/>
        <v>28.714</v>
      </c>
      <c r="S812" s="19" t="s">
        <v>29</v>
      </c>
      <c r="T812" s="19" t="s">
        <v>30</v>
      </c>
      <c r="U812" s="78" t="s">
        <v>335</v>
      </c>
      <c r="V812" s="37"/>
      <c r="W812" s="7"/>
      <c r="X812" s="7"/>
      <c r="Y812" s="7"/>
      <c r="Z812" s="7"/>
      <c r="AA812" s="7"/>
    </row>
    <row r="813" ht="18.75" customHeight="1">
      <c r="A813" s="81" t="s">
        <v>1020</v>
      </c>
      <c r="B813" s="23" t="s">
        <v>1028</v>
      </c>
      <c r="C813" s="23" t="s">
        <v>230</v>
      </c>
      <c r="D813" s="24">
        <v>2021.0</v>
      </c>
      <c r="E813" s="23" t="s">
        <v>1078</v>
      </c>
      <c r="F813" s="25" t="s">
        <v>37</v>
      </c>
      <c r="G813" s="40"/>
      <c r="H813" s="67">
        <v>1725.896</v>
      </c>
      <c r="I813" s="28">
        <v>10.0</v>
      </c>
      <c r="J813" s="29" t="s">
        <v>38</v>
      </c>
      <c r="K813" s="30">
        <v>0.5</v>
      </c>
      <c r="L813" s="31">
        <f t="shared" si="1"/>
        <v>5</v>
      </c>
      <c r="M813" s="31">
        <f t="shared" si="2"/>
        <v>5</v>
      </c>
      <c r="N813" s="32">
        <f t="shared" si="3"/>
        <v>862.948</v>
      </c>
      <c r="O813" s="32">
        <f t="shared" si="4"/>
        <v>862.948</v>
      </c>
      <c r="P813" s="32">
        <f t="shared" si="5"/>
        <v>862.948</v>
      </c>
      <c r="Q813" s="22">
        <v>0.0</v>
      </c>
      <c r="R813" s="32">
        <f t="shared" si="6"/>
        <v>172.5896</v>
      </c>
      <c r="S813" s="33" t="s">
        <v>29</v>
      </c>
      <c r="T813" s="33" t="s">
        <v>30</v>
      </c>
      <c r="U813" s="72" t="s">
        <v>1030</v>
      </c>
      <c r="V813" s="35"/>
      <c r="W813" s="7"/>
      <c r="X813" s="7"/>
      <c r="Y813" s="7"/>
      <c r="Z813" s="7"/>
      <c r="AA813" s="7"/>
    </row>
    <row r="814" ht="18.75" customHeight="1">
      <c r="A814" s="52" t="s">
        <v>1020</v>
      </c>
      <c r="B814" s="9" t="s">
        <v>1037</v>
      </c>
      <c r="C814" s="9" t="s">
        <v>253</v>
      </c>
      <c r="D814" s="10">
        <v>2060.0</v>
      </c>
      <c r="E814" s="9" t="s">
        <v>1079</v>
      </c>
      <c r="F814" s="11" t="s">
        <v>26</v>
      </c>
      <c r="G814" s="12" t="s">
        <v>27</v>
      </c>
      <c r="H814" s="13">
        <v>1389.99</v>
      </c>
      <c r="I814" s="14">
        <v>5.0</v>
      </c>
      <c r="J814" s="15" t="s">
        <v>28</v>
      </c>
      <c r="K814" s="16">
        <v>0.4</v>
      </c>
      <c r="L814" s="17">
        <f t="shared" si="1"/>
        <v>2</v>
      </c>
      <c r="M814" s="17">
        <f t="shared" si="2"/>
        <v>3</v>
      </c>
      <c r="N814" s="18">
        <f t="shared" si="3"/>
        <v>555.996</v>
      </c>
      <c r="O814" s="18">
        <f t="shared" si="4"/>
        <v>833.994</v>
      </c>
      <c r="P814" s="18">
        <f t="shared" si="5"/>
        <v>833.994</v>
      </c>
      <c r="Q814" s="8">
        <v>0.0</v>
      </c>
      <c r="R814" s="18">
        <f t="shared" si="6"/>
        <v>277.998</v>
      </c>
      <c r="S814" s="19" t="s">
        <v>29</v>
      </c>
      <c r="T814" s="19" t="s">
        <v>30</v>
      </c>
      <c r="U814" s="20" t="s">
        <v>59</v>
      </c>
      <c r="V814" s="37"/>
      <c r="W814" s="7"/>
      <c r="X814" s="7"/>
      <c r="Y814" s="7"/>
      <c r="Z814" s="7"/>
      <c r="AA814" s="7"/>
    </row>
    <row r="815" ht="18.75" customHeight="1">
      <c r="A815" s="81" t="s">
        <v>1020</v>
      </c>
      <c r="B815" s="23" t="s">
        <v>1037</v>
      </c>
      <c r="C815" s="23" t="s">
        <v>230</v>
      </c>
      <c r="D815" s="24">
        <v>2066.0</v>
      </c>
      <c r="E815" s="23" t="s">
        <v>1080</v>
      </c>
      <c r="F815" s="25" t="s">
        <v>26</v>
      </c>
      <c r="G815" s="26" t="s">
        <v>27</v>
      </c>
      <c r="H815" s="88">
        <v>840.42</v>
      </c>
      <c r="I815" s="28">
        <v>10.0</v>
      </c>
      <c r="J815" s="45" t="s">
        <v>63</v>
      </c>
      <c r="K815" s="30">
        <v>0.700000000000004</v>
      </c>
      <c r="L815" s="31">
        <f t="shared" si="1"/>
        <v>7</v>
      </c>
      <c r="M815" s="31">
        <f t="shared" si="2"/>
        <v>3</v>
      </c>
      <c r="N815" s="32">
        <f t="shared" si="3"/>
        <v>588.294</v>
      </c>
      <c r="O815" s="32">
        <f t="shared" si="4"/>
        <v>252.126</v>
      </c>
      <c r="P815" s="32">
        <f t="shared" si="5"/>
        <v>252.126</v>
      </c>
      <c r="Q815" s="22">
        <v>0.0</v>
      </c>
      <c r="R815" s="32">
        <f t="shared" si="6"/>
        <v>84.042</v>
      </c>
      <c r="S815" s="33" t="s">
        <v>29</v>
      </c>
      <c r="T815" s="33" t="s">
        <v>30</v>
      </c>
      <c r="U815" s="66" t="s">
        <v>102</v>
      </c>
      <c r="V815" s="35"/>
      <c r="W815" s="7"/>
      <c r="X815" s="7"/>
      <c r="Y815" s="7"/>
      <c r="Z815" s="7"/>
      <c r="AA815" s="7"/>
    </row>
    <row r="816" ht="18.75" customHeight="1">
      <c r="A816" s="52" t="s">
        <v>1020</v>
      </c>
      <c r="B816" s="9" t="s">
        <v>1081</v>
      </c>
      <c r="C816" s="9" t="s">
        <v>1082</v>
      </c>
      <c r="D816" s="10">
        <v>2076.0</v>
      </c>
      <c r="E816" s="9" t="s">
        <v>1083</v>
      </c>
      <c r="F816" s="11" t="s">
        <v>37</v>
      </c>
      <c r="G816" s="39"/>
      <c r="H816" s="87">
        <v>578.76</v>
      </c>
      <c r="I816" s="14">
        <v>10.0</v>
      </c>
      <c r="J816" s="48" t="s">
        <v>63</v>
      </c>
      <c r="K816" s="16">
        <v>0.700000000000004</v>
      </c>
      <c r="L816" s="17">
        <f t="shared" si="1"/>
        <v>7</v>
      </c>
      <c r="M816" s="17">
        <f t="shared" si="2"/>
        <v>3</v>
      </c>
      <c r="N816" s="18">
        <f t="shared" si="3"/>
        <v>405.132</v>
      </c>
      <c r="O816" s="18">
        <f t="shared" si="4"/>
        <v>173.628</v>
      </c>
      <c r="P816" s="18">
        <f t="shared" si="5"/>
        <v>173.628</v>
      </c>
      <c r="Q816" s="8">
        <v>0.0</v>
      </c>
      <c r="R816" s="18">
        <f t="shared" si="6"/>
        <v>57.876</v>
      </c>
      <c r="S816" s="19" t="s">
        <v>29</v>
      </c>
      <c r="T816" s="19" t="s">
        <v>30</v>
      </c>
      <c r="U816" s="85" t="s">
        <v>784</v>
      </c>
      <c r="V816" s="37"/>
      <c r="W816" s="7"/>
      <c r="X816" s="7"/>
      <c r="Y816" s="7"/>
      <c r="Z816" s="7"/>
      <c r="AA816" s="7"/>
    </row>
    <row r="817" ht="18.75" customHeight="1">
      <c r="A817" s="81" t="s">
        <v>1020</v>
      </c>
      <c r="B817" s="23" t="s">
        <v>1084</v>
      </c>
      <c r="C817" s="23" t="s">
        <v>1085</v>
      </c>
      <c r="D817" s="24">
        <v>2078.0</v>
      </c>
      <c r="E817" s="23" t="s">
        <v>1086</v>
      </c>
      <c r="F817" s="25" t="s">
        <v>37</v>
      </c>
      <c r="G817" s="40"/>
      <c r="H817" s="65">
        <v>683.99</v>
      </c>
      <c r="I817" s="28">
        <v>10.0</v>
      </c>
      <c r="J817" s="29" t="s">
        <v>38</v>
      </c>
      <c r="K817" s="30">
        <v>0.5</v>
      </c>
      <c r="L817" s="31">
        <f t="shared" si="1"/>
        <v>5</v>
      </c>
      <c r="M817" s="31">
        <f t="shared" si="2"/>
        <v>5</v>
      </c>
      <c r="N817" s="32">
        <f t="shared" si="3"/>
        <v>341.995</v>
      </c>
      <c r="O817" s="32">
        <f t="shared" si="4"/>
        <v>341.995</v>
      </c>
      <c r="P817" s="32">
        <f t="shared" si="5"/>
        <v>341.995</v>
      </c>
      <c r="Q817" s="22">
        <v>0.0</v>
      </c>
      <c r="R817" s="32">
        <f t="shared" si="6"/>
        <v>68.399</v>
      </c>
      <c r="S817" s="33" t="s">
        <v>29</v>
      </c>
      <c r="T817" s="33" t="s">
        <v>30</v>
      </c>
      <c r="U817" s="86" t="s">
        <v>1087</v>
      </c>
      <c r="V817" s="35"/>
      <c r="W817" s="7"/>
      <c r="X817" s="7"/>
      <c r="Y817" s="7"/>
      <c r="Z817" s="7"/>
      <c r="AA817" s="7"/>
    </row>
    <row r="818" ht="18.75" customHeight="1">
      <c r="A818" s="52" t="s">
        <v>1020</v>
      </c>
      <c r="B818" s="9" t="s">
        <v>1037</v>
      </c>
      <c r="C818" s="9" t="s">
        <v>1048</v>
      </c>
      <c r="D818" s="10">
        <v>2121.0</v>
      </c>
      <c r="E818" s="9" t="s">
        <v>1088</v>
      </c>
      <c r="F818" s="11" t="s">
        <v>26</v>
      </c>
      <c r="G818" s="39"/>
      <c r="H818" s="87">
        <v>1725.896</v>
      </c>
      <c r="I818" s="14">
        <v>5.0</v>
      </c>
      <c r="J818" s="15" t="s">
        <v>38</v>
      </c>
      <c r="K818" s="16">
        <v>0.5</v>
      </c>
      <c r="L818" s="17">
        <f t="shared" si="1"/>
        <v>2.5</v>
      </c>
      <c r="M818" s="17">
        <f t="shared" si="2"/>
        <v>2.5</v>
      </c>
      <c r="N818" s="18">
        <f t="shared" si="3"/>
        <v>862.948</v>
      </c>
      <c r="O818" s="18">
        <f t="shared" si="4"/>
        <v>862.948</v>
      </c>
      <c r="P818" s="18">
        <f t="shared" si="5"/>
        <v>862.948</v>
      </c>
      <c r="Q818" s="8">
        <v>0.0</v>
      </c>
      <c r="R818" s="18">
        <f t="shared" si="6"/>
        <v>345.1792</v>
      </c>
      <c r="S818" s="19" t="s">
        <v>29</v>
      </c>
      <c r="T818" s="19" t="s">
        <v>30</v>
      </c>
      <c r="U818" s="85" t="s">
        <v>1030</v>
      </c>
      <c r="V818" s="37"/>
      <c r="W818" s="7"/>
      <c r="X818" s="7"/>
      <c r="Y818" s="7"/>
      <c r="Z818" s="7"/>
      <c r="AA818" s="7"/>
    </row>
    <row r="819" ht="18.75" customHeight="1">
      <c r="A819" s="81" t="s">
        <v>1020</v>
      </c>
      <c r="B819" s="23" t="s">
        <v>1089</v>
      </c>
      <c r="C819" s="23" t="s">
        <v>1090</v>
      </c>
      <c r="D819" s="24">
        <v>2287.0</v>
      </c>
      <c r="E819" s="23" t="s">
        <v>1091</v>
      </c>
      <c r="F819" s="25" t="s">
        <v>37</v>
      </c>
      <c r="G819" s="26" t="s">
        <v>27</v>
      </c>
      <c r="H819" s="65">
        <v>285.0</v>
      </c>
      <c r="I819" s="28">
        <v>5.0</v>
      </c>
      <c r="J819" s="29" t="s">
        <v>38</v>
      </c>
      <c r="K819" s="30">
        <v>0.5</v>
      </c>
      <c r="L819" s="31">
        <f t="shared" si="1"/>
        <v>2.5</v>
      </c>
      <c r="M819" s="31">
        <f t="shared" si="2"/>
        <v>2.5</v>
      </c>
      <c r="N819" s="32">
        <f t="shared" si="3"/>
        <v>142.5</v>
      </c>
      <c r="O819" s="32">
        <f t="shared" si="4"/>
        <v>142.5</v>
      </c>
      <c r="P819" s="32">
        <f t="shared" si="5"/>
        <v>142.5</v>
      </c>
      <c r="Q819" s="22">
        <v>0.0</v>
      </c>
      <c r="R819" s="32">
        <f t="shared" si="6"/>
        <v>57</v>
      </c>
      <c r="S819" s="33" t="s">
        <v>29</v>
      </c>
      <c r="T819" s="33" t="s">
        <v>30</v>
      </c>
      <c r="U819" s="66" t="s">
        <v>527</v>
      </c>
      <c r="V819" s="35"/>
      <c r="W819" s="7"/>
      <c r="X819" s="7"/>
      <c r="Y819" s="7"/>
      <c r="Z819" s="7"/>
      <c r="AA819" s="7"/>
    </row>
    <row r="820" ht="18.75" customHeight="1">
      <c r="A820" s="52" t="s">
        <v>1020</v>
      </c>
      <c r="B820" s="9" t="s">
        <v>1092</v>
      </c>
      <c r="C820" s="9" t="s">
        <v>1093</v>
      </c>
      <c r="D820" s="10">
        <v>2290.0</v>
      </c>
      <c r="E820" s="9" t="s">
        <v>1094</v>
      </c>
      <c r="F820" s="11" t="s">
        <v>26</v>
      </c>
      <c r="G820" s="39"/>
      <c r="H820" s="87">
        <v>2101.05</v>
      </c>
      <c r="I820" s="14">
        <v>5.0</v>
      </c>
      <c r="J820" s="15" t="s">
        <v>154</v>
      </c>
      <c r="K820" s="16">
        <v>0.8</v>
      </c>
      <c r="L820" s="17">
        <f t="shared" si="1"/>
        <v>4</v>
      </c>
      <c r="M820" s="17">
        <f t="shared" si="2"/>
        <v>1</v>
      </c>
      <c r="N820" s="18">
        <f t="shared" si="3"/>
        <v>1680.84</v>
      </c>
      <c r="O820" s="18">
        <f t="shared" si="4"/>
        <v>420.21</v>
      </c>
      <c r="P820" s="18">
        <f t="shared" si="5"/>
        <v>420.21</v>
      </c>
      <c r="Q820" s="8">
        <v>0.0</v>
      </c>
      <c r="R820" s="18">
        <f t="shared" si="6"/>
        <v>420.21</v>
      </c>
      <c r="S820" s="19" t="s">
        <v>29</v>
      </c>
      <c r="T820" s="19" t="s">
        <v>30</v>
      </c>
      <c r="U820" s="89" t="s">
        <v>102</v>
      </c>
      <c r="V820" s="37"/>
      <c r="W820" s="7"/>
      <c r="X820" s="7"/>
      <c r="Y820" s="7"/>
      <c r="Z820" s="7"/>
      <c r="AA820" s="7"/>
    </row>
    <row r="821" ht="18.75" customHeight="1">
      <c r="A821" s="81" t="s">
        <v>1020</v>
      </c>
      <c r="B821" s="23" t="s">
        <v>1095</v>
      </c>
      <c r="C821" s="23" t="s">
        <v>253</v>
      </c>
      <c r="D821" s="24">
        <v>2326.0</v>
      </c>
      <c r="E821" s="23" t="s">
        <v>1096</v>
      </c>
      <c r="F821" s="25" t="s">
        <v>37</v>
      </c>
      <c r="G821" s="40"/>
      <c r="H821" s="27">
        <v>244.13</v>
      </c>
      <c r="I821" s="28">
        <v>5.0</v>
      </c>
      <c r="J821" s="72" t="s">
        <v>54</v>
      </c>
      <c r="K821" s="30">
        <v>0.3</v>
      </c>
      <c r="L821" s="31">
        <f t="shared" si="1"/>
        <v>1.5</v>
      </c>
      <c r="M821" s="31">
        <f t="shared" si="2"/>
        <v>3.5</v>
      </c>
      <c r="N821" s="32">
        <f t="shared" si="3"/>
        <v>73.239</v>
      </c>
      <c r="O821" s="32">
        <f t="shared" si="4"/>
        <v>170.891</v>
      </c>
      <c r="P821" s="32">
        <f t="shared" si="5"/>
        <v>170.891</v>
      </c>
      <c r="Q821" s="22">
        <v>0.0</v>
      </c>
      <c r="R821" s="32">
        <f t="shared" si="6"/>
        <v>48.826</v>
      </c>
      <c r="S821" s="33" t="s">
        <v>29</v>
      </c>
      <c r="T821" s="33" t="s">
        <v>30</v>
      </c>
      <c r="U821" s="38" t="s">
        <v>1097</v>
      </c>
      <c r="V821" s="35"/>
      <c r="W821" s="7"/>
      <c r="X821" s="7"/>
      <c r="Y821" s="7"/>
      <c r="Z821" s="7"/>
      <c r="AA821" s="7"/>
    </row>
    <row r="822" ht="18.75" customHeight="1">
      <c r="A822" s="52" t="s">
        <v>1020</v>
      </c>
      <c r="B822" s="9" t="s">
        <v>1037</v>
      </c>
      <c r="C822" s="9" t="s">
        <v>1022</v>
      </c>
      <c r="D822" s="10">
        <v>2505.0</v>
      </c>
      <c r="E822" s="9" t="s">
        <v>1098</v>
      </c>
      <c r="F822" s="11" t="s">
        <v>26</v>
      </c>
      <c r="G822" s="39"/>
      <c r="H822" s="77">
        <v>280.23</v>
      </c>
      <c r="I822" s="14">
        <v>10.0</v>
      </c>
      <c r="J822" s="15" t="s">
        <v>28</v>
      </c>
      <c r="K822" s="16">
        <v>0.4</v>
      </c>
      <c r="L822" s="17">
        <f t="shared" si="1"/>
        <v>4</v>
      </c>
      <c r="M822" s="17">
        <f t="shared" si="2"/>
        <v>6</v>
      </c>
      <c r="N822" s="18">
        <f t="shared" si="3"/>
        <v>112.092</v>
      </c>
      <c r="O822" s="18">
        <f t="shared" si="4"/>
        <v>168.138</v>
      </c>
      <c r="P822" s="18">
        <f t="shared" si="5"/>
        <v>168.138</v>
      </c>
      <c r="Q822" s="8">
        <v>0.0</v>
      </c>
      <c r="R822" s="18">
        <f t="shared" si="6"/>
        <v>28.023</v>
      </c>
      <c r="S822" s="19" t="s">
        <v>29</v>
      </c>
      <c r="T822" s="19" t="s">
        <v>30</v>
      </c>
      <c r="U822" s="90" t="s">
        <v>1099</v>
      </c>
      <c r="V822" s="37"/>
      <c r="W822" s="7"/>
      <c r="X822" s="7"/>
      <c r="Y822" s="7"/>
      <c r="Z822" s="7"/>
      <c r="AA822" s="7"/>
    </row>
    <row r="823" ht="18.75" customHeight="1">
      <c r="A823" s="81" t="s">
        <v>1020</v>
      </c>
      <c r="B823" s="23" t="s">
        <v>1037</v>
      </c>
      <c r="C823" s="23" t="s">
        <v>1022</v>
      </c>
      <c r="D823" s="91">
        <v>2529.0</v>
      </c>
      <c r="E823" s="92" t="s">
        <v>1100</v>
      </c>
      <c r="F823" s="25" t="s">
        <v>37</v>
      </c>
      <c r="G823" s="26"/>
      <c r="H823" s="67">
        <v>101.86</v>
      </c>
      <c r="I823" s="28">
        <v>10.0</v>
      </c>
      <c r="J823" s="29" t="s">
        <v>38</v>
      </c>
      <c r="K823" s="30">
        <v>0.5</v>
      </c>
      <c r="L823" s="31">
        <f t="shared" si="1"/>
        <v>5</v>
      </c>
      <c r="M823" s="31">
        <f t="shared" si="2"/>
        <v>5</v>
      </c>
      <c r="N823" s="32">
        <f t="shared" si="3"/>
        <v>50.93</v>
      </c>
      <c r="O823" s="32">
        <f t="shared" si="4"/>
        <v>50.93</v>
      </c>
      <c r="P823" s="32">
        <f t="shared" si="5"/>
        <v>50.93</v>
      </c>
      <c r="Q823" s="22">
        <v>0.0</v>
      </c>
      <c r="R823" s="32">
        <f t="shared" si="6"/>
        <v>10.186</v>
      </c>
      <c r="S823" s="33" t="s">
        <v>29</v>
      </c>
      <c r="T823" s="33" t="s">
        <v>30</v>
      </c>
      <c r="U823" s="72" t="s">
        <v>544</v>
      </c>
      <c r="V823" s="35"/>
      <c r="W823" s="7"/>
      <c r="X823" s="7"/>
      <c r="Y823" s="7"/>
      <c r="Z823" s="7"/>
      <c r="AA823" s="7"/>
    </row>
    <row r="824" ht="18.75" customHeight="1">
      <c r="A824" s="52" t="s">
        <v>1020</v>
      </c>
      <c r="B824" s="9" t="s">
        <v>1037</v>
      </c>
      <c r="C824" s="9" t="s">
        <v>230</v>
      </c>
      <c r="D824" s="10">
        <v>2556.0</v>
      </c>
      <c r="E824" s="9" t="s">
        <v>1101</v>
      </c>
      <c r="F824" s="11" t="s">
        <v>26</v>
      </c>
      <c r="G824" s="12" t="s">
        <v>27</v>
      </c>
      <c r="H824" s="55">
        <v>840.42</v>
      </c>
      <c r="I824" s="14">
        <v>10.0</v>
      </c>
      <c r="J824" s="15" t="s">
        <v>81</v>
      </c>
      <c r="K824" s="16">
        <v>0.15</v>
      </c>
      <c r="L824" s="17">
        <f t="shared" si="1"/>
        <v>1.5</v>
      </c>
      <c r="M824" s="17">
        <f t="shared" si="2"/>
        <v>8.5</v>
      </c>
      <c r="N824" s="18">
        <f t="shared" si="3"/>
        <v>126.063</v>
      </c>
      <c r="O824" s="18">
        <f t="shared" si="4"/>
        <v>714.357</v>
      </c>
      <c r="P824" s="18">
        <f t="shared" si="5"/>
        <v>714.357</v>
      </c>
      <c r="Q824" s="8">
        <v>0.0</v>
      </c>
      <c r="R824" s="18">
        <f t="shared" si="6"/>
        <v>84.042</v>
      </c>
      <c r="S824" s="19" t="s">
        <v>29</v>
      </c>
      <c r="T824" s="19" t="s">
        <v>30</v>
      </c>
      <c r="U824" s="20" t="s">
        <v>102</v>
      </c>
      <c r="V824" s="37"/>
      <c r="W824" s="7"/>
      <c r="X824" s="7"/>
      <c r="Y824" s="7"/>
      <c r="Z824" s="7"/>
      <c r="AA824" s="7"/>
    </row>
    <row r="825" ht="18.75" customHeight="1">
      <c r="A825" s="81" t="s">
        <v>1020</v>
      </c>
      <c r="B825" s="23" t="s">
        <v>1037</v>
      </c>
      <c r="C825" s="23"/>
      <c r="D825" s="24">
        <v>2826.0</v>
      </c>
      <c r="E825" s="23" t="s">
        <v>1102</v>
      </c>
      <c r="F825" s="25" t="s">
        <v>26</v>
      </c>
      <c r="G825" s="40"/>
      <c r="H825" s="27">
        <v>4064.0</v>
      </c>
      <c r="I825" s="28">
        <v>5.0</v>
      </c>
      <c r="J825" s="72" t="s">
        <v>54</v>
      </c>
      <c r="K825" s="30">
        <v>0.3</v>
      </c>
      <c r="L825" s="31">
        <f t="shared" si="1"/>
        <v>1.5</v>
      </c>
      <c r="M825" s="31">
        <f t="shared" si="2"/>
        <v>3.5</v>
      </c>
      <c r="N825" s="32">
        <f t="shared" si="3"/>
        <v>1219.2</v>
      </c>
      <c r="O825" s="32">
        <f t="shared" si="4"/>
        <v>2844.8</v>
      </c>
      <c r="P825" s="32">
        <f t="shared" si="5"/>
        <v>2844.8</v>
      </c>
      <c r="Q825" s="22">
        <v>0.0</v>
      </c>
      <c r="R825" s="32">
        <f t="shared" si="6"/>
        <v>812.8</v>
      </c>
      <c r="S825" s="33" t="s">
        <v>29</v>
      </c>
      <c r="T825" s="33" t="s">
        <v>30</v>
      </c>
      <c r="U825" s="38" t="s">
        <v>1103</v>
      </c>
      <c r="V825" s="35"/>
      <c r="W825" s="7"/>
      <c r="X825" s="7"/>
      <c r="Y825" s="7"/>
      <c r="Z825" s="7"/>
      <c r="AA825" s="7"/>
    </row>
    <row r="826" ht="18.75" customHeight="1">
      <c r="A826" s="52" t="s">
        <v>1104</v>
      </c>
      <c r="B826" s="9" t="s">
        <v>1105</v>
      </c>
      <c r="C826" s="9" t="s">
        <v>1106</v>
      </c>
      <c r="D826" s="10">
        <v>66.0</v>
      </c>
      <c r="E826" s="9" t="s">
        <v>1107</v>
      </c>
      <c r="F826" s="11" t="s">
        <v>26</v>
      </c>
      <c r="G826" s="39"/>
      <c r="H826" s="13">
        <v>1725.896</v>
      </c>
      <c r="I826" s="14">
        <v>5.0</v>
      </c>
      <c r="J826" s="48" t="s">
        <v>63</v>
      </c>
      <c r="K826" s="16">
        <v>0.700000000000004</v>
      </c>
      <c r="L826" s="17">
        <f t="shared" si="1"/>
        <v>3.5</v>
      </c>
      <c r="M826" s="17">
        <f t="shared" si="2"/>
        <v>1.5</v>
      </c>
      <c r="N826" s="18">
        <f t="shared" si="3"/>
        <v>1208.1272</v>
      </c>
      <c r="O826" s="18">
        <f t="shared" si="4"/>
        <v>517.7688</v>
      </c>
      <c r="P826" s="18">
        <f t="shared" si="5"/>
        <v>517.7688</v>
      </c>
      <c r="Q826" s="8">
        <v>0.0</v>
      </c>
      <c r="R826" s="18">
        <f t="shared" si="6"/>
        <v>345.1792</v>
      </c>
      <c r="S826" s="19" t="s">
        <v>29</v>
      </c>
      <c r="T826" s="19" t="s">
        <v>30</v>
      </c>
      <c r="U826" s="36" t="s">
        <v>1030</v>
      </c>
      <c r="V826" s="37"/>
      <c r="W826" s="7"/>
      <c r="X826" s="7"/>
      <c r="Y826" s="7"/>
      <c r="Z826" s="7"/>
      <c r="AA826" s="7"/>
    </row>
    <row r="827" ht="18.75" customHeight="1">
      <c r="A827" s="81" t="s">
        <v>1104</v>
      </c>
      <c r="B827" s="23" t="s">
        <v>1105</v>
      </c>
      <c r="C827" s="23" t="s">
        <v>1106</v>
      </c>
      <c r="D827" s="24">
        <v>67.0</v>
      </c>
      <c r="E827" s="23" t="s">
        <v>1108</v>
      </c>
      <c r="F827" s="25" t="s">
        <v>26</v>
      </c>
      <c r="G827" s="40"/>
      <c r="H827" s="27">
        <v>2588.844</v>
      </c>
      <c r="I827" s="28">
        <v>5.0</v>
      </c>
      <c r="J827" s="45" t="s">
        <v>63</v>
      </c>
      <c r="K827" s="30">
        <v>0.700000000000004</v>
      </c>
      <c r="L827" s="31">
        <f t="shared" si="1"/>
        <v>3.5</v>
      </c>
      <c r="M827" s="31">
        <f t="shared" si="2"/>
        <v>1.5</v>
      </c>
      <c r="N827" s="32">
        <f t="shared" si="3"/>
        <v>1812.1908</v>
      </c>
      <c r="O827" s="32">
        <f t="shared" si="4"/>
        <v>776.6532</v>
      </c>
      <c r="P827" s="32">
        <f t="shared" si="5"/>
        <v>776.6532</v>
      </c>
      <c r="Q827" s="22">
        <v>0.0</v>
      </c>
      <c r="R827" s="32">
        <f t="shared" si="6"/>
        <v>517.7688</v>
      </c>
      <c r="S827" s="33" t="s">
        <v>29</v>
      </c>
      <c r="T827" s="33" t="s">
        <v>30</v>
      </c>
      <c r="U827" s="38" t="s">
        <v>1030</v>
      </c>
      <c r="V827" s="35"/>
      <c r="W827" s="7"/>
      <c r="X827" s="7"/>
      <c r="Y827" s="7"/>
      <c r="Z827" s="7"/>
      <c r="AA827" s="7"/>
    </row>
    <row r="828" ht="18.75" customHeight="1">
      <c r="A828" s="52" t="s">
        <v>1104</v>
      </c>
      <c r="B828" s="9" t="s">
        <v>1074</v>
      </c>
      <c r="C828" s="9" t="s">
        <v>1109</v>
      </c>
      <c r="D828" s="10">
        <v>1373.0</v>
      </c>
      <c r="E828" s="9" t="s">
        <v>1110</v>
      </c>
      <c r="F828" s="11" t="s">
        <v>26</v>
      </c>
      <c r="G828" s="12" t="s">
        <v>27</v>
      </c>
      <c r="H828" s="13">
        <v>695.0</v>
      </c>
      <c r="I828" s="14">
        <v>5.0</v>
      </c>
      <c r="J828" s="48" t="s">
        <v>63</v>
      </c>
      <c r="K828" s="16">
        <v>0.700000000000004</v>
      </c>
      <c r="L828" s="17">
        <f t="shared" si="1"/>
        <v>3.5</v>
      </c>
      <c r="M828" s="17">
        <f t="shared" si="2"/>
        <v>1.5</v>
      </c>
      <c r="N828" s="18">
        <f t="shared" si="3"/>
        <v>486.5</v>
      </c>
      <c r="O828" s="18">
        <f t="shared" si="4"/>
        <v>208.5</v>
      </c>
      <c r="P828" s="18">
        <f t="shared" si="5"/>
        <v>208.5</v>
      </c>
      <c r="Q828" s="8">
        <v>0.0</v>
      </c>
      <c r="R828" s="18">
        <f t="shared" si="6"/>
        <v>139</v>
      </c>
      <c r="S828" s="19" t="s">
        <v>29</v>
      </c>
      <c r="T828" s="19" t="s">
        <v>30</v>
      </c>
      <c r="U828" s="36" t="s">
        <v>971</v>
      </c>
      <c r="V828" s="37"/>
      <c r="W828" s="7"/>
      <c r="X828" s="7"/>
      <c r="Y828" s="7"/>
      <c r="Z828" s="7"/>
      <c r="AA828" s="7"/>
    </row>
    <row r="829" ht="18.75" customHeight="1">
      <c r="A829" s="81" t="s">
        <v>1104</v>
      </c>
      <c r="B829" s="23" t="s">
        <v>1074</v>
      </c>
      <c r="C829" s="23" t="s">
        <v>253</v>
      </c>
      <c r="D829" s="24">
        <v>1724.0</v>
      </c>
      <c r="E829" s="23" t="s">
        <v>1111</v>
      </c>
      <c r="F829" s="25" t="s">
        <v>26</v>
      </c>
      <c r="G829" s="26" t="s">
        <v>27</v>
      </c>
      <c r="H829" s="27">
        <v>1749.0</v>
      </c>
      <c r="I829" s="28">
        <v>10.0</v>
      </c>
      <c r="J829" s="29" t="s">
        <v>28</v>
      </c>
      <c r="K829" s="30">
        <v>0.4</v>
      </c>
      <c r="L829" s="31">
        <f t="shared" si="1"/>
        <v>4</v>
      </c>
      <c r="M829" s="31">
        <f t="shared" si="2"/>
        <v>6</v>
      </c>
      <c r="N829" s="32">
        <f t="shared" si="3"/>
        <v>699.6</v>
      </c>
      <c r="O829" s="32">
        <f t="shared" si="4"/>
        <v>1049.4</v>
      </c>
      <c r="P829" s="32">
        <f t="shared" si="5"/>
        <v>1049.4</v>
      </c>
      <c r="Q829" s="22">
        <v>0.0</v>
      </c>
      <c r="R829" s="32">
        <f t="shared" si="6"/>
        <v>174.9</v>
      </c>
      <c r="S829" s="33" t="s">
        <v>29</v>
      </c>
      <c r="T829" s="33" t="s">
        <v>30</v>
      </c>
      <c r="U829" s="34" t="s">
        <v>255</v>
      </c>
      <c r="V829" s="35"/>
      <c r="W829" s="7"/>
      <c r="X829" s="7"/>
      <c r="Y829" s="7"/>
      <c r="Z829" s="7"/>
      <c r="AA829" s="7"/>
    </row>
    <row r="830" ht="18.75" customHeight="1">
      <c r="A830" s="52" t="s">
        <v>1104</v>
      </c>
      <c r="B830" s="9" t="s">
        <v>1074</v>
      </c>
      <c r="C830" s="9" t="s">
        <v>1109</v>
      </c>
      <c r="D830" s="10">
        <v>1856.0</v>
      </c>
      <c r="E830" s="9" t="s">
        <v>1112</v>
      </c>
      <c r="F830" s="11" t="s">
        <v>37</v>
      </c>
      <c r="G830" s="39"/>
      <c r="H830" s="13">
        <v>703.56</v>
      </c>
      <c r="I830" s="14">
        <v>10.0</v>
      </c>
      <c r="J830" s="15" t="s">
        <v>28</v>
      </c>
      <c r="K830" s="16">
        <v>0.4</v>
      </c>
      <c r="L830" s="17">
        <f t="shared" si="1"/>
        <v>4</v>
      </c>
      <c r="M830" s="17">
        <f t="shared" si="2"/>
        <v>6</v>
      </c>
      <c r="N830" s="18">
        <f t="shared" si="3"/>
        <v>281.424</v>
      </c>
      <c r="O830" s="18">
        <f t="shared" si="4"/>
        <v>422.136</v>
      </c>
      <c r="P830" s="18">
        <f t="shared" si="5"/>
        <v>422.136</v>
      </c>
      <c r="Q830" s="8">
        <v>0.0</v>
      </c>
      <c r="R830" s="18">
        <f t="shared" si="6"/>
        <v>70.356</v>
      </c>
      <c r="S830" s="19" t="s">
        <v>29</v>
      </c>
      <c r="T830" s="19" t="s">
        <v>30</v>
      </c>
      <c r="U830" s="36" t="s">
        <v>1113</v>
      </c>
      <c r="V830" s="37"/>
      <c r="W830" s="7"/>
      <c r="X830" s="7"/>
      <c r="Y830" s="7"/>
      <c r="Z830" s="7"/>
      <c r="AA830" s="7"/>
    </row>
    <row r="831" ht="18.75" customHeight="1">
      <c r="A831" s="81" t="s">
        <v>1104</v>
      </c>
      <c r="B831" s="23" t="s">
        <v>1074</v>
      </c>
      <c r="C831" s="23" t="s">
        <v>1075</v>
      </c>
      <c r="D831" s="91">
        <v>1907.0</v>
      </c>
      <c r="E831" s="23" t="s">
        <v>1114</v>
      </c>
      <c r="F831" s="25" t="s">
        <v>26</v>
      </c>
      <c r="G831" s="26" t="s">
        <v>27</v>
      </c>
      <c r="H831" s="56">
        <v>1260.63</v>
      </c>
      <c r="I831" s="28">
        <v>10.0</v>
      </c>
      <c r="J831" s="29" t="s">
        <v>38</v>
      </c>
      <c r="K831" s="30">
        <v>0.5</v>
      </c>
      <c r="L831" s="31">
        <f t="shared" si="1"/>
        <v>5</v>
      </c>
      <c r="M831" s="31">
        <f t="shared" si="2"/>
        <v>5</v>
      </c>
      <c r="N831" s="32">
        <f t="shared" si="3"/>
        <v>630.315</v>
      </c>
      <c r="O831" s="32">
        <f t="shared" si="4"/>
        <v>630.315</v>
      </c>
      <c r="P831" s="32">
        <f t="shared" si="5"/>
        <v>630.315</v>
      </c>
      <c r="Q831" s="22">
        <v>0.0</v>
      </c>
      <c r="R831" s="32">
        <f t="shared" si="6"/>
        <v>126.063</v>
      </c>
      <c r="S831" s="33" t="s">
        <v>29</v>
      </c>
      <c r="T831" s="33" t="s">
        <v>30</v>
      </c>
      <c r="U831" s="34" t="s">
        <v>1115</v>
      </c>
      <c r="V831" s="35"/>
      <c r="W831" s="7"/>
      <c r="X831" s="7"/>
      <c r="Y831" s="7"/>
      <c r="Z831" s="7"/>
      <c r="AA831" s="7"/>
    </row>
    <row r="832" ht="18.75" customHeight="1">
      <c r="A832" s="52" t="s">
        <v>1104</v>
      </c>
      <c r="B832" s="9" t="s">
        <v>1074</v>
      </c>
      <c r="C832" s="9" t="s">
        <v>1116</v>
      </c>
      <c r="D832" s="10">
        <v>1908.0</v>
      </c>
      <c r="E832" s="9" t="s">
        <v>1117</v>
      </c>
      <c r="F832" s="11" t="s">
        <v>26</v>
      </c>
      <c r="G832" s="12" t="s">
        <v>27</v>
      </c>
      <c r="H832" s="13">
        <v>785.82</v>
      </c>
      <c r="I832" s="14">
        <v>5.0</v>
      </c>
      <c r="J832" s="15" t="s">
        <v>38</v>
      </c>
      <c r="K832" s="16">
        <v>0.5</v>
      </c>
      <c r="L832" s="17">
        <f t="shared" si="1"/>
        <v>2.5</v>
      </c>
      <c r="M832" s="17">
        <f t="shared" si="2"/>
        <v>2.5</v>
      </c>
      <c r="N832" s="18">
        <f t="shared" si="3"/>
        <v>392.91</v>
      </c>
      <c r="O832" s="18">
        <f t="shared" si="4"/>
        <v>392.91</v>
      </c>
      <c r="P832" s="18">
        <f t="shared" si="5"/>
        <v>392.91</v>
      </c>
      <c r="Q832" s="8">
        <v>0.0</v>
      </c>
      <c r="R832" s="18">
        <f t="shared" si="6"/>
        <v>157.164</v>
      </c>
      <c r="S832" s="19" t="s">
        <v>29</v>
      </c>
      <c r="T832" s="19" t="s">
        <v>30</v>
      </c>
      <c r="U832" s="20" t="s">
        <v>220</v>
      </c>
      <c r="V832" s="37"/>
      <c r="W832" s="7"/>
      <c r="X832" s="7"/>
      <c r="Y832" s="7"/>
      <c r="Z832" s="7"/>
      <c r="AA832" s="7"/>
    </row>
    <row r="833" ht="18.75" customHeight="1">
      <c r="A833" s="81" t="s">
        <v>1104</v>
      </c>
      <c r="B833" s="23" t="s">
        <v>1074</v>
      </c>
      <c r="C833" s="23" t="s">
        <v>1116</v>
      </c>
      <c r="D833" s="24">
        <v>1909.0</v>
      </c>
      <c r="E833" s="23" t="s">
        <v>1118</v>
      </c>
      <c r="F833" s="25" t="s">
        <v>26</v>
      </c>
      <c r="G833" s="26" t="s">
        <v>27</v>
      </c>
      <c r="H833" s="65">
        <v>1178.73</v>
      </c>
      <c r="I833" s="28">
        <v>10.0</v>
      </c>
      <c r="J833" s="29" t="s">
        <v>38</v>
      </c>
      <c r="K833" s="30">
        <v>0.5</v>
      </c>
      <c r="L833" s="31">
        <f t="shared" si="1"/>
        <v>5</v>
      </c>
      <c r="M833" s="31">
        <f t="shared" si="2"/>
        <v>5</v>
      </c>
      <c r="N833" s="32">
        <f t="shared" si="3"/>
        <v>589.365</v>
      </c>
      <c r="O833" s="32">
        <f t="shared" si="4"/>
        <v>589.365</v>
      </c>
      <c r="P833" s="32">
        <f t="shared" si="5"/>
        <v>589.365</v>
      </c>
      <c r="Q833" s="22">
        <v>0.0</v>
      </c>
      <c r="R833" s="32">
        <f t="shared" si="6"/>
        <v>117.873</v>
      </c>
      <c r="S833" s="33" t="s">
        <v>29</v>
      </c>
      <c r="T833" s="33" t="s">
        <v>30</v>
      </c>
      <c r="U833" s="66" t="s">
        <v>220</v>
      </c>
      <c r="V833" s="35"/>
      <c r="W833" s="7"/>
      <c r="X833" s="7"/>
      <c r="Y833" s="7"/>
      <c r="Z833" s="7"/>
      <c r="AA833" s="7"/>
    </row>
    <row r="834" ht="18.75" customHeight="1">
      <c r="A834" s="52" t="s">
        <v>1104</v>
      </c>
      <c r="B834" s="9" t="s">
        <v>1074</v>
      </c>
      <c r="C834" s="46" t="s">
        <v>1119</v>
      </c>
      <c r="D834" s="93">
        <v>1910.0</v>
      </c>
      <c r="E834" s="52" t="s">
        <v>1120</v>
      </c>
      <c r="F834" s="11" t="s">
        <v>26</v>
      </c>
      <c r="G834" s="12"/>
      <c r="H834" s="87">
        <v>1389.99</v>
      </c>
      <c r="I834" s="14">
        <v>5.0</v>
      </c>
      <c r="J834" s="15" t="s">
        <v>38</v>
      </c>
      <c r="K834" s="16">
        <v>0.5</v>
      </c>
      <c r="L834" s="17">
        <f t="shared" si="1"/>
        <v>2.5</v>
      </c>
      <c r="M834" s="17">
        <f t="shared" si="2"/>
        <v>2.5</v>
      </c>
      <c r="N834" s="18">
        <f t="shared" si="3"/>
        <v>694.995</v>
      </c>
      <c r="O834" s="18">
        <f t="shared" si="4"/>
        <v>694.995</v>
      </c>
      <c r="P834" s="18">
        <f t="shared" si="5"/>
        <v>694.995</v>
      </c>
      <c r="Q834" s="8">
        <v>0.0</v>
      </c>
      <c r="R834" s="18">
        <f t="shared" si="6"/>
        <v>277.998</v>
      </c>
      <c r="S834" s="19" t="s">
        <v>29</v>
      </c>
      <c r="T834" s="19" t="s">
        <v>30</v>
      </c>
      <c r="U834" s="89" t="s">
        <v>59</v>
      </c>
      <c r="V834" s="37"/>
      <c r="W834" s="7"/>
      <c r="X834" s="7"/>
      <c r="Y834" s="7"/>
      <c r="Z834" s="7"/>
      <c r="AA834" s="7"/>
    </row>
    <row r="835" ht="18.75" customHeight="1">
      <c r="A835" s="81" t="s">
        <v>1104</v>
      </c>
      <c r="B835" s="23" t="s">
        <v>1074</v>
      </c>
      <c r="C835" s="23" t="s">
        <v>1121</v>
      </c>
      <c r="D835" s="24">
        <v>1912.0</v>
      </c>
      <c r="E835" s="23" t="s">
        <v>1117</v>
      </c>
      <c r="F835" s="25" t="s">
        <v>26</v>
      </c>
      <c r="G835" s="26" t="s">
        <v>27</v>
      </c>
      <c r="H835" s="27">
        <v>785.82</v>
      </c>
      <c r="I835" s="28">
        <v>5.0</v>
      </c>
      <c r="J835" s="29" t="s">
        <v>38</v>
      </c>
      <c r="K835" s="30">
        <v>0.5</v>
      </c>
      <c r="L835" s="31">
        <f t="shared" si="1"/>
        <v>2.5</v>
      </c>
      <c r="M835" s="31">
        <f t="shared" si="2"/>
        <v>2.5</v>
      </c>
      <c r="N835" s="32">
        <f t="shared" si="3"/>
        <v>392.91</v>
      </c>
      <c r="O835" s="32">
        <f t="shared" si="4"/>
        <v>392.91</v>
      </c>
      <c r="P835" s="32">
        <f t="shared" si="5"/>
        <v>392.91</v>
      </c>
      <c r="Q835" s="22">
        <v>0.0</v>
      </c>
      <c r="R835" s="32">
        <f t="shared" si="6"/>
        <v>157.164</v>
      </c>
      <c r="S835" s="33" t="s">
        <v>29</v>
      </c>
      <c r="T835" s="33" t="s">
        <v>30</v>
      </c>
      <c r="U835" s="34" t="s">
        <v>220</v>
      </c>
      <c r="V835" s="35"/>
      <c r="W835" s="7"/>
      <c r="X835" s="7"/>
      <c r="Y835" s="7"/>
      <c r="Z835" s="7"/>
      <c r="AA835" s="7"/>
    </row>
    <row r="836" ht="18.75" customHeight="1">
      <c r="A836" s="52" t="s">
        <v>1104</v>
      </c>
      <c r="B836" s="9" t="s">
        <v>1074</v>
      </c>
      <c r="C836" s="9" t="s">
        <v>1121</v>
      </c>
      <c r="D836" s="10">
        <v>1913.0</v>
      </c>
      <c r="E836" s="9" t="s">
        <v>1118</v>
      </c>
      <c r="F836" s="11" t="s">
        <v>26</v>
      </c>
      <c r="G836" s="12" t="s">
        <v>27</v>
      </c>
      <c r="H836" s="13">
        <v>1178.73</v>
      </c>
      <c r="I836" s="14">
        <v>10.0</v>
      </c>
      <c r="J836" s="15" t="s">
        <v>38</v>
      </c>
      <c r="K836" s="16">
        <v>0.5</v>
      </c>
      <c r="L836" s="17">
        <f t="shared" si="1"/>
        <v>5</v>
      </c>
      <c r="M836" s="17">
        <f t="shared" si="2"/>
        <v>5</v>
      </c>
      <c r="N836" s="18">
        <f t="shared" si="3"/>
        <v>589.365</v>
      </c>
      <c r="O836" s="18">
        <f t="shared" si="4"/>
        <v>589.365</v>
      </c>
      <c r="P836" s="18">
        <f t="shared" si="5"/>
        <v>589.365</v>
      </c>
      <c r="Q836" s="8">
        <v>0.0</v>
      </c>
      <c r="R836" s="18">
        <f t="shared" si="6"/>
        <v>117.873</v>
      </c>
      <c r="S836" s="19" t="s">
        <v>29</v>
      </c>
      <c r="T836" s="19" t="s">
        <v>30</v>
      </c>
      <c r="U836" s="20" t="s">
        <v>220</v>
      </c>
      <c r="V836" s="37"/>
      <c r="W836" s="7"/>
      <c r="X836" s="7"/>
      <c r="Y836" s="7"/>
      <c r="Z836" s="7"/>
      <c r="AA836" s="7"/>
    </row>
    <row r="837" ht="18.75" customHeight="1">
      <c r="A837" s="81" t="s">
        <v>1104</v>
      </c>
      <c r="B837" s="23" t="s">
        <v>1074</v>
      </c>
      <c r="C837" s="23" t="s">
        <v>1122</v>
      </c>
      <c r="D837" s="24">
        <v>1914.0</v>
      </c>
      <c r="E837" s="23" t="s">
        <v>1117</v>
      </c>
      <c r="F837" s="25" t="s">
        <v>26</v>
      </c>
      <c r="G837" s="26" t="s">
        <v>27</v>
      </c>
      <c r="H837" s="27">
        <v>785.82</v>
      </c>
      <c r="I837" s="28">
        <v>5.0</v>
      </c>
      <c r="J837" s="29" t="s">
        <v>38</v>
      </c>
      <c r="K837" s="30">
        <v>0.5</v>
      </c>
      <c r="L837" s="31">
        <f t="shared" si="1"/>
        <v>2.5</v>
      </c>
      <c r="M837" s="31">
        <f t="shared" si="2"/>
        <v>2.5</v>
      </c>
      <c r="N837" s="32">
        <f t="shared" si="3"/>
        <v>392.91</v>
      </c>
      <c r="O837" s="32">
        <f t="shared" si="4"/>
        <v>392.91</v>
      </c>
      <c r="P837" s="32">
        <f t="shared" si="5"/>
        <v>392.91</v>
      </c>
      <c r="Q837" s="22">
        <v>0.0</v>
      </c>
      <c r="R837" s="32">
        <f t="shared" si="6"/>
        <v>157.164</v>
      </c>
      <c r="S837" s="33" t="s">
        <v>29</v>
      </c>
      <c r="T837" s="33" t="s">
        <v>30</v>
      </c>
      <c r="U837" s="34" t="s">
        <v>220</v>
      </c>
      <c r="V837" s="35"/>
      <c r="W837" s="7"/>
      <c r="X837" s="7"/>
      <c r="Y837" s="7"/>
      <c r="Z837" s="7"/>
      <c r="AA837" s="7"/>
    </row>
    <row r="838" ht="18.75" customHeight="1">
      <c r="A838" s="52" t="s">
        <v>1104</v>
      </c>
      <c r="B838" s="9" t="s">
        <v>1074</v>
      </c>
      <c r="C838" s="9" t="s">
        <v>1122</v>
      </c>
      <c r="D838" s="10">
        <v>1915.0</v>
      </c>
      <c r="E838" s="9" t="s">
        <v>1118</v>
      </c>
      <c r="F838" s="11" t="s">
        <v>26</v>
      </c>
      <c r="G838" s="12" t="s">
        <v>27</v>
      </c>
      <c r="H838" s="13">
        <v>1178.73</v>
      </c>
      <c r="I838" s="14">
        <v>10.0</v>
      </c>
      <c r="J838" s="15" t="s">
        <v>38</v>
      </c>
      <c r="K838" s="16">
        <v>0.5</v>
      </c>
      <c r="L838" s="17">
        <f t="shared" si="1"/>
        <v>5</v>
      </c>
      <c r="M838" s="17">
        <f t="shared" si="2"/>
        <v>5</v>
      </c>
      <c r="N838" s="18">
        <f t="shared" si="3"/>
        <v>589.365</v>
      </c>
      <c r="O838" s="18">
        <f t="shared" si="4"/>
        <v>589.365</v>
      </c>
      <c r="P838" s="18">
        <f t="shared" si="5"/>
        <v>589.365</v>
      </c>
      <c r="Q838" s="8">
        <v>0.0</v>
      </c>
      <c r="R838" s="18">
        <f t="shared" si="6"/>
        <v>117.873</v>
      </c>
      <c r="S838" s="19" t="s">
        <v>29</v>
      </c>
      <c r="T838" s="19" t="s">
        <v>30</v>
      </c>
      <c r="U838" s="20" t="s">
        <v>220</v>
      </c>
      <c r="V838" s="37"/>
      <c r="W838" s="7"/>
      <c r="X838" s="7"/>
      <c r="Y838" s="7"/>
      <c r="Z838" s="7"/>
      <c r="AA838" s="7"/>
    </row>
    <row r="839" ht="18.75" customHeight="1">
      <c r="A839" s="81" t="s">
        <v>1104</v>
      </c>
      <c r="B839" s="23" t="s">
        <v>1074</v>
      </c>
      <c r="C839" s="23" t="s">
        <v>230</v>
      </c>
      <c r="D839" s="24">
        <v>1916.0</v>
      </c>
      <c r="E839" s="23" t="s">
        <v>1123</v>
      </c>
      <c r="F839" s="25" t="s">
        <v>26</v>
      </c>
      <c r="G839" s="26" t="s">
        <v>27</v>
      </c>
      <c r="H839" s="56">
        <v>840.42</v>
      </c>
      <c r="I839" s="28">
        <v>10.0</v>
      </c>
      <c r="J839" s="29" t="s">
        <v>38</v>
      </c>
      <c r="K839" s="30">
        <v>0.5</v>
      </c>
      <c r="L839" s="31">
        <f t="shared" si="1"/>
        <v>5</v>
      </c>
      <c r="M839" s="31">
        <f t="shared" si="2"/>
        <v>5</v>
      </c>
      <c r="N839" s="32">
        <f t="shared" si="3"/>
        <v>420.21</v>
      </c>
      <c r="O839" s="32">
        <f t="shared" si="4"/>
        <v>420.21</v>
      </c>
      <c r="P839" s="32">
        <f t="shared" si="5"/>
        <v>420.21</v>
      </c>
      <c r="Q839" s="22">
        <v>0.0</v>
      </c>
      <c r="R839" s="32">
        <f t="shared" si="6"/>
        <v>84.042</v>
      </c>
      <c r="S839" s="33" t="s">
        <v>29</v>
      </c>
      <c r="T839" s="33" t="s">
        <v>30</v>
      </c>
      <c r="U839" s="34" t="s">
        <v>102</v>
      </c>
      <c r="V839" s="35"/>
      <c r="W839" s="7"/>
      <c r="X839" s="7"/>
      <c r="Y839" s="7"/>
      <c r="Z839" s="7"/>
      <c r="AA839" s="7"/>
    </row>
    <row r="840" ht="18.75" customHeight="1">
      <c r="A840" s="52" t="s">
        <v>1104</v>
      </c>
      <c r="B840" s="9" t="s">
        <v>1074</v>
      </c>
      <c r="C840" s="9" t="s">
        <v>230</v>
      </c>
      <c r="D840" s="10">
        <v>1917.0</v>
      </c>
      <c r="E840" s="9" t="s">
        <v>1114</v>
      </c>
      <c r="F840" s="11" t="s">
        <v>26</v>
      </c>
      <c r="G840" s="12" t="s">
        <v>27</v>
      </c>
      <c r="H840" s="55">
        <v>1260.63</v>
      </c>
      <c r="I840" s="14">
        <v>10.0</v>
      </c>
      <c r="J840" s="15" t="s">
        <v>38</v>
      </c>
      <c r="K840" s="16">
        <v>0.5</v>
      </c>
      <c r="L840" s="17">
        <f t="shared" si="1"/>
        <v>5</v>
      </c>
      <c r="M840" s="17">
        <f t="shared" si="2"/>
        <v>5</v>
      </c>
      <c r="N840" s="18">
        <f t="shared" si="3"/>
        <v>630.315</v>
      </c>
      <c r="O840" s="18">
        <f t="shared" si="4"/>
        <v>630.315</v>
      </c>
      <c r="P840" s="18">
        <f t="shared" si="5"/>
        <v>630.315</v>
      </c>
      <c r="Q840" s="8">
        <v>0.0</v>
      </c>
      <c r="R840" s="18">
        <f t="shared" si="6"/>
        <v>126.063</v>
      </c>
      <c r="S840" s="19" t="s">
        <v>29</v>
      </c>
      <c r="T840" s="19" t="s">
        <v>30</v>
      </c>
      <c r="U840" s="20" t="s">
        <v>102</v>
      </c>
      <c r="V840" s="37"/>
      <c r="W840" s="7"/>
      <c r="X840" s="7"/>
      <c r="Y840" s="7"/>
      <c r="Z840" s="7"/>
      <c r="AA840" s="7"/>
    </row>
    <row r="841" ht="18.75" customHeight="1">
      <c r="A841" s="81" t="s">
        <v>1104</v>
      </c>
      <c r="B841" s="23" t="s">
        <v>1074</v>
      </c>
      <c r="C841" s="23" t="s">
        <v>1109</v>
      </c>
      <c r="D841" s="24">
        <v>1918.0</v>
      </c>
      <c r="E841" s="23" t="s">
        <v>1117</v>
      </c>
      <c r="F841" s="25" t="s">
        <v>26</v>
      </c>
      <c r="G841" s="26" t="s">
        <v>27</v>
      </c>
      <c r="H841" s="27">
        <v>785.82</v>
      </c>
      <c r="I841" s="28">
        <v>5.0</v>
      </c>
      <c r="J841" s="29" t="s">
        <v>38</v>
      </c>
      <c r="K841" s="30">
        <v>0.5</v>
      </c>
      <c r="L841" s="31">
        <f t="shared" si="1"/>
        <v>2.5</v>
      </c>
      <c r="M841" s="31">
        <f t="shared" si="2"/>
        <v>2.5</v>
      </c>
      <c r="N841" s="32">
        <f t="shared" si="3"/>
        <v>392.91</v>
      </c>
      <c r="O841" s="32">
        <f t="shared" si="4"/>
        <v>392.91</v>
      </c>
      <c r="P841" s="32">
        <f t="shared" si="5"/>
        <v>392.91</v>
      </c>
      <c r="Q841" s="22">
        <v>0.0</v>
      </c>
      <c r="R841" s="32">
        <f t="shared" si="6"/>
        <v>157.164</v>
      </c>
      <c r="S841" s="33" t="s">
        <v>29</v>
      </c>
      <c r="T841" s="33" t="s">
        <v>30</v>
      </c>
      <c r="U841" s="34" t="s">
        <v>220</v>
      </c>
      <c r="V841" s="35"/>
      <c r="W841" s="7"/>
      <c r="X841" s="7"/>
      <c r="Y841" s="7"/>
      <c r="Z841" s="7"/>
      <c r="AA841" s="7"/>
    </row>
    <row r="842" ht="18.75" customHeight="1">
      <c r="A842" s="52" t="s">
        <v>1104</v>
      </c>
      <c r="B842" s="9" t="s">
        <v>1074</v>
      </c>
      <c r="C842" s="9" t="s">
        <v>1109</v>
      </c>
      <c r="D842" s="10">
        <v>1919.0</v>
      </c>
      <c r="E842" s="9" t="s">
        <v>1118</v>
      </c>
      <c r="F842" s="11" t="s">
        <v>26</v>
      </c>
      <c r="G842" s="12" t="s">
        <v>27</v>
      </c>
      <c r="H842" s="13">
        <v>1178.73</v>
      </c>
      <c r="I842" s="14">
        <v>10.0</v>
      </c>
      <c r="J842" s="15" t="s">
        <v>154</v>
      </c>
      <c r="K842" s="16">
        <v>0.8</v>
      </c>
      <c r="L842" s="17">
        <f t="shared" si="1"/>
        <v>8</v>
      </c>
      <c r="M842" s="17">
        <f t="shared" si="2"/>
        <v>2</v>
      </c>
      <c r="N842" s="18">
        <f t="shared" si="3"/>
        <v>942.984</v>
      </c>
      <c r="O842" s="18">
        <f t="shared" si="4"/>
        <v>235.746</v>
      </c>
      <c r="P842" s="18">
        <f t="shared" si="5"/>
        <v>235.746</v>
      </c>
      <c r="Q842" s="8">
        <v>0.0</v>
      </c>
      <c r="R842" s="18">
        <f t="shared" si="6"/>
        <v>117.873</v>
      </c>
      <c r="S842" s="19" t="s">
        <v>29</v>
      </c>
      <c r="T842" s="19" t="s">
        <v>30</v>
      </c>
      <c r="U842" s="94" t="s">
        <v>220</v>
      </c>
      <c r="V842" s="37"/>
      <c r="W842" s="7"/>
      <c r="X842" s="7"/>
      <c r="Y842" s="7"/>
      <c r="Z842" s="7"/>
      <c r="AA842" s="7"/>
    </row>
    <row r="843" ht="18.75" customHeight="1">
      <c r="A843" s="22" t="s">
        <v>1124</v>
      </c>
      <c r="B843" s="23" t="s">
        <v>1125</v>
      </c>
      <c r="C843" s="23" t="s">
        <v>985</v>
      </c>
      <c r="D843" s="51">
        <v>0.0</v>
      </c>
      <c r="E843" s="22" t="s">
        <v>1126</v>
      </c>
      <c r="F843" s="25" t="s">
        <v>26</v>
      </c>
      <c r="G843" s="26" t="s">
        <v>27</v>
      </c>
      <c r="H843" s="27">
        <v>651.75</v>
      </c>
      <c r="I843" s="28">
        <v>5.0</v>
      </c>
      <c r="J843" s="45" t="s">
        <v>63</v>
      </c>
      <c r="K843" s="30">
        <v>0.700000000000004</v>
      </c>
      <c r="L843" s="31">
        <f t="shared" si="1"/>
        <v>3.5</v>
      </c>
      <c r="M843" s="31">
        <f t="shared" si="2"/>
        <v>1.5</v>
      </c>
      <c r="N843" s="32">
        <f t="shared" si="3"/>
        <v>456.225</v>
      </c>
      <c r="O843" s="32">
        <f t="shared" si="4"/>
        <v>195.525</v>
      </c>
      <c r="P843" s="32">
        <f t="shared" si="5"/>
        <v>195.525</v>
      </c>
      <c r="Q843" s="22">
        <v>0.0</v>
      </c>
      <c r="R843" s="32">
        <f t="shared" si="6"/>
        <v>130.35</v>
      </c>
      <c r="S843" s="33" t="s">
        <v>29</v>
      </c>
      <c r="T843" s="33" t="s">
        <v>30</v>
      </c>
      <c r="U843" s="34" t="s">
        <v>121</v>
      </c>
      <c r="V843" s="35"/>
      <c r="W843" s="7"/>
      <c r="X843" s="7"/>
      <c r="Y843" s="7"/>
      <c r="Z843" s="7"/>
      <c r="AA843" s="7"/>
    </row>
    <row r="844" ht="18.75" customHeight="1">
      <c r="A844" s="8" t="s">
        <v>1124</v>
      </c>
      <c r="B844" s="9" t="s">
        <v>1125</v>
      </c>
      <c r="C844" s="9" t="s">
        <v>985</v>
      </c>
      <c r="D844" s="10">
        <v>0.0</v>
      </c>
      <c r="E844" s="8" t="s">
        <v>1127</v>
      </c>
      <c r="F844" s="11" t="s">
        <v>26</v>
      </c>
      <c r="G844" s="12" t="s">
        <v>27</v>
      </c>
      <c r="H844" s="13">
        <v>463.56</v>
      </c>
      <c r="I844" s="14">
        <v>5.0</v>
      </c>
      <c r="J844" s="15" t="s">
        <v>38</v>
      </c>
      <c r="K844" s="16">
        <v>0.5</v>
      </c>
      <c r="L844" s="17">
        <f t="shared" si="1"/>
        <v>2.5</v>
      </c>
      <c r="M844" s="17">
        <f t="shared" si="2"/>
        <v>2.5</v>
      </c>
      <c r="N844" s="18">
        <f t="shared" si="3"/>
        <v>231.78</v>
      </c>
      <c r="O844" s="18">
        <f t="shared" si="4"/>
        <v>231.78</v>
      </c>
      <c r="P844" s="18">
        <f t="shared" si="5"/>
        <v>231.78</v>
      </c>
      <c r="Q844" s="8">
        <v>0.0</v>
      </c>
      <c r="R844" s="18">
        <f t="shared" si="6"/>
        <v>92.712</v>
      </c>
      <c r="S844" s="19" t="s">
        <v>29</v>
      </c>
      <c r="T844" s="19" t="s">
        <v>30</v>
      </c>
      <c r="U844" s="20" t="s">
        <v>125</v>
      </c>
      <c r="V844" s="37"/>
      <c r="W844" s="7"/>
      <c r="X844" s="7"/>
      <c r="Y844" s="7"/>
      <c r="Z844" s="7"/>
      <c r="AA844" s="7"/>
    </row>
    <row r="845" ht="18.75" customHeight="1">
      <c r="A845" s="22" t="s">
        <v>1124</v>
      </c>
      <c r="B845" s="23" t="s">
        <v>1125</v>
      </c>
      <c r="C845" s="23" t="s">
        <v>985</v>
      </c>
      <c r="D845" s="24">
        <v>0.0</v>
      </c>
      <c r="E845" s="22" t="s">
        <v>1128</v>
      </c>
      <c r="F845" s="25" t="s">
        <v>26</v>
      </c>
      <c r="G845" s="26" t="s">
        <v>27</v>
      </c>
      <c r="H845" s="27">
        <v>463.56</v>
      </c>
      <c r="I845" s="28">
        <v>5.0</v>
      </c>
      <c r="J845" s="29" t="s">
        <v>38</v>
      </c>
      <c r="K845" s="30">
        <v>0.5</v>
      </c>
      <c r="L845" s="31">
        <f t="shared" si="1"/>
        <v>2.5</v>
      </c>
      <c r="M845" s="31">
        <f t="shared" si="2"/>
        <v>2.5</v>
      </c>
      <c r="N845" s="32">
        <f t="shared" si="3"/>
        <v>231.78</v>
      </c>
      <c r="O845" s="32">
        <f t="shared" si="4"/>
        <v>231.78</v>
      </c>
      <c r="P845" s="32">
        <f t="shared" si="5"/>
        <v>231.78</v>
      </c>
      <c r="Q845" s="22">
        <v>0.0</v>
      </c>
      <c r="R845" s="32">
        <f t="shared" si="6"/>
        <v>92.712</v>
      </c>
      <c r="S845" s="33" t="s">
        <v>29</v>
      </c>
      <c r="T845" s="33" t="s">
        <v>30</v>
      </c>
      <c r="U845" s="34" t="s">
        <v>125</v>
      </c>
      <c r="V845" s="35"/>
      <c r="W845" s="7"/>
      <c r="X845" s="7"/>
      <c r="Y845" s="7"/>
      <c r="Z845" s="7"/>
      <c r="AA845" s="7"/>
    </row>
    <row r="846" ht="18.75" customHeight="1">
      <c r="A846" s="8" t="s">
        <v>1124</v>
      </c>
      <c r="B846" s="9" t="s">
        <v>1125</v>
      </c>
      <c r="C846" s="9" t="s">
        <v>985</v>
      </c>
      <c r="D846" s="50">
        <v>0.0</v>
      </c>
      <c r="E846" s="8" t="s">
        <v>1129</v>
      </c>
      <c r="F846" s="11" t="s">
        <v>26</v>
      </c>
      <c r="G846" s="12" t="s">
        <v>27</v>
      </c>
      <c r="H846" s="13">
        <v>463.56</v>
      </c>
      <c r="I846" s="14">
        <v>5.0</v>
      </c>
      <c r="J846" s="15" t="s">
        <v>38</v>
      </c>
      <c r="K846" s="16">
        <v>0.5</v>
      </c>
      <c r="L846" s="17">
        <f t="shared" si="1"/>
        <v>2.5</v>
      </c>
      <c r="M846" s="17">
        <f t="shared" si="2"/>
        <v>2.5</v>
      </c>
      <c r="N846" s="18">
        <f t="shared" si="3"/>
        <v>231.78</v>
      </c>
      <c r="O846" s="18">
        <f t="shared" si="4"/>
        <v>231.78</v>
      </c>
      <c r="P846" s="18">
        <f t="shared" si="5"/>
        <v>231.78</v>
      </c>
      <c r="Q846" s="8">
        <v>0.0</v>
      </c>
      <c r="R846" s="18">
        <f t="shared" si="6"/>
        <v>92.712</v>
      </c>
      <c r="S846" s="19" t="s">
        <v>29</v>
      </c>
      <c r="T846" s="19" t="s">
        <v>30</v>
      </c>
      <c r="U846" s="20" t="s">
        <v>125</v>
      </c>
      <c r="V846" s="37"/>
      <c r="W846" s="7"/>
      <c r="X846" s="7"/>
      <c r="Y846" s="7"/>
      <c r="Z846" s="7"/>
      <c r="AA846" s="7"/>
    </row>
    <row r="847" ht="18.75" customHeight="1">
      <c r="A847" s="22" t="s">
        <v>1124</v>
      </c>
      <c r="B847" s="23" t="s">
        <v>1125</v>
      </c>
      <c r="C847" s="23" t="s">
        <v>985</v>
      </c>
      <c r="D847" s="51">
        <v>0.0</v>
      </c>
      <c r="E847" s="22" t="s">
        <v>1130</v>
      </c>
      <c r="F847" s="25" t="s">
        <v>26</v>
      </c>
      <c r="G847" s="26" t="s">
        <v>27</v>
      </c>
      <c r="H847" s="27">
        <v>651.75</v>
      </c>
      <c r="I847" s="28">
        <v>5.0</v>
      </c>
      <c r="J847" s="29" t="s">
        <v>38</v>
      </c>
      <c r="K847" s="30">
        <v>0.5</v>
      </c>
      <c r="L847" s="31">
        <f t="shared" si="1"/>
        <v>2.5</v>
      </c>
      <c r="M847" s="31">
        <f t="shared" si="2"/>
        <v>2.5</v>
      </c>
      <c r="N847" s="32">
        <f t="shared" si="3"/>
        <v>325.875</v>
      </c>
      <c r="O847" s="32">
        <f t="shared" si="4"/>
        <v>325.875</v>
      </c>
      <c r="P847" s="32">
        <f t="shared" si="5"/>
        <v>325.875</v>
      </c>
      <c r="Q847" s="22">
        <v>0.0</v>
      </c>
      <c r="R847" s="32">
        <f t="shared" si="6"/>
        <v>130.35</v>
      </c>
      <c r="S847" s="33" t="s">
        <v>29</v>
      </c>
      <c r="T847" s="33" t="s">
        <v>30</v>
      </c>
      <c r="U847" s="34" t="s">
        <v>121</v>
      </c>
      <c r="V847" s="35"/>
      <c r="W847" s="7"/>
      <c r="X847" s="7"/>
      <c r="Y847" s="7"/>
      <c r="Z847" s="7"/>
      <c r="AA847" s="7"/>
    </row>
    <row r="848" ht="18.75" customHeight="1">
      <c r="A848" s="8" t="s">
        <v>1124</v>
      </c>
      <c r="B848" s="9" t="s">
        <v>1125</v>
      </c>
      <c r="C848" s="9" t="s">
        <v>985</v>
      </c>
      <c r="D848" s="50">
        <v>0.0</v>
      </c>
      <c r="E848" s="8" t="s">
        <v>1131</v>
      </c>
      <c r="F848" s="11" t="s">
        <v>26</v>
      </c>
      <c r="G848" s="12" t="s">
        <v>27</v>
      </c>
      <c r="H848" s="13">
        <v>576.47</v>
      </c>
      <c r="I848" s="14">
        <v>5.0</v>
      </c>
      <c r="J848" s="15" t="s">
        <v>38</v>
      </c>
      <c r="K848" s="16">
        <v>0.5</v>
      </c>
      <c r="L848" s="17">
        <f t="shared" si="1"/>
        <v>2.5</v>
      </c>
      <c r="M848" s="17">
        <f t="shared" si="2"/>
        <v>2.5</v>
      </c>
      <c r="N848" s="18">
        <f t="shared" si="3"/>
        <v>288.235</v>
      </c>
      <c r="O848" s="18">
        <f t="shared" si="4"/>
        <v>288.235</v>
      </c>
      <c r="P848" s="18">
        <f t="shared" si="5"/>
        <v>288.235</v>
      </c>
      <c r="Q848" s="8">
        <v>0.0</v>
      </c>
      <c r="R848" s="18">
        <f t="shared" si="6"/>
        <v>115.294</v>
      </c>
      <c r="S848" s="19" t="s">
        <v>29</v>
      </c>
      <c r="T848" s="19" t="s">
        <v>30</v>
      </c>
      <c r="U848" s="20" t="s">
        <v>114</v>
      </c>
      <c r="V848" s="37"/>
      <c r="W848" s="7"/>
      <c r="X848" s="7"/>
      <c r="Y848" s="7"/>
      <c r="Z848" s="7"/>
      <c r="AA848" s="7"/>
    </row>
    <row r="849" ht="18.75" customHeight="1">
      <c r="A849" s="22" t="s">
        <v>1124</v>
      </c>
      <c r="B849" s="23" t="s">
        <v>1125</v>
      </c>
      <c r="C849" s="23" t="s">
        <v>985</v>
      </c>
      <c r="D849" s="51">
        <v>0.0</v>
      </c>
      <c r="E849" s="22" t="s">
        <v>1132</v>
      </c>
      <c r="F849" s="25" t="s">
        <v>26</v>
      </c>
      <c r="G849" s="26" t="s">
        <v>27</v>
      </c>
      <c r="H849" s="27">
        <v>623.61</v>
      </c>
      <c r="I849" s="28">
        <v>5.0</v>
      </c>
      <c r="J849" s="29" t="s">
        <v>38</v>
      </c>
      <c r="K849" s="30">
        <v>0.5</v>
      </c>
      <c r="L849" s="31">
        <f t="shared" si="1"/>
        <v>2.5</v>
      </c>
      <c r="M849" s="31">
        <f t="shared" si="2"/>
        <v>2.5</v>
      </c>
      <c r="N849" s="32">
        <f t="shared" si="3"/>
        <v>311.805</v>
      </c>
      <c r="O849" s="32">
        <f t="shared" si="4"/>
        <v>311.805</v>
      </c>
      <c r="P849" s="32">
        <f t="shared" si="5"/>
        <v>311.805</v>
      </c>
      <c r="Q849" s="22">
        <v>0.0</v>
      </c>
      <c r="R849" s="32">
        <f t="shared" si="6"/>
        <v>124.722</v>
      </c>
      <c r="S849" s="33" t="s">
        <v>29</v>
      </c>
      <c r="T849" s="33" t="s">
        <v>30</v>
      </c>
      <c r="U849" s="34" t="s">
        <v>117</v>
      </c>
      <c r="V849" s="35"/>
      <c r="W849" s="7"/>
      <c r="X849" s="7"/>
      <c r="Y849" s="7"/>
      <c r="Z849" s="7"/>
      <c r="AA849" s="7"/>
    </row>
    <row r="850" ht="18.75" customHeight="1">
      <c r="A850" s="8" t="s">
        <v>1124</v>
      </c>
      <c r="B850" s="9" t="s">
        <v>1125</v>
      </c>
      <c r="C850" s="9" t="s">
        <v>985</v>
      </c>
      <c r="D850" s="10">
        <v>0.0</v>
      </c>
      <c r="E850" s="8" t="s">
        <v>1133</v>
      </c>
      <c r="F850" s="11" t="s">
        <v>26</v>
      </c>
      <c r="G850" s="12" t="s">
        <v>27</v>
      </c>
      <c r="H850" s="13">
        <v>328.8</v>
      </c>
      <c r="I850" s="14">
        <v>5.0</v>
      </c>
      <c r="J850" s="15" t="s">
        <v>154</v>
      </c>
      <c r="K850" s="16">
        <v>0.8</v>
      </c>
      <c r="L850" s="17">
        <f t="shared" si="1"/>
        <v>4</v>
      </c>
      <c r="M850" s="17">
        <f t="shared" si="2"/>
        <v>1</v>
      </c>
      <c r="N850" s="18">
        <f t="shared" si="3"/>
        <v>263.04</v>
      </c>
      <c r="O850" s="18">
        <f t="shared" si="4"/>
        <v>65.76</v>
      </c>
      <c r="P850" s="18">
        <f t="shared" si="5"/>
        <v>65.76</v>
      </c>
      <c r="Q850" s="8">
        <v>0.0</v>
      </c>
      <c r="R850" s="18">
        <f t="shared" si="6"/>
        <v>65.76</v>
      </c>
      <c r="S850" s="19" t="s">
        <v>29</v>
      </c>
      <c r="T850" s="19" t="s">
        <v>30</v>
      </c>
      <c r="U850" s="20" t="s">
        <v>344</v>
      </c>
      <c r="V850" s="37"/>
      <c r="W850" s="7"/>
      <c r="X850" s="7"/>
      <c r="Y850" s="7"/>
      <c r="Z850" s="7"/>
      <c r="AA850" s="7"/>
    </row>
    <row r="851" ht="18.75" customHeight="1">
      <c r="A851" s="22" t="s">
        <v>1124</v>
      </c>
      <c r="B851" s="23" t="s">
        <v>1125</v>
      </c>
      <c r="C851" s="23" t="s">
        <v>985</v>
      </c>
      <c r="D851" s="24">
        <v>0.0</v>
      </c>
      <c r="E851" s="22" t="s">
        <v>1134</v>
      </c>
      <c r="F851" s="25" t="s">
        <v>26</v>
      </c>
      <c r="G851" s="26" t="s">
        <v>27</v>
      </c>
      <c r="H851" s="27">
        <v>328.8</v>
      </c>
      <c r="I851" s="28">
        <v>5.0</v>
      </c>
      <c r="J851" s="29" t="s">
        <v>154</v>
      </c>
      <c r="K851" s="30">
        <v>0.8</v>
      </c>
      <c r="L851" s="31">
        <f t="shared" si="1"/>
        <v>4</v>
      </c>
      <c r="M851" s="31">
        <f t="shared" si="2"/>
        <v>1</v>
      </c>
      <c r="N851" s="32">
        <f t="shared" si="3"/>
        <v>263.04</v>
      </c>
      <c r="O851" s="32">
        <f t="shared" si="4"/>
        <v>65.76</v>
      </c>
      <c r="P851" s="32">
        <f t="shared" si="5"/>
        <v>65.76</v>
      </c>
      <c r="Q851" s="22">
        <v>0.0</v>
      </c>
      <c r="R851" s="32">
        <f t="shared" si="6"/>
        <v>65.76</v>
      </c>
      <c r="S851" s="33" t="s">
        <v>29</v>
      </c>
      <c r="T851" s="33" t="s">
        <v>30</v>
      </c>
      <c r="U851" s="34" t="s">
        <v>344</v>
      </c>
      <c r="V851" s="35"/>
      <c r="W851" s="7"/>
      <c r="X851" s="7"/>
      <c r="Y851" s="7"/>
      <c r="Z851" s="7"/>
      <c r="AA851" s="7"/>
    </row>
    <row r="852" ht="18.75" customHeight="1">
      <c r="A852" s="8" t="s">
        <v>1124</v>
      </c>
      <c r="B852" s="9" t="s">
        <v>1125</v>
      </c>
      <c r="C852" s="9" t="s">
        <v>985</v>
      </c>
      <c r="D852" s="50">
        <v>22.0</v>
      </c>
      <c r="E852" s="8" t="s">
        <v>1135</v>
      </c>
      <c r="F852" s="11" t="s">
        <v>26</v>
      </c>
      <c r="G852" s="12" t="s">
        <v>27</v>
      </c>
      <c r="H852" s="13">
        <v>1178.73</v>
      </c>
      <c r="I852" s="14">
        <v>10.0</v>
      </c>
      <c r="J852" s="46" t="s">
        <v>63</v>
      </c>
      <c r="K852" s="16">
        <v>0.700000000000005</v>
      </c>
      <c r="L852" s="17">
        <f t="shared" si="1"/>
        <v>7</v>
      </c>
      <c r="M852" s="17">
        <f t="shared" si="2"/>
        <v>3</v>
      </c>
      <c r="N852" s="18">
        <f t="shared" si="3"/>
        <v>825.111</v>
      </c>
      <c r="O852" s="18">
        <f t="shared" si="4"/>
        <v>353.619</v>
      </c>
      <c r="P852" s="18">
        <f t="shared" si="5"/>
        <v>353.619</v>
      </c>
      <c r="Q852" s="8">
        <v>0.0</v>
      </c>
      <c r="R852" s="18">
        <f t="shared" si="6"/>
        <v>117.873</v>
      </c>
      <c r="S852" s="19" t="s">
        <v>29</v>
      </c>
      <c r="T852" s="19" t="s">
        <v>30</v>
      </c>
      <c r="U852" s="20" t="s">
        <v>220</v>
      </c>
      <c r="V852" s="37"/>
      <c r="W852" s="7"/>
      <c r="X852" s="7"/>
      <c r="Y852" s="7"/>
      <c r="Z852" s="7"/>
      <c r="AA852" s="7"/>
    </row>
    <row r="853" ht="18.75" customHeight="1">
      <c r="A853" s="22" t="s">
        <v>1124</v>
      </c>
      <c r="B853" s="23" t="s">
        <v>1125</v>
      </c>
      <c r="C853" s="23" t="s">
        <v>985</v>
      </c>
      <c r="D853" s="51">
        <v>412.0</v>
      </c>
      <c r="E853" s="22" t="s">
        <v>1136</v>
      </c>
      <c r="F853" s="25" t="s">
        <v>26</v>
      </c>
      <c r="G853" s="26" t="s">
        <v>27</v>
      </c>
      <c r="H853" s="27">
        <v>4263.9</v>
      </c>
      <c r="I853" s="28">
        <v>10.0</v>
      </c>
      <c r="J853" s="45" t="s">
        <v>63</v>
      </c>
      <c r="K853" s="42">
        <v>0.700000000000005</v>
      </c>
      <c r="L853" s="31">
        <f t="shared" si="1"/>
        <v>7</v>
      </c>
      <c r="M853" s="31">
        <f t="shared" si="2"/>
        <v>3</v>
      </c>
      <c r="N853" s="32">
        <f t="shared" si="3"/>
        <v>2984.73</v>
      </c>
      <c r="O853" s="32">
        <f t="shared" si="4"/>
        <v>1279.17</v>
      </c>
      <c r="P853" s="32">
        <f t="shared" si="5"/>
        <v>1279.17</v>
      </c>
      <c r="Q853" s="22">
        <v>0.0</v>
      </c>
      <c r="R853" s="32">
        <f t="shared" si="6"/>
        <v>426.39</v>
      </c>
      <c r="S853" s="33" t="s">
        <v>29</v>
      </c>
      <c r="T853" s="33" t="s">
        <v>30</v>
      </c>
      <c r="U853" s="34" t="s">
        <v>767</v>
      </c>
      <c r="V853" s="35"/>
      <c r="W853" s="7"/>
      <c r="X853" s="7"/>
      <c r="Y853" s="7"/>
      <c r="Z853" s="7"/>
      <c r="AA853" s="7"/>
    </row>
    <row r="854" ht="18.75" customHeight="1">
      <c r="A854" s="8" t="s">
        <v>1124</v>
      </c>
      <c r="B854" s="9" t="s">
        <v>1125</v>
      </c>
      <c r="C854" s="9" t="s">
        <v>985</v>
      </c>
      <c r="D854" s="10">
        <v>415.0</v>
      </c>
      <c r="E854" s="8" t="s">
        <v>1137</v>
      </c>
      <c r="F854" s="11" t="s">
        <v>26</v>
      </c>
      <c r="G854" s="12" t="s">
        <v>27</v>
      </c>
      <c r="H854" s="13">
        <v>603.0</v>
      </c>
      <c r="I854" s="14">
        <v>5.0</v>
      </c>
      <c r="J854" s="15" t="s">
        <v>38</v>
      </c>
      <c r="K854" s="16">
        <v>0.5</v>
      </c>
      <c r="L854" s="17">
        <f t="shared" si="1"/>
        <v>2.5</v>
      </c>
      <c r="M854" s="17">
        <f t="shared" si="2"/>
        <v>2.5</v>
      </c>
      <c r="N854" s="18">
        <f t="shared" si="3"/>
        <v>301.5</v>
      </c>
      <c r="O854" s="18">
        <f t="shared" si="4"/>
        <v>301.5</v>
      </c>
      <c r="P854" s="18">
        <f t="shared" si="5"/>
        <v>301.5</v>
      </c>
      <c r="Q854" s="8">
        <v>0.0</v>
      </c>
      <c r="R854" s="18">
        <f t="shared" si="6"/>
        <v>120.6</v>
      </c>
      <c r="S854" s="19" t="s">
        <v>29</v>
      </c>
      <c r="T854" s="19" t="s">
        <v>30</v>
      </c>
      <c r="U854" s="20" t="s">
        <v>79</v>
      </c>
      <c r="V854" s="37"/>
      <c r="W854" s="7"/>
      <c r="X854" s="7"/>
      <c r="Y854" s="7"/>
      <c r="Z854" s="7"/>
      <c r="AA854" s="7"/>
    </row>
    <row r="855" ht="18.75" customHeight="1">
      <c r="A855" s="22" t="s">
        <v>1124</v>
      </c>
      <c r="B855" s="23" t="s">
        <v>1125</v>
      </c>
      <c r="C855" s="23" t="s">
        <v>985</v>
      </c>
      <c r="D855" s="24">
        <v>419.0</v>
      </c>
      <c r="E855" s="22" t="s">
        <v>1138</v>
      </c>
      <c r="F855" s="25" t="s">
        <v>26</v>
      </c>
      <c r="G855" s="26" t="s">
        <v>27</v>
      </c>
      <c r="H855" s="27">
        <v>15638.9</v>
      </c>
      <c r="I855" s="28">
        <v>10.0</v>
      </c>
      <c r="J855" s="29" t="s">
        <v>289</v>
      </c>
      <c r="K855" s="30">
        <v>0.95</v>
      </c>
      <c r="L855" s="31">
        <f t="shared" si="1"/>
        <v>9.5</v>
      </c>
      <c r="M855" s="31">
        <f t="shared" si="2"/>
        <v>0.5</v>
      </c>
      <c r="N855" s="32">
        <f t="shared" si="3"/>
        <v>14856.955</v>
      </c>
      <c r="O855" s="32">
        <f t="shared" si="4"/>
        <v>781.945</v>
      </c>
      <c r="P855" s="32">
        <f t="shared" si="5"/>
        <v>781.945</v>
      </c>
      <c r="Q855" s="22">
        <v>0.0</v>
      </c>
      <c r="R855" s="32">
        <f t="shared" si="6"/>
        <v>1563.89</v>
      </c>
      <c r="S855" s="33" t="s">
        <v>29</v>
      </c>
      <c r="T855" s="33" t="s">
        <v>30</v>
      </c>
      <c r="U855" s="34" t="s">
        <v>35</v>
      </c>
      <c r="V855" s="35"/>
      <c r="W855" s="7"/>
      <c r="X855" s="7"/>
      <c r="Y855" s="7"/>
      <c r="Z855" s="7"/>
      <c r="AA855" s="7"/>
    </row>
    <row r="856" ht="18.75" customHeight="1">
      <c r="A856" s="8" t="s">
        <v>1124</v>
      </c>
      <c r="B856" s="9" t="s">
        <v>1125</v>
      </c>
      <c r="C856" s="9" t="s">
        <v>985</v>
      </c>
      <c r="D856" s="10">
        <v>420.0</v>
      </c>
      <c r="E856" s="8" t="s">
        <v>1139</v>
      </c>
      <c r="F856" s="11" t="s">
        <v>37</v>
      </c>
      <c r="G856" s="12" t="s">
        <v>27</v>
      </c>
      <c r="H856" s="13">
        <v>1647.58</v>
      </c>
      <c r="I856" s="14">
        <v>15.0</v>
      </c>
      <c r="J856" s="15" t="s">
        <v>38</v>
      </c>
      <c r="K856" s="16">
        <v>0.5</v>
      </c>
      <c r="L856" s="17">
        <f t="shared" si="1"/>
        <v>7.5</v>
      </c>
      <c r="M856" s="17">
        <f t="shared" si="2"/>
        <v>7.5</v>
      </c>
      <c r="N856" s="18">
        <f t="shared" si="3"/>
        <v>823.79</v>
      </c>
      <c r="O856" s="18">
        <f t="shared" si="4"/>
        <v>823.79</v>
      </c>
      <c r="P856" s="18">
        <f t="shared" si="5"/>
        <v>823.79</v>
      </c>
      <c r="Q856" s="8">
        <v>0.0</v>
      </c>
      <c r="R856" s="18">
        <f t="shared" si="6"/>
        <v>109.8386667</v>
      </c>
      <c r="S856" s="19" t="s">
        <v>29</v>
      </c>
      <c r="T856" s="19" t="s">
        <v>30</v>
      </c>
      <c r="U856" s="20" t="s">
        <v>325</v>
      </c>
      <c r="V856" s="37"/>
      <c r="W856" s="7"/>
      <c r="X856" s="7"/>
      <c r="Y856" s="7"/>
      <c r="Z856" s="7"/>
      <c r="AA856" s="7"/>
    </row>
    <row r="857" ht="18.75" customHeight="1">
      <c r="A857" s="22" t="s">
        <v>1124</v>
      </c>
      <c r="B857" s="23" t="s">
        <v>1125</v>
      </c>
      <c r="C857" s="23" t="s">
        <v>433</v>
      </c>
      <c r="D857" s="24">
        <v>421.0</v>
      </c>
      <c r="E857" s="22" t="s">
        <v>1140</v>
      </c>
      <c r="F857" s="25" t="s">
        <v>26</v>
      </c>
      <c r="G857" s="26" t="s">
        <v>27</v>
      </c>
      <c r="H857" s="27">
        <v>1749.0</v>
      </c>
      <c r="I857" s="28">
        <v>10.0</v>
      </c>
      <c r="J857" s="29" t="s">
        <v>38</v>
      </c>
      <c r="K857" s="30">
        <v>0.5</v>
      </c>
      <c r="L857" s="31">
        <f t="shared" si="1"/>
        <v>5</v>
      </c>
      <c r="M857" s="31">
        <f t="shared" si="2"/>
        <v>5</v>
      </c>
      <c r="N857" s="32">
        <f t="shared" si="3"/>
        <v>874.5</v>
      </c>
      <c r="O857" s="32">
        <f t="shared" si="4"/>
        <v>874.5</v>
      </c>
      <c r="P857" s="32">
        <f t="shared" si="5"/>
        <v>874.5</v>
      </c>
      <c r="Q857" s="22">
        <v>0.0</v>
      </c>
      <c r="R857" s="32">
        <f t="shared" si="6"/>
        <v>174.9</v>
      </c>
      <c r="S857" s="33" t="s">
        <v>29</v>
      </c>
      <c r="T857" s="33" t="s">
        <v>30</v>
      </c>
      <c r="U857" s="34" t="s">
        <v>255</v>
      </c>
      <c r="V857" s="35"/>
      <c r="W857" s="7"/>
      <c r="X857" s="7"/>
      <c r="Y857" s="7"/>
      <c r="Z857" s="7"/>
      <c r="AA857" s="7"/>
    </row>
    <row r="858" ht="18.75" customHeight="1">
      <c r="A858" s="8" t="s">
        <v>1124</v>
      </c>
      <c r="B858" s="9" t="s">
        <v>1125</v>
      </c>
      <c r="C858" s="9" t="s">
        <v>985</v>
      </c>
      <c r="D858" s="10">
        <v>422.0</v>
      </c>
      <c r="E858" s="8" t="s">
        <v>1141</v>
      </c>
      <c r="F858" s="11" t="s">
        <v>26</v>
      </c>
      <c r="G858" s="12" t="s">
        <v>27</v>
      </c>
      <c r="H858" s="13">
        <v>6583.2</v>
      </c>
      <c r="I858" s="14">
        <v>10.0</v>
      </c>
      <c r="J858" s="15" t="s">
        <v>38</v>
      </c>
      <c r="K858" s="16">
        <v>0.5</v>
      </c>
      <c r="L858" s="17">
        <f t="shared" si="1"/>
        <v>5</v>
      </c>
      <c r="M858" s="17">
        <f t="shared" si="2"/>
        <v>5</v>
      </c>
      <c r="N858" s="18">
        <f t="shared" si="3"/>
        <v>3291.6</v>
      </c>
      <c r="O858" s="18">
        <f t="shared" si="4"/>
        <v>3291.6</v>
      </c>
      <c r="P858" s="18">
        <f t="shared" si="5"/>
        <v>3291.6</v>
      </c>
      <c r="Q858" s="8">
        <v>0.0</v>
      </c>
      <c r="R858" s="18">
        <f t="shared" si="6"/>
        <v>658.32</v>
      </c>
      <c r="S858" s="19" t="s">
        <v>29</v>
      </c>
      <c r="T858" s="19" t="s">
        <v>30</v>
      </c>
      <c r="U858" s="20" t="s">
        <v>312</v>
      </c>
      <c r="V858" s="37"/>
      <c r="W858" s="7"/>
      <c r="X858" s="7"/>
      <c r="Y858" s="7"/>
      <c r="Z858" s="7"/>
      <c r="AA858" s="7"/>
    </row>
    <row r="859" ht="18.75" customHeight="1">
      <c r="A859" s="22" t="s">
        <v>1124</v>
      </c>
      <c r="B859" s="23" t="s">
        <v>1125</v>
      </c>
      <c r="C859" s="23" t="s">
        <v>985</v>
      </c>
      <c r="D859" s="24">
        <v>423.0</v>
      </c>
      <c r="E859" s="22" t="s">
        <v>1142</v>
      </c>
      <c r="F859" s="25" t="s">
        <v>26</v>
      </c>
      <c r="G859" s="26" t="s">
        <v>27</v>
      </c>
      <c r="H859" s="27">
        <v>4899.9</v>
      </c>
      <c r="I859" s="28">
        <v>5.0</v>
      </c>
      <c r="J859" s="29" t="s">
        <v>289</v>
      </c>
      <c r="K859" s="30">
        <v>0.95</v>
      </c>
      <c r="L859" s="31">
        <f t="shared" si="1"/>
        <v>4.75</v>
      </c>
      <c r="M859" s="31">
        <f t="shared" si="2"/>
        <v>0.25</v>
      </c>
      <c r="N859" s="32">
        <f t="shared" si="3"/>
        <v>4654.905</v>
      </c>
      <c r="O859" s="32">
        <f t="shared" si="4"/>
        <v>244.995</v>
      </c>
      <c r="P859" s="32">
        <f t="shared" si="5"/>
        <v>244.995</v>
      </c>
      <c r="Q859" s="22">
        <v>0.0</v>
      </c>
      <c r="R859" s="32">
        <f t="shared" si="6"/>
        <v>979.98</v>
      </c>
      <c r="S859" s="33" t="s">
        <v>29</v>
      </c>
      <c r="T859" s="33" t="s">
        <v>30</v>
      </c>
      <c r="U859" s="34" t="s">
        <v>67</v>
      </c>
      <c r="V859" s="35"/>
      <c r="W859" s="7"/>
      <c r="X859" s="7"/>
      <c r="Y859" s="7"/>
      <c r="Z859" s="7"/>
      <c r="AA859" s="7"/>
    </row>
    <row r="860" ht="18.75" customHeight="1">
      <c r="A860" s="8" t="s">
        <v>1124</v>
      </c>
      <c r="B860" s="9" t="s">
        <v>1125</v>
      </c>
      <c r="C860" s="9" t="s">
        <v>985</v>
      </c>
      <c r="D860" s="10">
        <v>424.0</v>
      </c>
      <c r="E860" s="8" t="s">
        <v>1143</v>
      </c>
      <c r="F860" s="11" t="s">
        <v>37</v>
      </c>
      <c r="G860" s="12" t="s">
        <v>27</v>
      </c>
      <c r="H860" s="13">
        <v>1880.55</v>
      </c>
      <c r="I860" s="14">
        <v>10.0</v>
      </c>
      <c r="J860" s="15" t="s">
        <v>154</v>
      </c>
      <c r="K860" s="16">
        <v>0.8</v>
      </c>
      <c r="L860" s="17">
        <f t="shared" si="1"/>
        <v>8</v>
      </c>
      <c r="M860" s="17">
        <f t="shared" si="2"/>
        <v>2</v>
      </c>
      <c r="N860" s="18">
        <f t="shared" si="3"/>
        <v>1504.44</v>
      </c>
      <c r="O860" s="18">
        <f t="shared" si="4"/>
        <v>376.11</v>
      </c>
      <c r="P860" s="18">
        <f t="shared" si="5"/>
        <v>376.11</v>
      </c>
      <c r="Q860" s="8">
        <v>0.0</v>
      </c>
      <c r="R860" s="18">
        <f t="shared" si="6"/>
        <v>188.055</v>
      </c>
      <c r="S860" s="19" t="s">
        <v>29</v>
      </c>
      <c r="T860" s="19" t="s">
        <v>30</v>
      </c>
      <c r="U860" s="20" t="s">
        <v>69</v>
      </c>
      <c r="V860" s="37"/>
      <c r="W860" s="7"/>
      <c r="X860" s="7"/>
      <c r="Y860" s="7"/>
      <c r="Z860" s="7"/>
      <c r="AA860" s="7"/>
    </row>
    <row r="861" ht="18.75" customHeight="1">
      <c r="A861" s="22" t="s">
        <v>1124</v>
      </c>
      <c r="B861" s="23" t="s">
        <v>1125</v>
      </c>
      <c r="C861" s="23" t="s">
        <v>985</v>
      </c>
      <c r="D861" s="24">
        <v>425.0</v>
      </c>
      <c r="E861" s="22" t="s">
        <v>1144</v>
      </c>
      <c r="F861" s="25" t="s">
        <v>37</v>
      </c>
      <c r="G861" s="26" t="s">
        <v>27</v>
      </c>
      <c r="H861" s="27">
        <v>1614.0</v>
      </c>
      <c r="I861" s="28">
        <v>10.0</v>
      </c>
      <c r="J861" s="29" t="s">
        <v>38</v>
      </c>
      <c r="K861" s="30">
        <v>0.5</v>
      </c>
      <c r="L861" s="31">
        <f t="shared" si="1"/>
        <v>5</v>
      </c>
      <c r="M861" s="31">
        <f t="shared" si="2"/>
        <v>5</v>
      </c>
      <c r="N861" s="32">
        <f t="shared" si="3"/>
        <v>807</v>
      </c>
      <c r="O861" s="32">
        <f t="shared" si="4"/>
        <v>807</v>
      </c>
      <c r="P861" s="32">
        <f t="shared" si="5"/>
        <v>807</v>
      </c>
      <c r="Q861" s="22">
        <v>0.0</v>
      </c>
      <c r="R861" s="32">
        <f t="shared" si="6"/>
        <v>161.4</v>
      </c>
      <c r="S861" s="33" t="s">
        <v>29</v>
      </c>
      <c r="T861" s="33" t="s">
        <v>30</v>
      </c>
      <c r="U861" s="34" t="s">
        <v>411</v>
      </c>
      <c r="V861" s="35"/>
      <c r="W861" s="7"/>
      <c r="X861" s="7"/>
      <c r="Y861" s="7"/>
      <c r="Z861" s="7"/>
      <c r="AA861" s="7"/>
    </row>
    <row r="862" ht="18.75" customHeight="1">
      <c r="A862" s="8" t="s">
        <v>1124</v>
      </c>
      <c r="B862" s="9" t="s">
        <v>1125</v>
      </c>
      <c r="C862" s="9" t="s">
        <v>985</v>
      </c>
      <c r="D862" s="10">
        <v>426.0</v>
      </c>
      <c r="E862" s="8" t="s">
        <v>1145</v>
      </c>
      <c r="F862" s="11" t="s">
        <v>37</v>
      </c>
      <c r="G862" s="12" t="s">
        <v>27</v>
      </c>
      <c r="H862" s="13">
        <v>469.2</v>
      </c>
      <c r="I862" s="14">
        <v>10.0</v>
      </c>
      <c r="J862" s="15" t="s">
        <v>38</v>
      </c>
      <c r="K862" s="16">
        <v>0.5</v>
      </c>
      <c r="L862" s="17">
        <f t="shared" si="1"/>
        <v>5</v>
      </c>
      <c r="M862" s="17">
        <f t="shared" si="2"/>
        <v>5</v>
      </c>
      <c r="N862" s="18">
        <f t="shared" si="3"/>
        <v>234.6</v>
      </c>
      <c r="O862" s="18">
        <f t="shared" si="4"/>
        <v>234.6</v>
      </c>
      <c r="P862" s="18">
        <f t="shared" si="5"/>
        <v>234.6</v>
      </c>
      <c r="Q862" s="8">
        <v>0.0</v>
      </c>
      <c r="R862" s="18">
        <f t="shared" si="6"/>
        <v>46.92</v>
      </c>
      <c r="S862" s="19" t="s">
        <v>29</v>
      </c>
      <c r="T862" s="19" t="s">
        <v>30</v>
      </c>
      <c r="U862" s="36" t="s">
        <v>52</v>
      </c>
      <c r="V862" s="37"/>
      <c r="W862" s="7"/>
      <c r="X862" s="7"/>
      <c r="Y862" s="7"/>
      <c r="Z862" s="7"/>
      <c r="AA862" s="7"/>
    </row>
    <row r="863" ht="18.75" customHeight="1">
      <c r="A863" s="22" t="s">
        <v>1124</v>
      </c>
      <c r="B863" s="23" t="s">
        <v>1125</v>
      </c>
      <c r="C863" s="23" t="s">
        <v>985</v>
      </c>
      <c r="D863" s="24">
        <v>427.0</v>
      </c>
      <c r="E863" s="22" t="s">
        <v>1146</v>
      </c>
      <c r="F863" s="25" t="s">
        <v>37</v>
      </c>
      <c r="G863" s="26" t="s">
        <v>27</v>
      </c>
      <c r="H863" s="27">
        <v>469.2</v>
      </c>
      <c r="I863" s="28">
        <v>10.0</v>
      </c>
      <c r="J863" s="45" t="s">
        <v>63</v>
      </c>
      <c r="K863" s="30">
        <v>0.700000000000005</v>
      </c>
      <c r="L863" s="31">
        <f t="shared" si="1"/>
        <v>7</v>
      </c>
      <c r="M863" s="31">
        <f t="shared" si="2"/>
        <v>3</v>
      </c>
      <c r="N863" s="32">
        <f t="shared" si="3"/>
        <v>328.44</v>
      </c>
      <c r="O863" s="32">
        <f t="shared" si="4"/>
        <v>140.76</v>
      </c>
      <c r="P863" s="32">
        <f t="shared" si="5"/>
        <v>140.76</v>
      </c>
      <c r="Q863" s="22">
        <v>0.0</v>
      </c>
      <c r="R863" s="32">
        <f t="shared" si="6"/>
        <v>46.92</v>
      </c>
      <c r="S863" s="33" t="s">
        <v>29</v>
      </c>
      <c r="T863" s="33" t="s">
        <v>30</v>
      </c>
      <c r="U863" s="38" t="s">
        <v>52</v>
      </c>
      <c r="V863" s="35"/>
      <c r="W863" s="7"/>
      <c r="X863" s="7"/>
      <c r="Y863" s="7"/>
      <c r="Z863" s="7"/>
      <c r="AA863" s="7"/>
    </row>
    <row r="864" ht="18.75" customHeight="1">
      <c r="A864" s="8" t="s">
        <v>1124</v>
      </c>
      <c r="B864" s="9" t="s">
        <v>1125</v>
      </c>
      <c r="C864" s="9" t="s">
        <v>985</v>
      </c>
      <c r="D864" s="10">
        <v>428.0</v>
      </c>
      <c r="E864" s="8" t="s">
        <v>1147</v>
      </c>
      <c r="F864" s="11" t="s">
        <v>26</v>
      </c>
      <c r="G864" s="12" t="s">
        <v>27</v>
      </c>
      <c r="H864" s="13">
        <v>1351.57</v>
      </c>
      <c r="I864" s="14">
        <v>10.0</v>
      </c>
      <c r="J864" s="15" t="s">
        <v>38</v>
      </c>
      <c r="K864" s="16">
        <v>0.5</v>
      </c>
      <c r="L864" s="17">
        <f t="shared" si="1"/>
        <v>5</v>
      </c>
      <c r="M864" s="17">
        <f t="shared" si="2"/>
        <v>5</v>
      </c>
      <c r="N864" s="18">
        <f t="shared" si="3"/>
        <v>675.785</v>
      </c>
      <c r="O864" s="18">
        <f t="shared" si="4"/>
        <v>675.785</v>
      </c>
      <c r="P864" s="18">
        <f t="shared" si="5"/>
        <v>675.785</v>
      </c>
      <c r="Q864" s="8">
        <v>0.0</v>
      </c>
      <c r="R864" s="18">
        <f t="shared" si="6"/>
        <v>135.157</v>
      </c>
      <c r="S864" s="19" t="s">
        <v>29</v>
      </c>
      <c r="T864" s="19" t="s">
        <v>30</v>
      </c>
      <c r="U864" s="20" t="s">
        <v>41</v>
      </c>
      <c r="V864" s="37"/>
      <c r="W864" s="7"/>
      <c r="X864" s="7"/>
      <c r="Y864" s="7"/>
      <c r="Z864" s="7"/>
      <c r="AA864" s="7"/>
    </row>
    <row r="865" ht="18.75" customHeight="1">
      <c r="A865" s="22" t="s">
        <v>1124</v>
      </c>
      <c r="B865" s="23" t="s">
        <v>1125</v>
      </c>
      <c r="C865" s="23" t="s">
        <v>985</v>
      </c>
      <c r="D865" s="24">
        <v>429.0</v>
      </c>
      <c r="E865" s="22" t="s">
        <v>1148</v>
      </c>
      <c r="F865" s="25" t="s">
        <v>26</v>
      </c>
      <c r="G865" s="26" t="s">
        <v>27</v>
      </c>
      <c r="H865" s="27">
        <v>1897.0</v>
      </c>
      <c r="I865" s="28">
        <v>10.0</v>
      </c>
      <c r="J865" s="29" t="s">
        <v>38</v>
      </c>
      <c r="K865" s="30">
        <v>0.5</v>
      </c>
      <c r="L865" s="31">
        <f t="shared" si="1"/>
        <v>5</v>
      </c>
      <c r="M865" s="31">
        <f t="shared" si="2"/>
        <v>5</v>
      </c>
      <c r="N865" s="32">
        <f t="shared" si="3"/>
        <v>948.5</v>
      </c>
      <c r="O865" s="32">
        <f t="shared" si="4"/>
        <v>948.5</v>
      </c>
      <c r="P865" s="32">
        <f t="shared" si="5"/>
        <v>948.5</v>
      </c>
      <c r="Q865" s="22">
        <v>0.0</v>
      </c>
      <c r="R865" s="32">
        <f t="shared" si="6"/>
        <v>189.7</v>
      </c>
      <c r="S865" s="33" t="s">
        <v>29</v>
      </c>
      <c r="T865" s="33" t="s">
        <v>30</v>
      </c>
      <c r="U865" s="34" t="s">
        <v>43</v>
      </c>
      <c r="V865" s="35"/>
      <c r="W865" s="7"/>
      <c r="X865" s="7"/>
      <c r="Y865" s="7"/>
      <c r="Z865" s="7"/>
      <c r="AA865" s="7"/>
    </row>
    <row r="866" ht="18.75" customHeight="1">
      <c r="A866" s="8" t="s">
        <v>1124</v>
      </c>
      <c r="B866" s="9" t="s">
        <v>1125</v>
      </c>
      <c r="C866" s="9" t="s">
        <v>985</v>
      </c>
      <c r="D866" s="10">
        <v>430.0</v>
      </c>
      <c r="E866" s="8" t="s">
        <v>1149</v>
      </c>
      <c r="F866" s="11" t="s">
        <v>26</v>
      </c>
      <c r="G866" s="12" t="s">
        <v>27</v>
      </c>
      <c r="H866" s="13">
        <v>2338.0</v>
      </c>
      <c r="I866" s="14">
        <v>10.0</v>
      </c>
      <c r="J866" s="15" t="s">
        <v>38</v>
      </c>
      <c r="K866" s="16">
        <v>0.5</v>
      </c>
      <c r="L866" s="17">
        <f t="shared" si="1"/>
        <v>5</v>
      </c>
      <c r="M866" s="17">
        <f t="shared" si="2"/>
        <v>5</v>
      </c>
      <c r="N866" s="18">
        <f t="shared" si="3"/>
        <v>1169</v>
      </c>
      <c r="O866" s="18">
        <f t="shared" si="4"/>
        <v>1169</v>
      </c>
      <c r="P866" s="18">
        <f t="shared" si="5"/>
        <v>1169</v>
      </c>
      <c r="Q866" s="8">
        <v>0.0</v>
      </c>
      <c r="R866" s="18">
        <f t="shared" si="6"/>
        <v>233.8</v>
      </c>
      <c r="S866" s="19" t="s">
        <v>29</v>
      </c>
      <c r="T866" s="19" t="s">
        <v>30</v>
      </c>
      <c r="U866" s="36" t="s">
        <v>45</v>
      </c>
      <c r="V866" s="37"/>
      <c r="W866" s="7"/>
      <c r="X866" s="7"/>
      <c r="Y866" s="7"/>
      <c r="Z866" s="7"/>
      <c r="AA866" s="7"/>
    </row>
    <row r="867" ht="18.75" customHeight="1">
      <c r="A867" s="22" t="s">
        <v>1124</v>
      </c>
      <c r="B867" s="23" t="s">
        <v>1125</v>
      </c>
      <c r="C867" s="23" t="s">
        <v>985</v>
      </c>
      <c r="D867" s="24">
        <v>431.0</v>
      </c>
      <c r="E867" s="22" t="s">
        <v>1150</v>
      </c>
      <c r="F867" s="25" t="s">
        <v>26</v>
      </c>
      <c r="G867" s="26" t="s">
        <v>27</v>
      </c>
      <c r="H867" s="27">
        <v>22652.48</v>
      </c>
      <c r="I867" s="28">
        <v>10.0</v>
      </c>
      <c r="J867" s="29" t="s">
        <v>38</v>
      </c>
      <c r="K867" s="30">
        <v>0.5</v>
      </c>
      <c r="L867" s="31">
        <f t="shared" si="1"/>
        <v>5</v>
      </c>
      <c r="M867" s="31">
        <f t="shared" si="2"/>
        <v>5</v>
      </c>
      <c r="N867" s="32">
        <f t="shared" si="3"/>
        <v>11326.24</v>
      </c>
      <c r="O867" s="32">
        <f t="shared" si="4"/>
        <v>11326.24</v>
      </c>
      <c r="P867" s="32">
        <f t="shared" si="5"/>
        <v>11326.24</v>
      </c>
      <c r="Q867" s="22">
        <v>0.0</v>
      </c>
      <c r="R867" s="32">
        <f t="shared" si="6"/>
        <v>2265.248</v>
      </c>
      <c r="S867" s="33" t="s">
        <v>29</v>
      </c>
      <c r="T867" s="33" t="s">
        <v>30</v>
      </c>
      <c r="U867" s="38" t="s">
        <v>50</v>
      </c>
      <c r="V867" s="35"/>
      <c r="W867" s="7"/>
      <c r="X867" s="7"/>
      <c r="Y867" s="7"/>
      <c r="Z867" s="7"/>
      <c r="AA867" s="7"/>
    </row>
    <row r="868" ht="18.75" customHeight="1">
      <c r="A868" s="8" t="s">
        <v>1124</v>
      </c>
      <c r="B868" s="9" t="s">
        <v>1125</v>
      </c>
      <c r="C868" s="46" t="s">
        <v>1151</v>
      </c>
      <c r="D868" s="10">
        <v>1760.0</v>
      </c>
      <c r="E868" s="8" t="s">
        <v>1152</v>
      </c>
      <c r="F868" s="11" t="s">
        <v>26</v>
      </c>
      <c r="G868" s="12" t="s">
        <v>27</v>
      </c>
      <c r="H868" s="13">
        <v>2325.28</v>
      </c>
      <c r="I868" s="14">
        <v>10.0</v>
      </c>
      <c r="J868" s="15" t="s">
        <v>38</v>
      </c>
      <c r="K868" s="16">
        <v>0.5</v>
      </c>
      <c r="L868" s="17">
        <f t="shared" si="1"/>
        <v>5</v>
      </c>
      <c r="M868" s="17">
        <f t="shared" si="2"/>
        <v>5</v>
      </c>
      <c r="N868" s="18">
        <f t="shared" si="3"/>
        <v>1162.64</v>
      </c>
      <c r="O868" s="18">
        <f t="shared" si="4"/>
        <v>1162.64</v>
      </c>
      <c r="P868" s="18">
        <f t="shared" si="5"/>
        <v>1162.64</v>
      </c>
      <c r="Q868" s="8">
        <v>0.0</v>
      </c>
      <c r="R868" s="18">
        <f t="shared" si="6"/>
        <v>232.528</v>
      </c>
      <c r="S868" s="19" t="s">
        <v>29</v>
      </c>
      <c r="T868" s="19" t="s">
        <v>30</v>
      </c>
      <c r="U868" s="36" t="s">
        <v>1153</v>
      </c>
      <c r="V868" s="37"/>
      <c r="W868" s="7"/>
      <c r="X868" s="7"/>
      <c r="Y868" s="7"/>
      <c r="Z868" s="7"/>
      <c r="AA868" s="7"/>
    </row>
    <row r="869" ht="18.75" customHeight="1">
      <c r="A869" s="22" t="s">
        <v>1124</v>
      </c>
      <c r="B869" s="23" t="s">
        <v>1125</v>
      </c>
      <c r="C869" s="23" t="s">
        <v>1059</v>
      </c>
      <c r="D869" s="24">
        <v>1966.0</v>
      </c>
      <c r="E869" s="22" t="s">
        <v>1154</v>
      </c>
      <c r="F869" s="25" t="s">
        <v>37</v>
      </c>
      <c r="G869" s="26" t="s">
        <v>27</v>
      </c>
      <c r="H869" s="27">
        <v>1300.12</v>
      </c>
      <c r="I869" s="28">
        <v>15.0</v>
      </c>
      <c r="J869" s="29" t="s">
        <v>54</v>
      </c>
      <c r="K869" s="30">
        <v>0.3</v>
      </c>
      <c r="L869" s="31">
        <f t="shared" si="1"/>
        <v>4.5</v>
      </c>
      <c r="M869" s="31">
        <f t="shared" si="2"/>
        <v>10.5</v>
      </c>
      <c r="N869" s="32">
        <f t="shared" si="3"/>
        <v>390.036</v>
      </c>
      <c r="O869" s="32">
        <f t="shared" si="4"/>
        <v>910.084</v>
      </c>
      <c r="P869" s="32">
        <f t="shared" si="5"/>
        <v>910.084</v>
      </c>
      <c r="Q869" s="22">
        <v>0.0</v>
      </c>
      <c r="R869" s="32">
        <f t="shared" si="6"/>
        <v>86.67466667</v>
      </c>
      <c r="S869" s="33" t="s">
        <v>29</v>
      </c>
      <c r="T869" s="33" t="s">
        <v>30</v>
      </c>
      <c r="U869" s="34" t="s">
        <v>229</v>
      </c>
      <c r="V869" s="35"/>
      <c r="W869" s="7"/>
      <c r="X869" s="7"/>
      <c r="Y869" s="7"/>
      <c r="Z869" s="7"/>
      <c r="AA869" s="7"/>
    </row>
    <row r="870" ht="18.75" customHeight="1">
      <c r="A870" s="8" t="s">
        <v>1124</v>
      </c>
      <c r="B870" s="9" t="s">
        <v>1125</v>
      </c>
      <c r="C870" s="9" t="s">
        <v>985</v>
      </c>
      <c r="D870" s="10">
        <v>1967.0</v>
      </c>
      <c r="E870" s="8" t="s">
        <v>1155</v>
      </c>
      <c r="F870" s="11" t="s">
        <v>37</v>
      </c>
      <c r="G870" s="12" t="s">
        <v>27</v>
      </c>
      <c r="H870" s="13">
        <v>945.0</v>
      </c>
      <c r="I870" s="14">
        <v>15.0</v>
      </c>
      <c r="J870" s="15" t="s">
        <v>54</v>
      </c>
      <c r="K870" s="16">
        <v>0.3</v>
      </c>
      <c r="L870" s="17">
        <f t="shared" si="1"/>
        <v>4.5</v>
      </c>
      <c r="M870" s="17">
        <f t="shared" si="2"/>
        <v>10.5</v>
      </c>
      <c r="N870" s="18">
        <f t="shared" si="3"/>
        <v>283.5</v>
      </c>
      <c r="O870" s="18">
        <f t="shared" si="4"/>
        <v>661.5</v>
      </c>
      <c r="P870" s="18">
        <f t="shared" si="5"/>
        <v>661.5</v>
      </c>
      <c r="Q870" s="8">
        <v>0.0</v>
      </c>
      <c r="R870" s="18">
        <f t="shared" si="6"/>
        <v>63</v>
      </c>
      <c r="S870" s="19" t="s">
        <v>29</v>
      </c>
      <c r="T870" s="19" t="s">
        <v>30</v>
      </c>
      <c r="U870" s="20" t="s">
        <v>205</v>
      </c>
      <c r="V870" s="37"/>
      <c r="W870" s="7"/>
      <c r="X870" s="7"/>
      <c r="Y870" s="7"/>
      <c r="Z870" s="7"/>
      <c r="AA870" s="7"/>
    </row>
    <row r="871" ht="18.75" customHeight="1">
      <c r="A871" s="22" t="s">
        <v>1124</v>
      </c>
      <c r="B871" s="23" t="s">
        <v>1125</v>
      </c>
      <c r="C871" s="23" t="s">
        <v>588</v>
      </c>
      <c r="D871" s="24">
        <v>1968.0</v>
      </c>
      <c r="E871" s="22" t="s">
        <v>1156</v>
      </c>
      <c r="F871" s="25" t="s">
        <v>26</v>
      </c>
      <c r="G871" s="26" t="s">
        <v>27</v>
      </c>
      <c r="H871" s="27">
        <v>785.82</v>
      </c>
      <c r="I871" s="28">
        <v>10.0</v>
      </c>
      <c r="J871" s="29" t="s">
        <v>38</v>
      </c>
      <c r="K871" s="30">
        <v>0.5</v>
      </c>
      <c r="L871" s="31">
        <f t="shared" si="1"/>
        <v>5</v>
      </c>
      <c r="M871" s="31">
        <f t="shared" si="2"/>
        <v>5</v>
      </c>
      <c r="N871" s="32">
        <f t="shared" si="3"/>
        <v>392.91</v>
      </c>
      <c r="O871" s="32">
        <f t="shared" si="4"/>
        <v>392.91</v>
      </c>
      <c r="P871" s="32">
        <f t="shared" si="5"/>
        <v>392.91</v>
      </c>
      <c r="Q871" s="22">
        <v>0.0</v>
      </c>
      <c r="R871" s="32">
        <f t="shared" si="6"/>
        <v>78.582</v>
      </c>
      <c r="S871" s="33" t="s">
        <v>29</v>
      </c>
      <c r="T871" s="33" t="s">
        <v>30</v>
      </c>
      <c r="U871" s="34" t="s">
        <v>220</v>
      </c>
      <c r="V871" s="35"/>
      <c r="W871" s="7"/>
      <c r="X871" s="7"/>
      <c r="Y871" s="7"/>
      <c r="Z871" s="7"/>
      <c r="AA871" s="7"/>
    </row>
    <row r="872" ht="18.75" customHeight="1">
      <c r="A872" s="8" t="s">
        <v>1124</v>
      </c>
      <c r="B872" s="9" t="s">
        <v>1125</v>
      </c>
      <c r="C872" s="9" t="s">
        <v>1157</v>
      </c>
      <c r="D872" s="10">
        <v>2144.0</v>
      </c>
      <c r="E872" s="8" t="s">
        <v>1158</v>
      </c>
      <c r="F872" s="11" t="s">
        <v>26</v>
      </c>
      <c r="G872" s="12" t="s">
        <v>27</v>
      </c>
      <c r="H872" s="13">
        <v>3242.22</v>
      </c>
      <c r="I872" s="14">
        <v>10.0</v>
      </c>
      <c r="J872" s="15" t="s">
        <v>54</v>
      </c>
      <c r="K872" s="16">
        <v>0.3</v>
      </c>
      <c r="L872" s="17">
        <f t="shared" si="1"/>
        <v>3</v>
      </c>
      <c r="M872" s="17">
        <f t="shared" si="2"/>
        <v>7</v>
      </c>
      <c r="N872" s="18">
        <f t="shared" si="3"/>
        <v>972.666</v>
      </c>
      <c r="O872" s="18">
        <f t="shared" si="4"/>
        <v>2269.554</v>
      </c>
      <c r="P872" s="18">
        <f t="shared" si="5"/>
        <v>2269.554</v>
      </c>
      <c r="Q872" s="8">
        <v>0.0</v>
      </c>
      <c r="R872" s="18">
        <f t="shared" si="6"/>
        <v>324.222</v>
      </c>
      <c r="S872" s="19" t="s">
        <v>29</v>
      </c>
      <c r="T872" s="19" t="s">
        <v>30</v>
      </c>
      <c r="U872" s="36" t="s">
        <v>1159</v>
      </c>
      <c r="V872" s="37"/>
      <c r="W872" s="7"/>
      <c r="X872" s="7"/>
      <c r="Y872" s="7"/>
      <c r="Z872" s="7"/>
      <c r="AA872" s="7"/>
    </row>
    <row r="873" ht="18.75" customHeight="1">
      <c r="A873" s="22" t="s">
        <v>1124</v>
      </c>
      <c r="B873" s="23" t="s">
        <v>1125</v>
      </c>
      <c r="C873" s="23" t="s">
        <v>33</v>
      </c>
      <c r="D873" s="24">
        <v>2209.0</v>
      </c>
      <c r="E873" s="22" t="s">
        <v>1160</v>
      </c>
      <c r="F873" s="25" t="s">
        <v>37</v>
      </c>
      <c r="G873" s="26" t="s">
        <v>27</v>
      </c>
      <c r="H873" s="27">
        <v>1880.55</v>
      </c>
      <c r="I873" s="28">
        <v>15.0</v>
      </c>
      <c r="J873" s="29" t="s">
        <v>38</v>
      </c>
      <c r="K873" s="30">
        <v>0.5</v>
      </c>
      <c r="L873" s="31">
        <f t="shared" si="1"/>
        <v>7.5</v>
      </c>
      <c r="M873" s="31">
        <f t="shared" si="2"/>
        <v>7.5</v>
      </c>
      <c r="N873" s="32">
        <f t="shared" si="3"/>
        <v>940.275</v>
      </c>
      <c r="O873" s="32">
        <f t="shared" si="4"/>
        <v>940.275</v>
      </c>
      <c r="P873" s="32">
        <f t="shared" si="5"/>
        <v>940.275</v>
      </c>
      <c r="Q873" s="22">
        <v>0.0</v>
      </c>
      <c r="R873" s="32">
        <f t="shared" si="6"/>
        <v>125.37</v>
      </c>
      <c r="S873" s="33" t="s">
        <v>29</v>
      </c>
      <c r="T873" s="33" t="s">
        <v>30</v>
      </c>
      <c r="U873" s="34" t="s">
        <v>69</v>
      </c>
      <c r="V873" s="35"/>
      <c r="W873" s="7"/>
      <c r="X873" s="7"/>
      <c r="Y873" s="7"/>
      <c r="Z873" s="7"/>
      <c r="AA873" s="7"/>
    </row>
    <row r="874" ht="18.75" customHeight="1">
      <c r="A874" s="8" t="s">
        <v>1124</v>
      </c>
      <c r="B874" s="9" t="s">
        <v>1125</v>
      </c>
      <c r="C874" s="9" t="s">
        <v>33</v>
      </c>
      <c r="D874" s="10">
        <v>2210.0</v>
      </c>
      <c r="E874" s="8" t="s">
        <v>1161</v>
      </c>
      <c r="F874" s="11" t="s">
        <v>37</v>
      </c>
      <c r="G874" s="12" t="s">
        <v>27</v>
      </c>
      <c r="H874" s="13">
        <v>1044.42</v>
      </c>
      <c r="I874" s="14">
        <v>10.0</v>
      </c>
      <c r="J874" s="15" t="s">
        <v>38</v>
      </c>
      <c r="K874" s="16">
        <v>0.5</v>
      </c>
      <c r="L874" s="17">
        <f t="shared" si="1"/>
        <v>5</v>
      </c>
      <c r="M874" s="17">
        <f t="shared" si="2"/>
        <v>5</v>
      </c>
      <c r="N874" s="18">
        <f t="shared" si="3"/>
        <v>522.21</v>
      </c>
      <c r="O874" s="18">
        <f t="shared" si="4"/>
        <v>522.21</v>
      </c>
      <c r="P874" s="18">
        <f t="shared" si="5"/>
        <v>522.21</v>
      </c>
      <c r="Q874" s="8">
        <v>0.0</v>
      </c>
      <c r="R874" s="18">
        <f t="shared" si="6"/>
        <v>104.442</v>
      </c>
      <c r="S874" s="19" t="s">
        <v>29</v>
      </c>
      <c r="T874" s="19" t="s">
        <v>30</v>
      </c>
      <c r="U874" s="20" t="s">
        <v>346</v>
      </c>
      <c r="V874" s="37"/>
      <c r="W874" s="7"/>
      <c r="X874" s="7"/>
      <c r="Y874" s="7"/>
      <c r="Z874" s="7"/>
      <c r="AA874" s="7"/>
    </row>
    <row r="875" ht="18.75" customHeight="1">
      <c r="A875" s="22" t="s">
        <v>1124</v>
      </c>
      <c r="B875" s="23" t="s">
        <v>1125</v>
      </c>
      <c r="C875" s="23" t="s">
        <v>985</v>
      </c>
      <c r="D875" s="24">
        <v>2211.0</v>
      </c>
      <c r="E875" s="22" t="s">
        <v>1162</v>
      </c>
      <c r="F875" s="25" t="s">
        <v>37</v>
      </c>
      <c r="G875" s="26" t="s">
        <v>27</v>
      </c>
      <c r="H875" s="27">
        <v>1647.58</v>
      </c>
      <c r="I875" s="28">
        <v>10.0</v>
      </c>
      <c r="J875" s="29" t="s">
        <v>38</v>
      </c>
      <c r="K875" s="30">
        <v>0.5</v>
      </c>
      <c r="L875" s="31">
        <f t="shared" si="1"/>
        <v>5</v>
      </c>
      <c r="M875" s="31">
        <f t="shared" si="2"/>
        <v>5</v>
      </c>
      <c r="N875" s="32">
        <f t="shared" si="3"/>
        <v>823.79</v>
      </c>
      <c r="O875" s="32">
        <f t="shared" si="4"/>
        <v>823.79</v>
      </c>
      <c r="P875" s="32">
        <f t="shared" si="5"/>
        <v>823.79</v>
      </c>
      <c r="Q875" s="22">
        <v>0.0</v>
      </c>
      <c r="R875" s="32">
        <f t="shared" si="6"/>
        <v>164.758</v>
      </c>
      <c r="S875" s="33" t="s">
        <v>29</v>
      </c>
      <c r="T875" s="33" t="s">
        <v>30</v>
      </c>
      <c r="U875" s="34" t="s">
        <v>346</v>
      </c>
      <c r="V875" s="35"/>
      <c r="W875" s="7"/>
      <c r="X875" s="7"/>
      <c r="Y875" s="7"/>
      <c r="Z875" s="7"/>
      <c r="AA875" s="7"/>
    </row>
    <row r="876" ht="18.75" customHeight="1">
      <c r="A876" s="8" t="s">
        <v>1124</v>
      </c>
      <c r="B876" s="9" t="s">
        <v>1125</v>
      </c>
      <c r="C876" s="9" t="s">
        <v>985</v>
      </c>
      <c r="D876" s="10">
        <v>2212.0</v>
      </c>
      <c r="E876" s="8" t="s">
        <v>1163</v>
      </c>
      <c r="F876" s="11" t="s">
        <v>26</v>
      </c>
      <c r="G876" s="12" t="s">
        <v>27</v>
      </c>
      <c r="H876" s="95">
        <v>840.42</v>
      </c>
      <c r="I876" s="14">
        <v>10.0</v>
      </c>
      <c r="J876" s="48" t="s">
        <v>63</v>
      </c>
      <c r="K876" s="16">
        <v>0.700000000000005</v>
      </c>
      <c r="L876" s="17">
        <f t="shared" si="1"/>
        <v>7</v>
      </c>
      <c r="M876" s="17">
        <f t="shared" si="2"/>
        <v>3</v>
      </c>
      <c r="N876" s="18">
        <f t="shared" si="3"/>
        <v>588.294</v>
      </c>
      <c r="O876" s="18">
        <f t="shared" si="4"/>
        <v>252.126</v>
      </c>
      <c r="P876" s="18">
        <f t="shared" si="5"/>
        <v>252.126</v>
      </c>
      <c r="Q876" s="8">
        <v>0.0</v>
      </c>
      <c r="R876" s="18">
        <f t="shared" si="6"/>
        <v>84.042</v>
      </c>
      <c r="S876" s="19" t="s">
        <v>29</v>
      </c>
      <c r="T876" s="19" t="s">
        <v>30</v>
      </c>
      <c r="U876" s="96" t="s">
        <v>220</v>
      </c>
      <c r="V876" s="37"/>
      <c r="W876" s="7"/>
      <c r="X876" s="7"/>
      <c r="Y876" s="7"/>
      <c r="Z876" s="7"/>
      <c r="AA876" s="7"/>
    </row>
    <row r="877" ht="18.75" customHeight="1">
      <c r="A877" s="22" t="s">
        <v>1124</v>
      </c>
      <c r="B877" s="23" t="s">
        <v>1125</v>
      </c>
      <c r="C877" s="23" t="s">
        <v>985</v>
      </c>
      <c r="D877" s="51">
        <v>3159.0</v>
      </c>
      <c r="E877" s="22" t="s">
        <v>1164</v>
      </c>
      <c r="F877" s="25" t="s">
        <v>26</v>
      </c>
      <c r="G877" s="26"/>
      <c r="H877" s="97">
        <v>4899.9</v>
      </c>
      <c r="I877" s="28">
        <v>5.0</v>
      </c>
      <c r="J877" s="29" t="s">
        <v>81</v>
      </c>
      <c r="K877" s="30">
        <v>0.15</v>
      </c>
      <c r="L877" s="31">
        <f t="shared" si="1"/>
        <v>0.75</v>
      </c>
      <c r="M877" s="31">
        <f t="shared" si="2"/>
        <v>4.25</v>
      </c>
      <c r="N877" s="32">
        <f t="shared" si="3"/>
        <v>734.985</v>
      </c>
      <c r="O877" s="32">
        <f t="shared" si="4"/>
        <v>4164.915</v>
      </c>
      <c r="P877" s="32">
        <f t="shared" si="5"/>
        <v>4164.915</v>
      </c>
      <c r="Q877" s="22">
        <v>0.0</v>
      </c>
      <c r="R877" s="32">
        <f t="shared" si="6"/>
        <v>979.98</v>
      </c>
      <c r="S877" s="33" t="s">
        <v>29</v>
      </c>
      <c r="T877" s="33" t="s">
        <v>30</v>
      </c>
      <c r="U877" s="98" t="s">
        <v>1165</v>
      </c>
      <c r="V877" s="35"/>
      <c r="W877" s="7"/>
      <c r="X877" s="7"/>
      <c r="Y877" s="7"/>
      <c r="Z877" s="7"/>
      <c r="AA877" s="7"/>
    </row>
    <row r="878" ht="18.75" customHeight="1">
      <c r="A878" s="8" t="s">
        <v>1124</v>
      </c>
      <c r="B878" s="9" t="s">
        <v>1125</v>
      </c>
      <c r="C878" s="9" t="s">
        <v>985</v>
      </c>
      <c r="D878" s="50" t="s">
        <v>1166</v>
      </c>
      <c r="E878" s="8" t="s">
        <v>1167</v>
      </c>
      <c r="F878" s="11" t="s">
        <v>26</v>
      </c>
      <c r="G878" s="69">
        <v>45448.0</v>
      </c>
      <c r="H878" s="13">
        <v>2299.0</v>
      </c>
      <c r="I878" s="14">
        <v>10.0</v>
      </c>
      <c r="J878" s="99" t="s">
        <v>54</v>
      </c>
      <c r="K878" s="16">
        <v>0.3</v>
      </c>
      <c r="L878" s="17">
        <f t="shared" si="1"/>
        <v>3</v>
      </c>
      <c r="M878" s="17">
        <f t="shared" si="2"/>
        <v>7</v>
      </c>
      <c r="N878" s="18">
        <f t="shared" si="3"/>
        <v>689.7</v>
      </c>
      <c r="O878" s="18">
        <f t="shared" si="4"/>
        <v>1609.3</v>
      </c>
      <c r="P878" s="18">
        <f t="shared" si="5"/>
        <v>1609.3</v>
      </c>
      <c r="Q878" s="8">
        <v>0.0</v>
      </c>
      <c r="R878" s="18">
        <f t="shared" si="6"/>
        <v>229.9</v>
      </c>
      <c r="S878" s="19" t="s">
        <v>29</v>
      </c>
      <c r="T878" s="19" t="s">
        <v>30</v>
      </c>
      <c r="U878" s="20"/>
      <c r="V878" s="37">
        <v>20422.0</v>
      </c>
      <c r="W878" s="7"/>
      <c r="X878" s="7"/>
      <c r="Y878" s="7"/>
      <c r="Z878" s="7"/>
      <c r="AA878" s="7"/>
    </row>
    <row r="879" ht="18.75" customHeight="1">
      <c r="A879" s="22" t="s">
        <v>1168</v>
      </c>
      <c r="B879" s="23" t="s">
        <v>1169</v>
      </c>
      <c r="C879" s="23" t="s">
        <v>1170</v>
      </c>
      <c r="D879" s="24">
        <v>6.0</v>
      </c>
      <c r="E879" s="23" t="s">
        <v>1171</v>
      </c>
      <c r="F879" s="25" t="s">
        <v>37</v>
      </c>
      <c r="G879" s="40"/>
      <c r="H879" s="27">
        <v>369.28</v>
      </c>
      <c r="I879" s="28">
        <v>10.0</v>
      </c>
      <c r="J879" s="29" t="s">
        <v>38</v>
      </c>
      <c r="K879" s="30">
        <v>0.5</v>
      </c>
      <c r="L879" s="31">
        <f t="shared" si="1"/>
        <v>5</v>
      </c>
      <c r="M879" s="31">
        <f t="shared" si="2"/>
        <v>5</v>
      </c>
      <c r="N879" s="32">
        <f t="shared" si="3"/>
        <v>184.64</v>
      </c>
      <c r="O879" s="32">
        <f t="shared" si="4"/>
        <v>184.64</v>
      </c>
      <c r="P879" s="32">
        <f t="shared" si="5"/>
        <v>184.64</v>
      </c>
      <c r="Q879" s="22">
        <v>0.0</v>
      </c>
      <c r="R879" s="32">
        <f t="shared" si="6"/>
        <v>36.928</v>
      </c>
      <c r="S879" s="33" t="s">
        <v>29</v>
      </c>
      <c r="T879" s="33" t="s">
        <v>30</v>
      </c>
      <c r="U879" s="38" t="s">
        <v>1172</v>
      </c>
      <c r="V879" s="35"/>
      <c r="W879" s="7"/>
      <c r="X879" s="7"/>
      <c r="Y879" s="7"/>
      <c r="Z879" s="7"/>
      <c r="AA879" s="7"/>
    </row>
    <row r="880" ht="18.75" customHeight="1">
      <c r="A880" s="8" t="s">
        <v>1168</v>
      </c>
      <c r="B880" s="9" t="s">
        <v>1089</v>
      </c>
      <c r="C880" s="9" t="s">
        <v>1173</v>
      </c>
      <c r="D880" s="10">
        <v>12.0</v>
      </c>
      <c r="E880" s="9" t="s">
        <v>1174</v>
      </c>
      <c r="F880" s="11" t="s">
        <v>37</v>
      </c>
      <c r="G880" s="12" t="s">
        <v>27</v>
      </c>
      <c r="H880" s="13">
        <v>431.07</v>
      </c>
      <c r="I880" s="14">
        <v>10.0</v>
      </c>
      <c r="J880" s="100" t="s">
        <v>54</v>
      </c>
      <c r="K880" s="16">
        <v>0.3</v>
      </c>
      <c r="L880" s="17">
        <f t="shared" si="1"/>
        <v>3</v>
      </c>
      <c r="M880" s="17">
        <f t="shared" si="2"/>
        <v>7</v>
      </c>
      <c r="N880" s="18">
        <f t="shared" si="3"/>
        <v>129.321</v>
      </c>
      <c r="O880" s="18">
        <f t="shared" si="4"/>
        <v>301.749</v>
      </c>
      <c r="P880" s="18">
        <f t="shared" si="5"/>
        <v>301.749</v>
      </c>
      <c r="Q880" s="8">
        <v>0.0</v>
      </c>
      <c r="R880" s="18">
        <f t="shared" si="6"/>
        <v>43.107</v>
      </c>
      <c r="S880" s="19" t="s">
        <v>29</v>
      </c>
      <c r="T880" s="19" t="s">
        <v>30</v>
      </c>
      <c r="U880" s="20" t="s">
        <v>912</v>
      </c>
      <c r="V880" s="37"/>
      <c r="W880" s="7"/>
      <c r="X880" s="7"/>
      <c r="Y880" s="7"/>
      <c r="Z880" s="7"/>
      <c r="AA880" s="7"/>
    </row>
    <row r="881" ht="18.75" customHeight="1">
      <c r="A881" s="22" t="s">
        <v>1168</v>
      </c>
      <c r="B881" s="23" t="s">
        <v>1089</v>
      </c>
      <c r="C881" s="23" t="s">
        <v>1175</v>
      </c>
      <c r="D881" s="24">
        <v>15.0</v>
      </c>
      <c r="E881" s="23" t="s">
        <v>1176</v>
      </c>
      <c r="F881" s="25" t="s">
        <v>37</v>
      </c>
      <c r="G881" s="26" t="s">
        <v>27</v>
      </c>
      <c r="H881" s="27">
        <v>285.0</v>
      </c>
      <c r="I881" s="28">
        <v>10.0</v>
      </c>
      <c r="J881" s="101" t="s">
        <v>54</v>
      </c>
      <c r="K881" s="30">
        <v>0.3</v>
      </c>
      <c r="L881" s="31">
        <f t="shared" si="1"/>
        <v>3</v>
      </c>
      <c r="M881" s="31">
        <f t="shared" si="2"/>
        <v>7</v>
      </c>
      <c r="N881" s="32">
        <f t="shared" si="3"/>
        <v>85.5</v>
      </c>
      <c r="O881" s="32">
        <f t="shared" si="4"/>
        <v>199.5</v>
      </c>
      <c r="P881" s="32">
        <f t="shared" si="5"/>
        <v>199.5</v>
      </c>
      <c r="Q881" s="22">
        <v>0.0</v>
      </c>
      <c r="R881" s="32">
        <f t="shared" si="6"/>
        <v>28.5</v>
      </c>
      <c r="S881" s="33" t="s">
        <v>29</v>
      </c>
      <c r="T881" s="33" t="s">
        <v>30</v>
      </c>
      <c r="U881" s="34" t="s">
        <v>527</v>
      </c>
      <c r="V881" s="35"/>
      <c r="W881" s="7"/>
      <c r="X881" s="7"/>
      <c r="Y881" s="7"/>
      <c r="Z881" s="7"/>
      <c r="AA881" s="7"/>
    </row>
    <row r="882" ht="18.75" customHeight="1">
      <c r="A882" s="8" t="s">
        <v>1168</v>
      </c>
      <c r="B882" s="9" t="s">
        <v>1089</v>
      </c>
      <c r="C882" s="9" t="s">
        <v>1175</v>
      </c>
      <c r="D882" s="10">
        <v>25.0</v>
      </c>
      <c r="E882" s="9" t="s">
        <v>1177</v>
      </c>
      <c r="F882" s="11" t="s">
        <v>37</v>
      </c>
      <c r="G882" s="39"/>
      <c r="H882" s="77">
        <v>369.28</v>
      </c>
      <c r="I882" s="14">
        <v>10.0</v>
      </c>
      <c r="J882" s="15" t="s">
        <v>38</v>
      </c>
      <c r="K882" s="16">
        <v>0.5</v>
      </c>
      <c r="L882" s="17">
        <f t="shared" si="1"/>
        <v>5</v>
      </c>
      <c r="M882" s="17">
        <f t="shared" si="2"/>
        <v>5</v>
      </c>
      <c r="N882" s="18">
        <f t="shared" si="3"/>
        <v>184.64</v>
      </c>
      <c r="O882" s="18">
        <f t="shared" si="4"/>
        <v>184.64</v>
      </c>
      <c r="P882" s="18">
        <f t="shared" si="5"/>
        <v>184.64</v>
      </c>
      <c r="Q882" s="8">
        <v>0.0</v>
      </c>
      <c r="R882" s="18">
        <f t="shared" si="6"/>
        <v>36.928</v>
      </c>
      <c r="S882" s="19" t="s">
        <v>29</v>
      </c>
      <c r="T882" s="19" t="s">
        <v>30</v>
      </c>
      <c r="U882" s="90" t="s">
        <v>1172</v>
      </c>
      <c r="V882" s="37"/>
      <c r="W882" s="7"/>
      <c r="X882" s="7"/>
      <c r="Y882" s="7"/>
      <c r="Z882" s="7"/>
      <c r="AA882" s="7"/>
    </row>
    <row r="883" ht="18.75" customHeight="1">
      <c r="A883" s="22" t="s">
        <v>1168</v>
      </c>
      <c r="B883" s="102" t="s">
        <v>1178</v>
      </c>
      <c r="C883" s="23" t="s">
        <v>294</v>
      </c>
      <c r="D883" s="24">
        <v>27.0</v>
      </c>
      <c r="E883" s="23" t="s">
        <v>1179</v>
      </c>
      <c r="F883" s="25" t="s">
        <v>37</v>
      </c>
      <c r="G883" s="40"/>
      <c r="H883" s="67">
        <v>314.99</v>
      </c>
      <c r="I883" s="28">
        <v>10.0</v>
      </c>
      <c r="J883" s="41" t="s">
        <v>63</v>
      </c>
      <c r="K883" s="42">
        <v>0.700000000000005</v>
      </c>
      <c r="L883" s="31">
        <f t="shared" si="1"/>
        <v>7</v>
      </c>
      <c r="M883" s="31">
        <f t="shared" si="2"/>
        <v>3</v>
      </c>
      <c r="N883" s="32">
        <f t="shared" si="3"/>
        <v>220.493</v>
      </c>
      <c r="O883" s="32">
        <f t="shared" si="4"/>
        <v>94.497</v>
      </c>
      <c r="P883" s="32">
        <f t="shared" si="5"/>
        <v>94.497</v>
      </c>
      <c r="Q883" s="22">
        <v>0.0</v>
      </c>
      <c r="R883" s="32">
        <f t="shared" si="6"/>
        <v>31.499</v>
      </c>
      <c r="S883" s="33" t="s">
        <v>29</v>
      </c>
      <c r="T883" s="33" t="s">
        <v>30</v>
      </c>
      <c r="U883" s="72" t="s">
        <v>64</v>
      </c>
      <c r="V883" s="35"/>
      <c r="W883" s="7"/>
      <c r="X883" s="7"/>
      <c r="Y883" s="7"/>
      <c r="Z883" s="7"/>
      <c r="AA883" s="7"/>
    </row>
    <row r="884" ht="18.75" customHeight="1">
      <c r="A884" s="8" t="s">
        <v>1168</v>
      </c>
      <c r="B884" s="9" t="s">
        <v>1180</v>
      </c>
      <c r="C884" s="9" t="s">
        <v>1181</v>
      </c>
      <c r="D884" s="10">
        <v>28.0</v>
      </c>
      <c r="E884" s="9" t="s">
        <v>1182</v>
      </c>
      <c r="F884" s="11" t="s">
        <v>128</v>
      </c>
      <c r="G884" s="12" t="s">
        <v>27</v>
      </c>
      <c r="H884" s="77">
        <v>1669.0</v>
      </c>
      <c r="I884" s="14">
        <v>5.0</v>
      </c>
      <c r="J884" s="15" t="s">
        <v>38</v>
      </c>
      <c r="K884" s="16">
        <v>0.5</v>
      </c>
      <c r="L884" s="17">
        <f t="shared" si="1"/>
        <v>2.5</v>
      </c>
      <c r="M884" s="17">
        <f t="shared" si="2"/>
        <v>2.5</v>
      </c>
      <c r="N884" s="18">
        <f t="shared" si="3"/>
        <v>834.5</v>
      </c>
      <c r="O884" s="18">
        <f t="shared" si="4"/>
        <v>834.5</v>
      </c>
      <c r="P884" s="18">
        <f t="shared" si="5"/>
        <v>834.5</v>
      </c>
      <c r="Q884" s="8">
        <v>0.0</v>
      </c>
      <c r="R884" s="18">
        <f t="shared" si="6"/>
        <v>333.8</v>
      </c>
      <c r="S884" s="19" t="s">
        <v>29</v>
      </c>
      <c r="T884" s="19" t="s">
        <v>30</v>
      </c>
      <c r="U884" s="78" t="s">
        <v>129</v>
      </c>
      <c r="V884" s="37"/>
      <c r="W884" s="7"/>
      <c r="X884" s="7"/>
      <c r="Y884" s="7"/>
      <c r="Z884" s="7"/>
      <c r="AA884" s="7"/>
    </row>
    <row r="885" ht="18.75" customHeight="1">
      <c r="A885" s="22" t="s">
        <v>1168</v>
      </c>
      <c r="B885" s="102" t="s">
        <v>1178</v>
      </c>
      <c r="C885" s="23" t="s">
        <v>294</v>
      </c>
      <c r="D885" s="24">
        <v>32.0</v>
      </c>
      <c r="E885" s="23" t="s">
        <v>1183</v>
      </c>
      <c r="F885" s="25" t="s">
        <v>37</v>
      </c>
      <c r="G885" s="40"/>
      <c r="H885" s="67">
        <v>314.99</v>
      </c>
      <c r="I885" s="28">
        <v>10.0</v>
      </c>
      <c r="J885" s="45" t="s">
        <v>63</v>
      </c>
      <c r="K885" s="42">
        <v>0.700000000000005</v>
      </c>
      <c r="L885" s="31">
        <f t="shared" si="1"/>
        <v>7</v>
      </c>
      <c r="M885" s="31">
        <f t="shared" si="2"/>
        <v>3</v>
      </c>
      <c r="N885" s="32">
        <f t="shared" si="3"/>
        <v>220.493</v>
      </c>
      <c r="O885" s="32">
        <f t="shared" si="4"/>
        <v>94.497</v>
      </c>
      <c r="P885" s="32">
        <f t="shared" si="5"/>
        <v>94.497</v>
      </c>
      <c r="Q885" s="22">
        <v>0.0</v>
      </c>
      <c r="R885" s="32">
        <f t="shared" si="6"/>
        <v>31.499</v>
      </c>
      <c r="S885" s="33" t="s">
        <v>29</v>
      </c>
      <c r="T885" s="33" t="s">
        <v>30</v>
      </c>
      <c r="U885" s="72" t="s">
        <v>64</v>
      </c>
      <c r="V885" s="35"/>
      <c r="W885" s="7"/>
      <c r="X885" s="7"/>
      <c r="Y885" s="7"/>
      <c r="Z885" s="7"/>
      <c r="AA885" s="7"/>
    </row>
    <row r="886" ht="18.75" customHeight="1">
      <c r="A886" s="8" t="s">
        <v>1168</v>
      </c>
      <c r="B886" s="9" t="s">
        <v>1184</v>
      </c>
      <c r="C886" s="9" t="s">
        <v>844</v>
      </c>
      <c r="D886" s="10">
        <v>34.0</v>
      </c>
      <c r="E886" s="9" t="s">
        <v>1185</v>
      </c>
      <c r="F886" s="11" t="s">
        <v>37</v>
      </c>
      <c r="G886" s="39"/>
      <c r="H886" s="77">
        <v>254.53</v>
      </c>
      <c r="I886" s="14">
        <v>10.0</v>
      </c>
      <c r="J886" s="15" t="s">
        <v>38</v>
      </c>
      <c r="K886" s="16">
        <v>0.5</v>
      </c>
      <c r="L886" s="17">
        <f t="shared" si="1"/>
        <v>5</v>
      </c>
      <c r="M886" s="17">
        <f t="shared" si="2"/>
        <v>5</v>
      </c>
      <c r="N886" s="18">
        <f t="shared" si="3"/>
        <v>127.265</v>
      </c>
      <c r="O886" s="18">
        <f t="shared" si="4"/>
        <v>127.265</v>
      </c>
      <c r="P886" s="18">
        <f t="shared" si="5"/>
        <v>127.265</v>
      </c>
      <c r="Q886" s="8">
        <v>0.0</v>
      </c>
      <c r="R886" s="18">
        <f t="shared" si="6"/>
        <v>25.453</v>
      </c>
      <c r="S886" s="19" t="s">
        <v>29</v>
      </c>
      <c r="T886" s="19" t="s">
        <v>30</v>
      </c>
      <c r="U886" s="90" t="s">
        <v>1186</v>
      </c>
      <c r="V886" s="37"/>
      <c r="W886" s="7"/>
      <c r="X886" s="7"/>
      <c r="Y886" s="7"/>
      <c r="Z886" s="7"/>
      <c r="AA886" s="7"/>
    </row>
    <row r="887" ht="18.75" customHeight="1">
      <c r="A887" s="22" t="s">
        <v>1168</v>
      </c>
      <c r="B887" s="23" t="s">
        <v>1187</v>
      </c>
      <c r="C887" s="23" t="s">
        <v>1093</v>
      </c>
      <c r="D887" s="24">
        <v>62.0</v>
      </c>
      <c r="E887" s="23" t="s">
        <v>1188</v>
      </c>
      <c r="F887" s="25" t="s">
        <v>37</v>
      </c>
      <c r="G887" s="40"/>
      <c r="H887" s="67">
        <v>1214.0</v>
      </c>
      <c r="I887" s="28">
        <v>10.0</v>
      </c>
      <c r="J887" s="101" t="s">
        <v>54</v>
      </c>
      <c r="K887" s="30">
        <v>0.3</v>
      </c>
      <c r="L887" s="31">
        <f t="shared" si="1"/>
        <v>3</v>
      </c>
      <c r="M887" s="31">
        <f t="shared" si="2"/>
        <v>7</v>
      </c>
      <c r="N887" s="32">
        <f t="shared" si="3"/>
        <v>364.2</v>
      </c>
      <c r="O887" s="32">
        <f t="shared" si="4"/>
        <v>849.8</v>
      </c>
      <c r="P887" s="32">
        <f t="shared" si="5"/>
        <v>849.8</v>
      </c>
      <c r="Q887" s="22">
        <v>0.0</v>
      </c>
      <c r="R887" s="32">
        <f t="shared" si="6"/>
        <v>121.4</v>
      </c>
      <c r="S887" s="33" t="s">
        <v>29</v>
      </c>
      <c r="T887" s="33" t="s">
        <v>30</v>
      </c>
      <c r="U887" s="68" t="s">
        <v>211</v>
      </c>
      <c r="V887" s="35"/>
      <c r="W887" s="7"/>
      <c r="X887" s="7"/>
      <c r="Y887" s="7"/>
      <c r="Z887" s="7"/>
      <c r="AA887" s="7"/>
    </row>
    <row r="888" ht="18.75" customHeight="1">
      <c r="A888" s="8" t="s">
        <v>1168</v>
      </c>
      <c r="B888" s="9" t="s">
        <v>1067</v>
      </c>
      <c r="C888" s="9" t="s">
        <v>253</v>
      </c>
      <c r="D888" s="10">
        <v>63.0</v>
      </c>
      <c r="E888" s="9" t="s">
        <v>1189</v>
      </c>
      <c r="F888" s="11" t="s">
        <v>37</v>
      </c>
      <c r="G888" s="39"/>
      <c r="H888" s="13">
        <v>493.0</v>
      </c>
      <c r="I888" s="14">
        <v>10.0</v>
      </c>
      <c r="J888" s="15" t="s">
        <v>28</v>
      </c>
      <c r="K888" s="16">
        <v>0.4</v>
      </c>
      <c r="L888" s="17">
        <f t="shared" si="1"/>
        <v>4</v>
      </c>
      <c r="M888" s="17">
        <f t="shared" si="2"/>
        <v>6</v>
      </c>
      <c r="N888" s="18">
        <f t="shared" si="3"/>
        <v>197.2</v>
      </c>
      <c r="O888" s="18">
        <f t="shared" si="4"/>
        <v>295.8</v>
      </c>
      <c r="P888" s="18">
        <f t="shared" si="5"/>
        <v>295.8</v>
      </c>
      <c r="Q888" s="8">
        <v>0.0</v>
      </c>
      <c r="R888" s="18">
        <f t="shared" si="6"/>
        <v>49.3</v>
      </c>
      <c r="S888" s="19" t="s">
        <v>29</v>
      </c>
      <c r="T888" s="19" t="s">
        <v>30</v>
      </c>
      <c r="U888" s="36" t="s">
        <v>77</v>
      </c>
      <c r="V888" s="37"/>
      <c r="W888" s="7"/>
      <c r="X888" s="7"/>
      <c r="Y888" s="7"/>
      <c r="Z888" s="7"/>
      <c r="AA888" s="7"/>
    </row>
    <row r="889" ht="18.75" customHeight="1">
      <c r="A889" s="22" t="s">
        <v>1168</v>
      </c>
      <c r="B889" s="23" t="s">
        <v>1089</v>
      </c>
      <c r="C889" s="23" t="s">
        <v>1175</v>
      </c>
      <c r="D889" s="24">
        <v>65.0</v>
      </c>
      <c r="E889" s="23" t="s">
        <v>1190</v>
      </c>
      <c r="F889" s="25" t="s">
        <v>37</v>
      </c>
      <c r="G889" s="40"/>
      <c r="H889" s="65">
        <v>369.28</v>
      </c>
      <c r="I889" s="28">
        <v>10.0</v>
      </c>
      <c r="J889" s="29" t="s">
        <v>38</v>
      </c>
      <c r="K889" s="30">
        <v>0.5</v>
      </c>
      <c r="L889" s="31">
        <f t="shared" si="1"/>
        <v>5</v>
      </c>
      <c r="M889" s="31">
        <f t="shared" si="2"/>
        <v>5</v>
      </c>
      <c r="N889" s="32">
        <f t="shared" si="3"/>
        <v>184.64</v>
      </c>
      <c r="O889" s="32">
        <f t="shared" si="4"/>
        <v>184.64</v>
      </c>
      <c r="P889" s="32">
        <f t="shared" si="5"/>
        <v>184.64</v>
      </c>
      <c r="Q889" s="22">
        <v>0.0</v>
      </c>
      <c r="R889" s="32">
        <f t="shared" si="6"/>
        <v>36.928</v>
      </c>
      <c r="S889" s="33" t="s">
        <v>29</v>
      </c>
      <c r="T889" s="33" t="s">
        <v>30</v>
      </c>
      <c r="U889" s="86" t="s">
        <v>1172</v>
      </c>
      <c r="V889" s="35"/>
      <c r="W889" s="7"/>
      <c r="X889" s="7"/>
      <c r="Y889" s="7"/>
      <c r="Z889" s="7"/>
      <c r="AA889" s="7"/>
    </row>
    <row r="890" ht="18.75" customHeight="1">
      <c r="A890" s="8" t="s">
        <v>1168</v>
      </c>
      <c r="B890" s="9" t="s">
        <v>1191</v>
      </c>
      <c r="C890" s="9" t="s">
        <v>1192</v>
      </c>
      <c r="D890" s="10">
        <v>80.0</v>
      </c>
      <c r="E890" s="9" t="s">
        <v>1193</v>
      </c>
      <c r="F890" s="11" t="s">
        <v>37</v>
      </c>
      <c r="G890" s="39"/>
      <c r="H890" s="87">
        <v>553.64</v>
      </c>
      <c r="I890" s="14">
        <v>10.0</v>
      </c>
      <c r="J890" s="15" t="s">
        <v>38</v>
      </c>
      <c r="K890" s="16">
        <v>0.5</v>
      </c>
      <c r="L890" s="17">
        <f t="shared" si="1"/>
        <v>5</v>
      </c>
      <c r="M890" s="17">
        <f t="shared" si="2"/>
        <v>5</v>
      </c>
      <c r="N890" s="18">
        <f t="shared" si="3"/>
        <v>276.82</v>
      </c>
      <c r="O890" s="18">
        <f t="shared" si="4"/>
        <v>276.82</v>
      </c>
      <c r="P890" s="18">
        <f t="shared" si="5"/>
        <v>276.82</v>
      </c>
      <c r="Q890" s="8">
        <v>0.0</v>
      </c>
      <c r="R890" s="18">
        <f t="shared" si="6"/>
        <v>55.364</v>
      </c>
      <c r="S890" s="19" t="s">
        <v>29</v>
      </c>
      <c r="T890" s="19" t="s">
        <v>30</v>
      </c>
      <c r="U890" s="85" t="s">
        <v>1194</v>
      </c>
      <c r="V890" s="37"/>
      <c r="W890" s="7"/>
      <c r="X890" s="7"/>
      <c r="Y890" s="7"/>
      <c r="Z890" s="7"/>
      <c r="AA890" s="7"/>
    </row>
    <row r="891" ht="18.75" customHeight="1">
      <c r="A891" s="22" t="s">
        <v>1168</v>
      </c>
      <c r="B891" s="23" t="s">
        <v>1191</v>
      </c>
      <c r="C891" s="23" t="s">
        <v>1192</v>
      </c>
      <c r="D891" s="24">
        <v>81.0</v>
      </c>
      <c r="E891" s="23" t="s">
        <v>1195</v>
      </c>
      <c r="F891" s="25" t="s">
        <v>202</v>
      </c>
      <c r="G891" s="26" t="s">
        <v>27</v>
      </c>
      <c r="H891" s="27">
        <v>205.0</v>
      </c>
      <c r="I891" s="28">
        <v>5.0</v>
      </c>
      <c r="J891" s="101" t="s">
        <v>54</v>
      </c>
      <c r="K891" s="30">
        <v>0.3</v>
      </c>
      <c r="L891" s="31">
        <f t="shared" si="1"/>
        <v>1.5</v>
      </c>
      <c r="M891" s="31">
        <f t="shared" si="2"/>
        <v>3.5</v>
      </c>
      <c r="N891" s="32">
        <f t="shared" si="3"/>
        <v>61.5</v>
      </c>
      <c r="O891" s="32">
        <f t="shared" si="4"/>
        <v>143.5</v>
      </c>
      <c r="P891" s="32">
        <f t="shared" si="5"/>
        <v>143.5</v>
      </c>
      <c r="Q891" s="22">
        <v>0.0</v>
      </c>
      <c r="R891" s="32">
        <f t="shared" si="6"/>
        <v>41</v>
      </c>
      <c r="S891" s="33" t="s">
        <v>29</v>
      </c>
      <c r="T891" s="33" t="s">
        <v>30</v>
      </c>
      <c r="U891" s="34" t="s">
        <v>216</v>
      </c>
      <c r="V891" s="35"/>
      <c r="W891" s="7"/>
      <c r="X891" s="7"/>
      <c r="Y891" s="7"/>
      <c r="Z891" s="7"/>
      <c r="AA891" s="7"/>
    </row>
    <row r="892" ht="18.75" customHeight="1">
      <c r="A892" s="8" t="s">
        <v>1168</v>
      </c>
      <c r="B892" s="103" t="s">
        <v>1178</v>
      </c>
      <c r="C892" s="9" t="s">
        <v>294</v>
      </c>
      <c r="D892" s="10">
        <v>83.0</v>
      </c>
      <c r="E892" s="9" t="s">
        <v>1196</v>
      </c>
      <c r="F892" s="11" t="s">
        <v>37</v>
      </c>
      <c r="G892" s="12" t="s">
        <v>27</v>
      </c>
      <c r="H892" s="13">
        <v>285.0</v>
      </c>
      <c r="I892" s="14">
        <v>10.0</v>
      </c>
      <c r="J892" s="100" t="s">
        <v>54</v>
      </c>
      <c r="K892" s="16">
        <v>0.3</v>
      </c>
      <c r="L892" s="17">
        <f t="shared" si="1"/>
        <v>3</v>
      </c>
      <c r="M892" s="17">
        <f t="shared" si="2"/>
        <v>7</v>
      </c>
      <c r="N892" s="18">
        <f t="shared" si="3"/>
        <v>85.5</v>
      </c>
      <c r="O892" s="18">
        <f t="shared" si="4"/>
        <v>199.5</v>
      </c>
      <c r="P892" s="18">
        <f t="shared" si="5"/>
        <v>199.5</v>
      </c>
      <c r="Q892" s="8">
        <v>0.0</v>
      </c>
      <c r="R892" s="18">
        <f t="shared" si="6"/>
        <v>28.5</v>
      </c>
      <c r="S892" s="19" t="s">
        <v>29</v>
      </c>
      <c r="T892" s="19" t="s">
        <v>30</v>
      </c>
      <c r="U892" s="20" t="s">
        <v>527</v>
      </c>
      <c r="V892" s="37"/>
      <c r="W892" s="7"/>
      <c r="X892" s="7"/>
      <c r="Y892" s="7"/>
      <c r="Z892" s="7"/>
      <c r="AA892" s="7"/>
    </row>
    <row r="893" ht="18.75" customHeight="1">
      <c r="A893" s="22" t="s">
        <v>1168</v>
      </c>
      <c r="B893" s="23" t="s">
        <v>1169</v>
      </c>
      <c r="C893" s="23" t="s">
        <v>1170</v>
      </c>
      <c r="D893" s="24">
        <v>89.0</v>
      </c>
      <c r="E893" s="23" t="s">
        <v>1197</v>
      </c>
      <c r="F893" s="25" t="s">
        <v>37</v>
      </c>
      <c r="G893" s="26" t="s">
        <v>27</v>
      </c>
      <c r="H893" s="27">
        <v>332.91</v>
      </c>
      <c r="I893" s="28">
        <v>10.0</v>
      </c>
      <c r="J893" s="101" t="s">
        <v>54</v>
      </c>
      <c r="K893" s="30">
        <v>0.3</v>
      </c>
      <c r="L893" s="31">
        <f t="shared" si="1"/>
        <v>3</v>
      </c>
      <c r="M893" s="31">
        <f t="shared" si="2"/>
        <v>7</v>
      </c>
      <c r="N893" s="32">
        <f t="shared" si="3"/>
        <v>99.873</v>
      </c>
      <c r="O893" s="32">
        <f t="shared" si="4"/>
        <v>233.037</v>
      </c>
      <c r="P893" s="32">
        <f t="shared" si="5"/>
        <v>233.037</v>
      </c>
      <c r="Q893" s="22">
        <v>0.0</v>
      </c>
      <c r="R893" s="32">
        <f t="shared" si="6"/>
        <v>33.291</v>
      </c>
      <c r="S893" s="33" t="s">
        <v>29</v>
      </c>
      <c r="T893" s="33" t="s">
        <v>30</v>
      </c>
      <c r="U893" s="38" t="s">
        <v>787</v>
      </c>
      <c r="V893" s="35"/>
      <c r="W893" s="7"/>
      <c r="X893" s="7"/>
      <c r="Y893" s="7"/>
      <c r="Z893" s="7"/>
      <c r="AA893" s="7"/>
    </row>
    <row r="894" ht="18.75" customHeight="1">
      <c r="A894" s="8" t="s">
        <v>1168</v>
      </c>
      <c r="B894" s="103" t="s">
        <v>1178</v>
      </c>
      <c r="C894" s="9" t="s">
        <v>294</v>
      </c>
      <c r="D894" s="10">
        <v>92.0</v>
      </c>
      <c r="E894" s="9" t="s">
        <v>1198</v>
      </c>
      <c r="F894" s="11" t="s">
        <v>202</v>
      </c>
      <c r="G894" s="12" t="s">
        <v>27</v>
      </c>
      <c r="H894" s="13">
        <v>205.0</v>
      </c>
      <c r="I894" s="14">
        <v>5.0</v>
      </c>
      <c r="J894" s="100" t="s">
        <v>54</v>
      </c>
      <c r="K894" s="16">
        <v>0.3</v>
      </c>
      <c r="L894" s="17">
        <f t="shared" si="1"/>
        <v>1.5</v>
      </c>
      <c r="M894" s="17">
        <f t="shared" si="2"/>
        <v>3.5</v>
      </c>
      <c r="N894" s="18">
        <f t="shared" si="3"/>
        <v>61.5</v>
      </c>
      <c r="O894" s="18">
        <f t="shared" si="4"/>
        <v>143.5</v>
      </c>
      <c r="P894" s="18">
        <f t="shared" si="5"/>
        <v>143.5</v>
      </c>
      <c r="Q894" s="8">
        <v>0.0</v>
      </c>
      <c r="R894" s="18">
        <f t="shared" si="6"/>
        <v>41</v>
      </c>
      <c r="S894" s="19" t="s">
        <v>29</v>
      </c>
      <c r="T894" s="19" t="s">
        <v>30</v>
      </c>
      <c r="U894" s="20" t="s">
        <v>216</v>
      </c>
      <c r="V894" s="37"/>
      <c r="W894" s="7"/>
      <c r="X894" s="7"/>
      <c r="Y894" s="7"/>
      <c r="Z894" s="7"/>
      <c r="AA894" s="7"/>
    </row>
    <row r="895" ht="18.75" customHeight="1">
      <c r="A895" s="22" t="s">
        <v>1168</v>
      </c>
      <c r="B895" s="102" t="s">
        <v>1178</v>
      </c>
      <c r="C895" s="23" t="s">
        <v>294</v>
      </c>
      <c r="D895" s="24">
        <v>94.0</v>
      </c>
      <c r="E895" s="23" t="s">
        <v>1199</v>
      </c>
      <c r="F895" s="25" t="s">
        <v>37</v>
      </c>
      <c r="G895" s="40"/>
      <c r="H895" s="27">
        <v>369.28</v>
      </c>
      <c r="I895" s="28">
        <v>10.0</v>
      </c>
      <c r="J895" s="29" t="s">
        <v>38</v>
      </c>
      <c r="K895" s="30">
        <v>0.5</v>
      </c>
      <c r="L895" s="31">
        <f t="shared" si="1"/>
        <v>5</v>
      </c>
      <c r="M895" s="31">
        <f t="shared" si="2"/>
        <v>5</v>
      </c>
      <c r="N895" s="32">
        <f t="shared" si="3"/>
        <v>184.64</v>
      </c>
      <c r="O895" s="32">
        <f t="shared" si="4"/>
        <v>184.64</v>
      </c>
      <c r="P895" s="32">
        <f t="shared" si="5"/>
        <v>184.64</v>
      </c>
      <c r="Q895" s="22">
        <v>0.0</v>
      </c>
      <c r="R895" s="32">
        <f t="shared" si="6"/>
        <v>36.928</v>
      </c>
      <c r="S895" s="33" t="s">
        <v>29</v>
      </c>
      <c r="T895" s="33" t="s">
        <v>30</v>
      </c>
      <c r="U895" s="38" t="s">
        <v>1172</v>
      </c>
      <c r="V895" s="35"/>
      <c r="W895" s="7"/>
      <c r="X895" s="7"/>
      <c r="Y895" s="7"/>
      <c r="Z895" s="7"/>
      <c r="AA895" s="7"/>
    </row>
    <row r="896" ht="18.75" customHeight="1">
      <c r="A896" s="8" t="s">
        <v>1168</v>
      </c>
      <c r="B896" s="9" t="s">
        <v>1089</v>
      </c>
      <c r="C896" s="9" t="s">
        <v>1175</v>
      </c>
      <c r="D896" s="10">
        <v>110.0</v>
      </c>
      <c r="E896" s="9" t="s">
        <v>1176</v>
      </c>
      <c r="F896" s="11" t="s">
        <v>37</v>
      </c>
      <c r="G896" s="12" t="s">
        <v>27</v>
      </c>
      <c r="H896" s="13">
        <v>285.0</v>
      </c>
      <c r="I896" s="14">
        <v>10.0</v>
      </c>
      <c r="J896" s="100" t="s">
        <v>54</v>
      </c>
      <c r="K896" s="16">
        <v>0.3</v>
      </c>
      <c r="L896" s="17">
        <f t="shared" si="1"/>
        <v>3</v>
      </c>
      <c r="M896" s="17">
        <f t="shared" si="2"/>
        <v>7</v>
      </c>
      <c r="N896" s="18">
        <f t="shared" si="3"/>
        <v>85.5</v>
      </c>
      <c r="O896" s="18">
        <f t="shared" si="4"/>
        <v>199.5</v>
      </c>
      <c r="P896" s="18">
        <f t="shared" si="5"/>
        <v>199.5</v>
      </c>
      <c r="Q896" s="8">
        <v>0.0</v>
      </c>
      <c r="R896" s="18">
        <f t="shared" si="6"/>
        <v>28.5</v>
      </c>
      <c r="S896" s="19" t="s">
        <v>29</v>
      </c>
      <c r="T896" s="19" t="s">
        <v>30</v>
      </c>
      <c r="U896" s="20" t="s">
        <v>527</v>
      </c>
      <c r="V896" s="37"/>
      <c r="W896" s="7"/>
      <c r="X896" s="7"/>
      <c r="Y896" s="7"/>
      <c r="Z896" s="7"/>
      <c r="AA896" s="7"/>
    </row>
    <row r="897" ht="18.75" customHeight="1">
      <c r="A897" s="22" t="s">
        <v>1168</v>
      </c>
      <c r="B897" s="23" t="s">
        <v>1089</v>
      </c>
      <c r="C897" s="23" t="s">
        <v>1175</v>
      </c>
      <c r="D897" s="24">
        <v>120.0</v>
      </c>
      <c r="E897" s="23" t="s">
        <v>1200</v>
      </c>
      <c r="F897" s="25" t="s">
        <v>37</v>
      </c>
      <c r="G897" s="26" t="s">
        <v>27</v>
      </c>
      <c r="H897" s="27">
        <v>431.07</v>
      </c>
      <c r="I897" s="28">
        <v>10.0</v>
      </c>
      <c r="J897" s="101" t="s">
        <v>54</v>
      </c>
      <c r="K897" s="30">
        <v>0.3</v>
      </c>
      <c r="L897" s="31">
        <f t="shared" si="1"/>
        <v>3</v>
      </c>
      <c r="M897" s="31">
        <f t="shared" si="2"/>
        <v>7</v>
      </c>
      <c r="N897" s="32">
        <f t="shared" si="3"/>
        <v>129.321</v>
      </c>
      <c r="O897" s="32">
        <f t="shared" si="4"/>
        <v>301.749</v>
      </c>
      <c r="P897" s="32">
        <f t="shared" si="5"/>
        <v>301.749</v>
      </c>
      <c r="Q897" s="22">
        <v>0.0</v>
      </c>
      <c r="R897" s="32">
        <f t="shared" si="6"/>
        <v>43.107</v>
      </c>
      <c r="S897" s="33" t="s">
        <v>29</v>
      </c>
      <c r="T897" s="33" t="s">
        <v>30</v>
      </c>
      <c r="U897" s="34" t="s">
        <v>912</v>
      </c>
      <c r="V897" s="35"/>
      <c r="W897" s="7"/>
      <c r="X897" s="7"/>
      <c r="Y897" s="7"/>
      <c r="Z897" s="7"/>
      <c r="AA897" s="7"/>
    </row>
    <row r="898" ht="18.75" customHeight="1">
      <c r="A898" s="8" t="s">
        <v>1168</v>
      </c>
      <c r="B898" s="9" t="s">
        <v>1201</v>
      </c>
      <c r="C898" s="9" t="s">
        <v>626</v>
      </c>
      <c r="D898" s="10">
        <v>128.0</v>
      </c>
      <c r="E898" s="9" t="s">
        <v>1202</v>
      </c>
      <c r="F898" s="11" t="s">
        <v>128</v>
      </c>
      <c r="G898" s="12" t="s">
        <v>27</v>
      </c>
      <c r="H898" s="13">
        <v>1669.0</v>
      </c>
      <c r="I898" s="14">
        <v>5.0</v>
      </c>
      <c r="J898" s="15" t="s">
        <v>38</v>
      </c>
      <c r="K898" s="16">
        <v>0.5</v>
      </c>
      <c r="L898" s="17">
        <f t="shared" si="1"/>
        <v>2.5</v>
      </c>
      <c r="M898" s="17">
        <f t="shared" si="2"/>
        <v>2.5</v>
      </c>
      <c r="N898" s="18">
        <f t="shared" si="3"/>
        <v>834.5</v>
      </c>
      <c r="O898" s="18">
        <f t="shared" si="4"/>
        <v>834.5</v>
      </c>
      <c r="P898" s="18">
        <f t="shared" si="5"/>
        <v>834.5</v>
      </c>
      <c r="Q898" s="8">
        <v>0.0</v>
      </c>
      <c r="R898" s="18">
        <f t="shared" si="6"/>
        <v>333.8</v>
      </c>
      <c r="S898" s="19" t="s">
        <v>29</v>
      </c>
      <c r="T898" s="19" t="s">
        <v>30</v>
      </c>
      <c r="U898" s="20" t="s">
        <v>129</v>
      </c>
      <c r="V898" s="37"/>
      <c r="W898" s="7"/>
      <c r="X898" s="7"/>
      <c r="Y898" s="7"/>
      <c r="Z898" s="7"/>
      <c r="AA898" s="7"/>
    </row>
    <row r="899" ht="18.75" customHeight="1">
      <c r="A899" s="22" t="s">
        <v>1168</v>
      </c>
      <c r="B899" s="102" t="s">
        <v>1178</v>
      </c>
      <c r="C899" s="23" t="s">
        <v>294</v>
      </c>
      <c r="D899" s="24">
        <v>131.0</v>
      </c>
      <c r="E899" s="23" t="s">
        <v>1190</v>
      </c>
      <c r="F899" s="25" t="s">
        <v>37</v>
      </c>
      <c r="G899" s="40"/>
      <c r="H899" s="65">
        <v>369.28</v>
      </c>
      <c r="I899" s="28">
        <v>10.0</v>
      </c>
      <c r="J899" s="29" t="s">
        <v>38</v>
      </c>
      <c r="K899" s="30">
        <v>0.5</v>
      </c>
      <c r="L899" s="31">
        <f t="shared" si="1"/>
        <v>5</v>
      </c>
      <c r="M899" s="31">
        <f t="shared" si="2"/>
        <v>5</v>
      </c>
      <c r="N899" s="32">
        <f t="shared" si="3"/>
        <v>184.64</v>
      </c>
      <c r="O899" s="32">
        <f t="shared" si="4"/>
        <v>184.64</v>
      </c>
      <c r="P899" s="32">
        <f t="shared" si="5"/>
        <v>184.64</v>
      </c>
      <c r="Q899" s="22">
        <v>0.0</v>
      </c>
      <c r="R899" s="32">
        <f t="shared" si="6"/>
        <v>36.928</v>
      </c>
      <c r="S899" s="33" t="s">
        <v>29</v>
      </c>
      <c r="T899" s="33" t="s">
        <v>30</v>
      </c>
      <c r="U899" s="86" t="s">
        <v>1172</v>
      </c>
      <c r="V899" s="35"/>
      <c r="W899" s="7"/>
      <c r="X899" s="7"/>
      <c r="Y899" s="7"/>
      <c r="Z899" s="7"/>
      <c r="AA899" s="7"/>
    </row>
    <row r="900" ht="18.75" customHeight="1">
      <c r="A900" s="8" t="s">
        <v>1168</v>
      </c>
      <c r="B900" s="9" t="s">
        <v>1191</v>
      </c>
      <c r="C900" s="9" t="s">
        <v>1192</v>
      </c>
      <c r="D900" s="10">
        <v>137.0</v>
      </c>
      <c r="E900" s="9" t="s">
        <v>1203</v>
      </c>
      <c r="F900" s="11" t="s">
        <v>37</v>
      </c>
      <c r="G900" s="39"/>
      <c r="H900" s="87">
        <v>553.64</v>
      </c>
      <c r="I900" s="14">
        <v>10.0</v>
      </c>
      <c r="J900" s="15" t="s">
        <v>38</v>
      </c>
      <c r="K900" s="16">
        <v>0.5</v>
      </c>
      <c r="L900" s="17">
        <f t="shared" si="1"/>
        <v>5</v>
      </c>
      <c r="M900" s="17">
        <f t="shared" si="2"/>
        <v>5</v>
      </c>
      <c r="N900" s="18">
        <f t="shared" si="3"/>
        <v>276.82</v>
      </c>
      <c r="O900" s="18">
        <f t="shared" si="4"/>
        <v>276.82</v>
      </c>
      <c r="P900" s="18">
        <f t="shared" si="5"/>
        <v>276.82</v>
      </c>
      <c r="Q900" s="8">
        <v>0.0</v>
      </c>
      <c r="R900" s="18">
        <f t="shared" si="6"/>
        <v>55.364</v>
      </c>
      <c r="S900" s="19" t="s">
        <v>29</v>
      </c>
      <c r="T900" s="19" t="s">
        <v>30</v>
      </c>
      <c r="U900" s="85" t="s">
        <v>1194</v>
      </c>
      <c r="V900" s="37"/>
      <c r="W900" s="7"/>
      <c r="X900" s="7"/>
      <c r="Y900" s="7"/>
      <c r="Z900" s="7"/>
      <c r="AA900" s="7"/>
    </row>
    <row r="901" ht="18.75" customHeight="1">
      <c r="A901" s="22" t="s">
        <v>1168</v>
      </c>
      <c r="B901" s="23" t="s">
        <v>1089</v>
      </c>
      <c r="C901" s="23" t="s">
        <v>1175</v>
      </c>
      <c r="D901" s="24">
        <v>139.0</v>
      </c>
      <c r="E901" s="23" t="s">
        <v>1176</v>
      </c>
      <c r="F901" s="25" t="s">
        <v>37</v>
      </c>
      <c r="G901" s="26" t="s">
        <v>27</v>
      </c>
      <c r="H901" s="27">
        <v>285.0</v>
      </c>
      <c r="I901" s="28">
        <v>10.0</v>
      </c>
      <c r="J901" s="101" t="s">
        <v>54</v>
      </c>
      <c r="K901" s="30">
        <v>0.3</v>
      </c>
      <c r="L901" s="31">
        <f t="shared" si="1"/>
        <v>3</v>
      </c>
      <c r="M901" s="31">
        <f t="shared" si="2"/>
        <v>7</v>
      </c>
      <c r="N901" s="32">
        <f t="shared" si="3"/>
        <v>85.5</v>
      </c>
      <c r="O901" s="32">
        <f t="shared" si="4"/>
        <v>199.5</v>
      </c>
      <c r="P901" s="32">
        <f t="shared" si="5"/>
        <v>199.5</v>
      </c>
      <c r="Q901" s="22">
        <v>0.0</v>
      </c>
      <c r="R901" s="32">
        <f t="shared" si="6"/>
        <v>28.5</v>
      </c>
      <c r="S901" s="33" t="s">
        <v>29</v>
      </c>
      <c r="T901" s="33" t="s">
        <v>30</v>
      </c>
      <c r="U901" s="34" t="s">
        <v>527</v>
      </c>
      <c r="V901" s="35"/>
      <c r="W901" s="7"/>
      <c r="X901" s="7"/>
      <c r="Y901" s="7"/>
      <c r="Z901" s="7"/>
      <c r="AA901" s="7"/>
    </row>
    <row r="902" ht="18.75" customHeight="1">
      <c r="A902" s="8" t="s">
        <v>1168</v>
      </c>
      <c r="B902" s="9" t="s">
        <v>1201</v>
      </c>
      <c r="C902" s="9" t="s">
        <v>626</v>
      </c>
      <c r="D902" s="10">
        <v>147.0</v>
      </c>
      <c r="E902" s="9" t="s">
        <v>1171</v>
      </c>
      <c r="F902" s="11" t="s">
        <v>37</v>
      </c>
      <c r="G902" s="39"/>
      <c r="H902" s="13">
        <v>369.28</v>
      </c>
      <c r="I902" s="14">
        <v>10.0</v>
      </c>
      <c r="J902" s="15" t="s">
        <v>38</v>
      </c>
      <c r="K902" s="16">
        <v>0.5</v>
      </c>
      <c r="L902" s="17">
        <f t="shared" si="1"/>
        <v>5</v>
      </c>
      <c r="M902" s="17">
        <f t="shared" si="2"/>
        <v>5</v>
      </c>
      <c r="N902" s="18">
        <f t="shared" si="3"/>
        <v>184.64</v>
      </c>
      <c r="O902" s="18">
        <f t="shared" si="4"/>
        <v>184.64</v>
      </c>
      <c r="P902" s="18">
        <f t="shared" si="5"/>
        <v>184.64</v>
      </c>
      <c r="Q902" s="8">
        <v>0.0</v>
      </c>
      <c r="R902" s="18">
        <f t="shared" si="6"/>
        <v>36.928</v>
      </c>
      <c r="S902" s="19" t="s">
        <v>29</v>
      </c>
      <c r="T902" s="19" t="s">
        <v>30</v>
      </c>
      <c r="U902" s="36" t="s">
        <v>1172</v>
      </c>
      <c r="V902" s="37"/>
      <c r="W902" s="7"/>
      <c r="X902" s="7"/>
      <c r="Y902" s="7"/>
      <c r="Z902" s="7"/>
      <c r="AA902" s="7"/>
    </row>
    <row r="903" ht="18.75" customHeight="1">
      <c r="A903" s="22" t="s">
        <v>1168</v>
      </c>
      <c r="B903" s="23" t="s">
        <v>1089</v>
      </c>
      <c r="C903" s="23" t="s">
        <v>1175</v>
      </c>
      <c r="D903" s="24">
        <v>148.0</v>
      </c>
      <c r="E903" s="23" t="s">
        <v>1204</v>
      </c>
      <c r="F903" s="25" t="s">
        <v>37</v>
      </c>
      <c r="G903" s="40"/>
      <c r="H903" s="27">
        <v>261.17</v>
      </c>
      <c r="I903" s="28">
        <v>10.0</v>
      </c>
      <c r="J903" s="29" t="s">
        <v>38</v>
      </c>
      <c r="K903" s="30">
        <v>0.5</v>
      </c>
      <c r="L903" s="31">
        <f t="shared" si="1"/>
        <v>5</v>
      </c>
      <c r="M903" s="31">
        <f t="shared" si="2"/>
        <v>5</v>
      </c>
      <c r="N903" s="32">
        <f t="shared" si="3"/>
        <v>130.585</v>
      </c>
      <c r="O903" s="32">
        <f t="shared" si="4"/>
        <v>130.585</v>
      </c>
      <c r="P903" s="32">
        <f t="shared" si="5"/>
        <v>130.585</v>
      </c>
      <c r="Q903" s="22">
        <v>0.0</v>
      </c>
      <c r="R903" s="32">
        <f t="shared" si="6"/>
        <v>26.117</v>
      </c>
      <c r="S903" s="33" t="s">
        <v>29</v>
      </c>
      <c r="T903" s="33" t="s">
        <v>30</v>
      </c>
      <c r="U903" s="38" t="s">
        <v>1205</v>
      </c>
      <c r="V903" s="35"/>
      <c r="W903" s="7"/>
      <c r="X903" s="7"/>
      <c r="Y903" s="7"/>
      <c r="Z903" s="7"/>
      <c r="AA903" s="7"/>
    </row>
    <row r="904" ht="18.75" customHeight="1">
      <c r="A904" s="8" t="s">
        <v>1168</v>
      </c>
      <c r="B904" s="103" t="s">
        <v>1178</v>
      </c>
      <c r="C904" s="9" t="s">
        <v>1206</v>
      </c>
      <c r="D904" s="10">
        <v>155.0</v>
      </c>
      <c r="E904" s="9" t="s">
        <v>1185</v>
      </c>
      <c r="F904" s="11" t="s">
        <v>37</v>
      </c>
      <c r="G904" s="39"/>
      <c r="H904" s="13">
        <v>254.53</v>
      </c>
      <c r="I904" s="14">
        <v>10.0</v>
      </c>
      <c r="J904" s="15" t="s">
        <v>38</v>
      </c>
      <c r="K904" s="16">
        <v>0.5</v>
      </c>
      <c r="L904" s="17">
        <f t="shared" si="1"/>
        <v>5</v>
      </c>
      <c r="M904" s="17">
        <f t="shared" si="2"/>
        <v>5</v>
      </c>
      <c r="N904" s="18">
        <f t="shared" si="3"/>
        <v>127.265</v>
      </c>
      <c r="O904" s="18">
        <f t="shared" si="4"/>
        <v>127.265</v>
      </c>
      <c r="P904" s="18">
        <f t="shared" si="5"/>
        <v>127.265</v>
      </c>
      <c r="Q904" s="8">
        <v>0.0</v>
      </c>
      <c r="R904" s="18">
        <f t="shared" si="6"/>
        <v>25.453</v>
      </c>
      <c r="S904" s="19" t="s">
        <v>29</v>
      </c>
      <c r="T904" s="19" t="s">
        <v>30</v>
      </c>
      <c r="U904" s="36" t="s">
        <v>1186</v>
      </c>
      <c r="V904" s="37"/>
      <c r="W904" s="7"/>
      <c r="X904" s="7"/>
      <c r="Y904" s="7"/>
      <c r="Z904" s="7"/>
      <c r="AA904" s="7"/>
    </row>
    <row r="905" ht="18.75" customHeight="1">
      <c r="A905" s="22" t="s">
        <v>1168</v>
      </c>
      <c r="B905" s="23" t="s">
        <v>1180</v>
      </c>
      <c r="C905" s="23" t="s">
        <v>1181</v>
      </c>
      <c r="D905" s="24">
        <v>165.0</v>
      </c>
      <c r="E905" s="23" t="s">
        <v>1207</v>
      </c>
      <c r="F905" s="25" t="s">
        <v>26</v>
      </c>
      <c r="G905" s="26" t="s">
        <v>27</v>
      </c>
      <c r="H905" s="65">
        <v>1749.0</v>
      </c>
      <c r="I905" s="28">
        <v>10.0</v>
      </c>
      <c r="J905" s="45" t="s">
        <v>63</v>
      </c>
      <c r="K905" s="30">
        <v>0.700000000000005</v>
      </c>
      <c r="L905" s="31">
        <f t="shared" si="1"/>
        <v>7</v>
      </c>
      <c r="M905" s="31">
        <f t="shared" si="2"/>
        <v>3</v>
      </c>
      <c r="N905" s="32">
        <f t="shared" si="3"/>
        <v>1224.3</v>
      </c>
      <c r="O905" s="32">
        <f t="shared" si="4"/>
        <v>524.7</v>
      </c>
      <c r="P905" s="32">
        <f t="shared" si="5"/>
        <v>524.7</v>
      </c>
      <c r="Q905" s="22">
        <v>0.0</v>
      </c>
      <c r="R905" s="32">
        <f t="shared" si="6"/>
        <v>174.9</v>
      </c>
      <c r="S905" s="33" t="s">
        <v>29</v>
      </c>
      <c r="T905" s="33" t="s">
        <v>30</v>
      </c>
      <c r="U905" s="66" t="s">
        <v>255</v>
      </c>
      <c r="V905" s="35"/>
      <c r="W905" s="7"/>
      <c r="X905" s="7"/>
      <c r="Y905" s="7"/>
      <c r="Z905" s="7"/>
      <c r="AA905" s="7"/>
    </row>
    <row r="906" ht="18.75" customHeight="1">
      <c r="A906" s="8" t="s">
        <v>1168</v>
      </c>
      <c r="B906" s="9" t="s">
        <v>1169</v>
      </c>
      <c r="C906" s="9" t="s">
        <v>1170</v>
      </c>
      <c r="D906" s="10">
        <v>166.0</v>
      </c>
      <c r="E906" s="9" t="s">
        <v>1179</v>
      </c>
      <c r="F906" s="11" t="s">
        <v>37</v>
      </c>
      <c r="G906" s="39"/>
      <c r="H906" s="43">
        <v>314.99</v>
      </c>
      <c r="I906" s="14">
        <v>10.0</v>
      </c>
      <c r="J906" s="15" t="s">
        <v>38</v>
      </c>
      <c r="K906" s="16">
        <v>0.5</v>
      </c>
      <c r="L906" s="17">
        <f t="shared" si="1"/>
        <v>5</v>
      </c>
      <c r="M906" s="17">
        <f t="shared" si="2"/>
        <v>5</v>
      </c>
      <c r="N906" s="18">
        <f t="shared" si="3"/>
        <v>157.495</v>
      </c>
      <c r="O906" s="18">
        <f t="shared" si="4"/>
        <v>157.495</v>
      </c>
      <c r="P906" s="18">
        <f t="shared" si="5"/>
        <v>157.495</v>
      </c>
      <c r="Q906" s="8">
        <v>0.0</v>
      </c>
      <c r="R906" s="18">
        <f t="shared" si="6"/>
        <v>31.499</v>
      </c>
      <c r="S906" s="19" t="s">
        <v>29</v>
      </c>
      <c r="T906" s="19" t="s">
        <v>30</v>
      </c>
      <c r="U906" s="44" t="s">
        <v>64</v>
      </c>
      <c r="V906" s="37"/>
      <c r="W906" s="7"/>
      <c r="X906" s="7"/>
      <c r="Y906" s="7"/>
      <c r="Z906" s="7"/>
      <c r="AA906" s="7"/>
    </row>
    <row r="907" ht="18.75" customHeight="1">
      <c r="A907" s="22" t="s">
        <v>1168</v>
      </c>
      <c r="B907" s="23" t="s">
        <v>1208</v>
      </c>
      <c r="C907" s="23" t="s">
        <v>1208</v>
      </c>
      <c r="D907" s="24">
        <v>167.0</v>
      </c>
      <c r="E907" s="23" t="s">
        <v>1179</v>
      </c>
      <c r="F907" s="25" t="s">
        <v>37</v>
      </c>
      <c r="G907" s="40"/>
      <c r="H907" s="104">
        <v>314.99</v>
      </c>
      <c r="I907" s="28">
        <v>10.0</v>
      </c>
      <c r="J907" s="29" t="s">
        <v>38</v>
      </c>
      <c r="K907" s="30">
        <v>0.5</v>
      </c>
      <c r="L907" s="31">
        <f t="shared" si="1"/>
        <v>5</v>
      </c>
      <c r="M907" s="31">
        <f t="shared" si="2"/>
        <v>5</v>
      </c>
      <c r="N907" s="32">
        <f t="shared" si="3"/>
        <v>157.495</v>
      </c>
      <c r="O907" s="32">
        <f t="shared" si="4"/>
        <v>157.495</v>
      </c>
      <c r="P907" s="32">
        <f t="shared" si="5"/>
        <v>157.495</v>
      </c>
      <c r="Q907" s="22">
        <v>0.0</v>
      </c>
      <c r="R907" s="32">
        <f t="shared" si="6"/>
        <v>31.499</v>
      </c>
      <c r="S907" s="33" t="s">
        <v>29</v>
      </c>
      <c r="T907" s="33" t="s">
        <v>30</v>
      </c>
      <c r="U907" s="74" t="s">
        <v>64</v>
      </c>
      <c r="V907" s="35"/>
      <c r="W907" s="7"/>
      <c r="X907" s="7"/>
      <c r="Y907" s="7"/>
      <c r="Z907" s="7"/>
      <c r="AA907" s="7"/>
    </row>
    <row r="908" ht="18.75" customHeight="1">
      <c r="A908" s="8" t="s">
        <v>1168</v>
      </c>
      <c r="B908" s="9" t="s">
        <v>1209</v>
      </c>
      <c r="C908" s="9" t="s">
        <v>588</v>
      </c>
      <c r="D908" s="10">
        <v>168.0</v>
      </c>
      <c r="E908" s="9" t="s">
        <v>1179</v>
      </c>
      <c r="F908" s="11" t="s">
        <v>37</v>
      </c>
      <c r="G908" s="39"/>
      <c r="H908" s="87">
        <v>314.99</v>
      </c>
      <c r="I908" s="14">
        <v>10.0</v>
      </c>
      <c r="J908" s="15" t="s">
        <v>38</v>
      </c>
      <c r="K908" s="16">
        <v>0.5</v>
      </c>
      <c r="L908" s="17">
        <f t="shared" si="1"/>
        <v>5</v>
      </c>
      <c r="M908" s="17">
        <f t="shared" si="2"/>
        <v>5</v>
      </c>
      <c r="N908" s="18">
        <f t="shared" si="3"/>
        <v>157.495</v>
      </c>
      <c r="O908" s="18">
        <f t="shared" si="4"/>
        <v>157.495</v>
      </c>
      <c r="P908" s="18">
        <f t="shared" si="5"/>
        <v>157.495</v>
      </c>
      <c r="Q908" s="8">
        <v>0.0</v>
      </c>
      <c r="R908" s="18">
        <f t="shared" si="6"/>
        <v>31.499</v>
      </c>
      <c r="S908" s="19" t="s">
        <v>29</v>
      </c>
      <c r="T908" s="19" t="s">
        <v>30</v>
      </c>
      <c r="U908" s="85" t="s">
        <v>64</v>
      </c>
      <c r="V908" s="37"/>
      <c r="W908" s="7"/>
      <c r="X908" s="7"/>
      <c r="Y908" s="7"/>
      <c r="Z908" s="7"/>
      <c r="AA908" s="7"/>
    </row>
    <row r="909" ht="18.75" customHeight="1">
      <c r="A909" s="22" t="s">
        <v>1168</v>
      </c>
      <c r="B909" s="23" t="s">
        <v>1201</v>
      </c>
      <c r="C909" s="23" t="s">
        <v>626</v>
      </c>
      <c r="D909" s="24">
        <v>173.0</v>
      </c>
      <c r="E909" s="23" t="s">
        <v>1171</v>
      </c>
      <c r="F909" s="25" t="s">
        <v>37</v>
      </c>
      <c r="G909" s="40"/>
      <c r="H909" s="27">
        <v>369.28</v>
      </c>
      <c r="I909" s="28">
        <v>10.0</v>
      </c>
      <c r="J909" s="29" t="s">
        <v>38</v>
      </c>
      <c r="K909" s="30">
        <v>0.5</v>
      </c>
      <c r="L909" s="31">
        <f t="shared" si="1"/>
        <v>5</v>
      </c>
      <c r="M909" s="31">
        <f t="shared" si="2"/>
        <v>5</v>
      </c>
      <c r="N909" s="32">
        <f t="shared" si="3"/>
        <v>184.64</v>
      </c>
      <c r="O909" s="32">
        <f t="shared" si="4"/>
        <v>184.64</v>
      </c>
      <c r="P909" s="32">
        <f t="shared" si="5"/>
        <v>184.64</v>
      </c>
      <c r="Q909" s="22">
        <v>0.0</v>
      </c>
      <c r="R909" s="32">
        <f t="shared" si="6"/>
        <v>36.928</v>
      </c>
      <c r="S909" s="33" t="s">
        <v>29</v>
      </c>
      <c r="T909" s="33" t="s">
        <v>30</v>
      </c>
      <c r="U909" s="38" t="s">
        <v>1172</v>
      </c>
      <c r="V909" s="35"/>
      <c r="W909" s="7"/>
      <c r="X909" s="7"/>
      <c r="Y909" s="7"/>
      <c r="Z909" s="7"/>
      <c r="AA909" s="7"/>
    </row>
    <row r="910" ht="18.75" customHeight="1">
      <c r="A910" s="8" t="s">
        <v>1168</v>
      </c>
      <c r="B910" s="9" t="s">
        <v>1209</v>
      </c>
      <c r="C910" s="9" t="s">
        <v>588</v>
      </c>
      <c r="D910" s="10">
        <v>174.0</v>
      </c>
      <c r="E910" s="9" t="s">
        <v>1210</v>
      </c>
      <c r="F910" s="11" t="s">
        <v>128</v>
      </c>
      <c r="G910" s="39"/>
      <c r="H910" s="13">
        <v>374.92</v>
      </c>
      <c r="I910" s="14">
        <v>10.0</v>
      </c>
      <c r="J910" s="15" t="s">
        <v>38</v>
      </c>
      <c r="K910" s="16">
        <v>0.5</v>
      </c>
      <c r="L910" s="17">
        <f t="shared" si="1"/>
        <v>5</v>
      </c>
      <c r="M910" s="17">
        <f t="shared" si="2"/>
        <v>5</v>
      </c>
      <c r="N910" s="18">
        <f t="shared" si="3"/>
        <v>187.46</v>
      </c>
      <c r="O910" s="18">
        <f t="shared" si="4"/>
        <v>187.46</v>
      </c>
      <c r="P910" s="18">
        <f t="shared" si="5"/>
        <v>187.46</v>
      </c>
      <c r="Q910" s="8">
        <v>0.0</v>
      </c>
      <c r="R910" s="18">
        <f t="shared" si="6"/>
        <v>37.492</v>
      </c>
      <c r="S910" s="19" t="s">
        <v>29</v>
      </c>
      <c r="T910" s="19" t="s">
        <v>30</v>
      </c>
      <c r="U910" s="36" t="s">
        <v>1055</v>
      </c>
      <c r="V910" s="37"/>
      <c r="W910" s="7"/>
      <c r="X910" s="7"/>
      <c r="Y910" s="7"/>
      <c r="Z910" s="7"/>
      <c r="AA910" s="7"/>
    </row>
    <row r="911" ht="18.75" customHeight="1">
      <c r="A911" s="22" t="s">
        <v>1168</v>
      </c>
      <c r="B911" s="23" t="s">
        <v>1211</v>
      </c>
      <c r="C911" s="23" t="s">
        <v>1212</v>
      </c>
      <c r="D911" s="24">
        <v>175.0</v>
      </c>
      <c r="E911" s="23" t="s">
        <v>1213</v>
      </c>
      <c r="F911" s="25" t="s">
        <v>128</v>
      </c>
      <c r="G911" s="26" t="s">
        <v>27</v>
      </c>
      <c r="H911" s="27">
        <v>1669.0</v>
      </c>
      <c r="I911" s="28">
        <v>5.0</v>
      </c>
      <c r="J911" s="29" t="s">
        <v>38</v>
      </c>
      <c r="K911" s="30">
        <v>0.5</v>
      </c>
      <c r="L911" s="31">
        <f t="shared" si="1"/>
        <v>2.5</v>
      </c>
      <c r="M911" s="31">
        <f t="shared" si="2"/>
        <v>2.5</v>
      </c>
      <c r="N911" s="32">
        <f t="shared" si="3"/>
        <v>834.5</v>
      </c>
      <c r="O911" s="32">
        <f t="shared" si="4"/>
        <v>834.5</v>
      </c>
      <c r="P911" s="32">
        <f t="shared" si="5"/>
        <v>834.5</v>
      </c>
      <c r="Q911" s="22">
        <v>0.0</v>
      </c>
      <c r="R911" s="32">
        <f t="shared" si="6"/>
        <v>333.8</v>
      </c>
      <c r="S911" s="33" t="s">
        <v>29</v>
      </c>
      <c r="T911" s="33" t="s">
        <v>30</v>
      </c>
      <c r="U911" s="34" t="s">
        <v>129</v>
      </c>
      <c r="V911" s="35"/>
      <c r="W911" s="7"/>
      <c r="X911" s="7"/>
      <c r="Y911" s="7"/>
      <c r="Z911" s="7"/>
      <c r="AA911" s="7"/>
    </row>
    <row r="912" ht="18.75" customHeight="1">
      <c r="A912" s="8" t="s">
        <v>1168</v>
      </c>
      <c r="B912" s="9" t="s">
        <v>1089</v>
      </c>
      <c r="C912" s="9" t="s">
        <v>1175</v>
      </c>
      <c r="D912" s="10">
        <v>184.0</v>
      </c>
      <c r="E912" s="9" t="s">
        <v>1177</v>
      </c>
      <c r="F912" s="11" t="s">
        <v>37</v>
      </c>
      <c r="G912" s="39"/>
      <c r="H912" s="77">
        <v>369.28</v>
      </c>
      <c r="I912" s="14">
        <v>10.0</v>
      </c>
      <c r="J912" s="15" t="s">
        <v>38</v>
      </c>
      <c r="K912" s="16">
        <v>0.5</v>
      </c>
      <c r="L912" s="17">
        <f t="shared" si="1"/>
        <v>5</v>
      </c>
      <c r="M912" s="17">
        <f t="shared" si="2"/>
        <v>5</v>
      </c>
      <c r="N912" s="18">
        <f t="shared" si="3"/>
        <v>184.64</v>
      </c>
      <c r="O912" s="18">
        <f t="shared" si="4"/>
        <v>184.64</v>
      </c>
      <c r="P912" s="18">
        <f t="shared" si="5"/>
        <v>184.64</v>
      </c>
      <c r="Q912" s="8">
        <v>0.0</v>
      </c>
      <c r="R912" s="18">
        <f t="shared" si="6"/>
        <v>36.928</v>
      </c>
      <c r="S912" s="19" t="s">
        <v>29</v>
      </c>
      <c r="T912" s="19" t="s">
        <v>30</v>
      </c>
      <c r="U912" s="90" t="s">
        <v>1172</v>
      </c>
      <c r="V912" s="37"/>
      <c r="W912" s="7"/>
      <c r="X912" s="7"/>
      <c r="Y912" s="7"/>
      <c r="Z912" s="7"/>
      <c r="AA912" s="7"/>
    </row>
    <row r="913" ht="18.75" customHeight="1">
      <c r="A913" s="22" t="s">
        <v>1168</v>
      </c>
      <c r="B913" s="23" t="s">
        <v>1209</v>
      </c>
      <c r="C913" s="23" t="s">
        <v>588</v>
      </c>
      <c r="D913" s="24">
        <v>185.0</v>
      </c>
      <c r="E913" s="23" t="s">
        <v>1179</v>
      </c>
      <c r="F913" s="25" t="s">
        <v>37</v>
      </c>
      <c r="G913" s="40"/>
      <c r="H913" s="67">
        <v>314.99</v>
      </c>
      <c r="I913" s="28">
        <v>10.0</v>
      </c>
      <c r="J913" s="29" t="s">
        <v>38</v>
      </c>
      <c r="K913" s="30">
        <v>0.5</v>
      </c>
      <c r="L913" s="31">
        <f t="shared" si="1"/>
        <v>5</v>
      </c>
      <c r="M913" s="31">
        <f t="shared" si="2"/>
        <v>5</v>
      </c>
      <c r="N913" s="32">
        <f t="shared" si="3"/>
        <v>157.495</v>
      </c>
      <c r="O913" s="32">
        <f t="shared" si="4"/>
        <v>157.495</v>
      </c>
      <c r="P913" s="32">
        <f t="shared" si="5"/>
        <v>157.495</v>
      </c>
      <c r="Q913" s="22">
        <v>0.0</v>
      </c>
      <c r="R913" s="32">
        <f t="shared" si="6"/>
        <v>31.499</v>
      </c>
      <c r="S913" s="33" t="s">
        <v>29</v>
      </c>
      <c r="T913" s="33" t="s">
        <v>30</v>
      </c>
      <c r="U913" s="72" t="s">
        <v>64</v>
      </c>
      <c r="V913" s="35"/>
      <c r="W913" s="7"/>
      <c r="X913" s="7"/>
      <c r="Y913" s="7"/>
      <c r="Z913" s="7"/>
      <c r="AA913" s="7"/>
    </row>
    <row r="914" ht="18.75" customHeight="1">
      <c r="A914" s="8" t="s">
        <v>1168</v>
      </c>
      <c r="B914" s="9" t="s">
        <v>1187</v>
      </c>
      <c r="C914" s="9" t="s">
        <v>1093</v>
      </c>
      <c r="D914" s="10">
        <v>192.0</v>
      </c>
      <c r="E914" s="9" t="s">
        <v>1185</v>
      </c>
      <c r="F914" s="11" t="s">
        <v>37</v>
      </c>
      <c r="G914" s="39"/>
      <c r="H914" s="13">
        <v>254.53</v>
      </c>
      <c r="I914" s="14">
        <v>10.0</v>
      </c>
      <c r="J914" s="15" t="s">
        <v>38</v>
      </c>
      <c r="K914" s="16">
        <v>0.5</v>
      </c>
      <c r="L914" s="17">
        <f t="shared" si="1"/>
        <v>5</v>
      </c>
      <c r="M914" s="17">
        <f t="shared" si="2"/>
        <v>5</v>
      </c>
      <c r="N914" s="18">
        <f t="shared" si="3"/>
        <v>127.265</v>
      </c>
      <c r="O914" s="18">
        <f t="shared" si="4"/>
        <v>127.265</v>
      </c>
      <c r="P914" s="18">
        <f t="shared" si="5"/>
        <v>127.265</v>
      </c>
      <c r="Q914" s="8">
        <v>0.0</v>
      </c>
      <c r="R914" s="18">
        <f t="shared" si="6"/>
        <v>25.453</v>
      </c>
      <c r="S914" s="19" t="s">
        <v>29</v>
      </c>
      <c r="T914" s="19" t="s">
        <v>30</v>
      </c>
      <c r="U914" s="36" t="s">
        <v>1186</v>
      </c>
      <c r="V914" s="37"/>
      <c r="W914" s="7"/>
      <c r="X914" s="7"/>
      <c r="Y914" s="7"/>
      <c r="Z914" s="7"/>
      <c r="AA914" s="7"/>
    </row>
    <row r="915" ht="18.75" customHeight="1">
      <c r="A915" s="22" t="s">
        <v>1168</v>
      </c>
      <c r="B915" s="23" t="s">
        <v>1089</v>
      </c>
      <c r="C915" s="23" t="s">
        <v>1214</v>
      </c>
      <c r="D915" s="24">
        <v>203.0</v>
      </c>
      <c r="E915" s="23" t="s">
        <v>1215</v>
      </c>
      <c r="F915" s="25" t="s">
        <v>37</v>
      </c>
      <c r="G915" s="40"/>
      <c r="H915" s="27">
        <v>374.92</v>
      </c>
      <c r="I915" s="28">
        <v>10.0</v>
      </c>
      <c r="J915" s="29" t="s">
        <v>38</v>
      </c>
      <c r="K915" s="30">
        <v>0.5</v>
      </c>
      <c r="L915" s="31">
        <f t="shared" si="1"/>
        <v>5</v>
      </c>
      <c r="M915" s="31">
        <f t="shared" si="2"/>
        <v>5</v>
      </c>
      <c r="N915" s="32">
        <f t="shared" si="3"/>
        <v>187.46</v>
      </c>
      <c r="O915" s="32">
        <f t="shared" si="4"/>
        <v>187.46</v>
      </c>
      <c r="P915" s="32">
        <f t="shared" si="5"/>
        <v>187.46</v>
      </c>
      <c r="Q915" s="22">
        <v>0.0</v>
      </c>
      <c r="R915" s="32">
        <f t="shared" si="6"/>
        <v>37.492</v>
      </c>
      <c r="S915" s="33" t="s">
        <v>29</v>
      </c>
      <c r="T915" s="33" t="s">
        <v>30</v>
      </c>
      <c r="U915" s="38" t="s">
        <v>1055</v>
      </c>
      <c r="V915" s="35"/>
      <c r="W915" s="7"/>
      <c r="X915" s="7"/>
      <c r="Y915" s="7"/>
      <c r="Z915" s="7"/>
      <c r="AA915" s="7"/>
    </row>
    <row r="916" ht="18.75" customHeight="1">
      <c r="A916" s="8" t="s">
        <v>1168</v>
      </c>
      <c r="B916" s="9" t="s">
        <v>1089</v>
      </c>
      <c r="C916" s="9" t="s">
        <v>1175</v>
      </c>
      <c r="D916" s="10">
        <v>206.0</v>
      </c>
      <c r="E916" s="9" t="s">
        <v>1200</v>
      </c>
      <c r="F916" s="11" t="s">
        <v>37</v>
      </c>
      <c r="G916" s="12" t="s">
        <v>27</v>
      </c>
      <c r="H916" s="13">
        <v>431.07</v>
      </c>
      <c r="I916" s="14">
        <v>10.0</v>
      </c>
      <c r="J916" s="100" t="s">
        <v>54</v>
      </c>
      <c r="K916" s="16">
        <v>0.3</v>
      </c>
      <c r="L916" s="17">
        <f t="shared" si="1"/>
        <v>3</v>
      </c>
      <c r="M916" s="17">
        <f t="shared" si="2"/>
        <v>7</v>
      </c>
      <c r="N916" s="18">
        <f t="shared" si="3"/>
        <v>129.321</v>
      </c>
      <c r="O916" s="18">
        <f t="shared" si="4"/>
        <v>301.749</v>
      </c>
      <c r="P916" s="18">
        <f t="shared" si="5"/>
        <v>301.749</v>
      </c>
      <c r="Q916" s="8">
        <v>0.0</v>
      </c>
      <c r="R916" s="18">
        <f t="shared" si="6"/>
        <v>43.107</v>
      </c>
      <c r="S916" s="19" t="s">
        <v>29</v>
      </c>
      <c r="T916" s="19" t="s">
        <v>30</v>
      </c>
      <c r="U916" s="20" t="s">
        <v>912</v>
      </c>
      <c r="V916" s="37"/>
      <c r="W916" s="7"/>
      <c r="X916" s="7"/>
      <c r="Y916" s="7"/>
      <c r="Z916" s="7"/>
      <c r="AA916" s="7"/>
    </row>
    <row r="917" ht="18.75" customHeight="1">
      <c r="A917" s="22" t="s">
        <v>1168</v>
      </c>
      <c r="B917" s="23" t="s">
        <v>1089</v>
      </c>
      <c r="C917" s="23" t="s">
        <v>1175</v>
      </c>
      <c r="D917" s="24">
        <v>207.0</v>
      </c>
      <c r="E917" s="23" t="s">
        <v>1216</v>
      </c>
      <c r="F917" s="25" t="s">
        <v>37</v>
      </c>
      <c r="G917" s="40"/>
      <c r="H917" s="27">
        <v>261.17</v>
      </c>
      <c r="I917" s="28">
        <v>10.0</v>
      </c>
      <c r="J917" s="29" t="s">
        <v>38</v>
      </c>
      <c r="K917" s="30">
        <v>0.5</v>
      </c>
      <c r="L917" s="31">
        <f t="shared" si="1"/>
        <v>5</v>
      </c>
      <c r="M917" s="31">
        <f t="shared" si="2"/>
        <v>5</v>
      </c>
      <c r="N917" s="32">
        <f t="shared" si="3"/>
        <v>130.585</v>
      </c>
      <c r="O917" s="32">
        <f t="shared" si="4"/>
        <v>130.585</v>
      </c>
      <c r="P917" s="32">
        <f t="shared" si="5"/>
        <v>130.585</v>
      </c>
      <c r="Q917" s="22">
        <v>0.0</v>
      </c>
      <c r="R917" s="32">
        <f t="shared" si="6"/>
        <v>26.117</v>
      </c>
      <c r="S917" s="33" t="s">
        <v>29</v>
      </c>
      <c r="T917" s="33" t="s">
        <v>30</v>
      </c>
      <c r="U917" s="38" t="s">
        <v>1205</v>
      </c>
      <c r="V917" s="35"/>
      <c r="W917" s="7"/>
      <c r="X917" s="7"/>
      <c r="Y917" s="7"/>
      <c r="Z917" s="7"/>
      <c r="AA917" s="7"/>
    </row>
    <row r="918" ht="18.75" customHeight="1">
      <c r="A918" s="8" t="s">
        <v>1168</v>
      </c>
      <c r="B918" s="9" t="s">
        <v>1187</v>
      </c>
      <c r="C918" s="9" t="s">
        <v>1093</v>
      </c>
      <c r="D918" s="10">
        <v>208.0</v>
      </c>
      <c r="E918" s="9" t="s">
        <v>1217</v>
      </c>
      <c r="F918" s="11" t="s">
        <v>37</v>
      </c>
      <c r="G918" s="39"/>
      <c r="H918" s="13">
        <v>620.76</v>
      </c>
      <c r="I918" s="14">
        <v>10.0</v>
      </c>
      <c r="J918" s="48" t="s">
        <v>63</v>
      </c>
      <c r="K918" s="16">
        <v>0.700000000000005</v>
      </c>
      <c r="L918" s="17">
        <f t="shared" si="1"/>
        <v>7</v>
      </c>
      <c r="M918" s="17">
        <f t="shared" si="2"/>
        <v>3</v>
      </c>
      <c r="N918" s="18">
        <f t="shared" si="3"/>
        <v>434.532</v>
      </c>
      <c r="O918" s="18">
        <f t="shared" si="4"/>
        <v>186.228</v>
      </c>
      <c r="P918" s="18">
        <f t="shared" si="5"/>
        <v>186.228</v>
      </c>
      <c r="Q918" s="8">
        <v>0.0</v>
      </c>
      <c r="R918" s="18">
        <f t="shared" si="6"/>
        <v>62.076</v>
      </c>
      <c r="S918" s="19" t="s">
        <v>29</v>
      </c>
      <c r="T918" s="19" t="s">
        <v>30</v>
      </c>
      <c r="U918" s="36" t="s">
        <v>1218</v>
      </c>
      <c r="V918" s="37"/>
      <c r="W918" s="7"/>
      <c r="X918" s="7"/>
      <c r="Y918" s="7"/>
      <c r="Z918" s="7"/>
      <c r="AA918" s="7"/>
    </row>
    <row r="919" ht="18.75" customHeight="1">
      <c r="A919" s="22" t="s">
        <v>1168</v>
      </c>
      <c r="B919" s="23" t="s">
        <v>1169</v>
      </c>
      <c r="C919" s="23" t="s">
        <v>1170</v>
      </c>
      <c r="D919" s="24">
        <v>218.0</v>
      </c>
      <c r="E919" s="23" t="s">
        <v>1197</v>
      </c>
      <c r="F919" s="25" t="s">
        <v>37</v>
      </c>
      <c r="G919" s="26" t="s">
        <v>27</v>
      </c>
      <c r="H919" s="27">
        <v>332.91</v>
      </c>
      <c r="I919" s="28">
        <v>10.0</v>
      </c>
      <c r="J919" s="101" t="s">
        <v>54</v>
      </c>
      <c r="K919" s="30">
        <v>0.3</v>
      </c>
      <c r="L919" s="31">
        <f t="shared" si="1"/>
        <v>3</v>
      </c>
      <c r="M919" s="31">
        <f t="shared" si="2"/>
        <v>7</v>
      </c>
      <c r="N919" s="32">
        <f t="shared" si="3"/>
        <v>99.873</v>
      </c>
      <c r="O919" s="32">
        <f t="shared" si="4"/>
        <v>233.037</v>
      </c>
      <c r="P919" s="32">
        <f t="shared" si="5"/>
        <v>233.037</v>
      </c>
      <c r="Q919" s="22">
        <v>0.0</v>
      </c>
      <c r="R919" s="32">
        <f t="shared" si="6"/>
        <v>33.291</v>
      </c>
      <c r="S919" s="33" t="s">
        <v>29</v>
      </c>
      <c r="T919" s="33" t="s">
        <v>30</v>
      </c>
      <c r="U919" s="38" t="s">
        <v>787</v>
      </c>
      <c r="V919" s="35"/>
      <c r="W919" s="7"/>
      <c r="X919" s="7"/>
      <c r="Y919" s="7"/>
      <c r="Z919" s="7"/>
      <c r="AA919" s="7"/>
    </row>
    <row r="920" ht="18.75" customHeight="1">
      <c r="A920" s="8" t="s">
        <v>1168</v>
      </c>
      <c r="B920" s="9" t="s">
        <v>1219</v>
      </c>
      <c r="C920" s="9" t="s">
        <v>287</v>
      </c>
      <c r="D920" s="10">
        <v>225.0</v>
      </c>
      <c r="E920" s="9" t="s">
        <v>128</v>
      </c>
      <c r="F920" s="11" t="s">
        <v>128</v>
      </c>
      <c r="G920" s="12" t="s">
        <v>27</v>
      </c>
      <c r="H920" s="13">
        <v>1669.0</v>
      </c>
      <c r="I920" s="14">
        <v>5.0</v>
      </c>
      <c r="J920" s="15" t="s">
        <v>38</v>
      </c>
      <c r="K920" s="16">
        <v>0.5</v>
      </c>
      <c r="L920" s="17">
        <f t="shared" si="1"/>
        <v>2.5</v>
      </c>
      <c r="M920" s="17">
        <f t="shared" si="2"/>
        <v>2.5</v>
      </c>
      <c r="N920" s="18">
        <f t="shared" si="3"/>
        <v>834.5</v>
      </c>
      <c r="O920" s="18">
        <f t="shared" si="4"/>
        <v>834.5</v>
      </c>
      <c r="P920" s="18">
        <f t="shared" si="5"/>
        <v>834.5</v>
      </c>
      <c r="Q920" s="8">
        <v>0.0</v>
      </c>
      <c r="R920" s="18">
        <f t="shared" si="6"/>
        <v>333.8</v>
      </c>
      <c r="S920" s="19" t="s">
        <v>29</v>
      </c>
      <c r="T920" s="19" t="s">
        <v>30</v>
      </c>
      <c r="U920" s="20" t="s">
        <v>129</v>
      </c>
      <c r="V920" s="37"/>
      <c r="W920" s="7"/>
      <c r="X920" s="7"/>
      <c r="Y920" s="7"/>
      <c r="Z920" s="7"/>
      <c r="AA920" s="7"/>
    </row>
    <row r="921" ht="18.75" customHeight="1">
      <c r="A921" s="22" t="s">
        <v>1168</v>
      </c>
      <c r="B921" s="102" t="s">
        <v>1178</v>
      </c>
      <c r="C921" s="23" t="s">
        <v>294</v>
      </c>
      <c r="D921" s="24">
        <v>244.0</v>
      </c>
      <c r="E921" s="23" t="s">
        <v>1220</v>
      </c>
      <c r="F921" s="25" t="s">
        <v>37</v>
      </c>
      <c r="G921" s="40"/>
      <c r="H921" s="105">
        <v>155.2</v>
      </c>
      <c r="I921" s="28">
        <v>10.0</v>
      </c>
      <c r="J921" s="101" t="s">
        <v>54</v>
      </c>
      <c r="K921" s="30">
        <v>0.3</v>
      </c>
      <c r="L921" s="31">
        <f t="shared" si="1"/>
        <v>3</v>
      </c>
      <c r="M921" s="31">
        <f t="shared" si="2"/>
        <v>7</v>
      </c>
      <c r="N921" s="32">
        <f t="shared" si="3"/>
        <v>46.56</v>
      </c>
      <c r="O921" s="32">
        <f t="shared" si="4"/>
        <v>108.64</v>
      </c>
      <c r="P921" s="32">
        <f t="shared" si="5"/>
        <v>108.64</v>
      </c>
      <c r="Q921" s="22">
        <v>0.0</v>
      </c>
      <c r="R921" s="32">
        <f t="shared" si="6"/>
        <v>15.52</v>
      </c>
      <c r="S921" s="33" t="s">
        <v>29</v>
      </c>
      <c r="T921" s="33" t="s">
        <v>30</v>
      </c>
      <c r="U921" s="38" t="s">
        <v>1221</v>
      </c>
      <c r="V921" s="35"/>
      <c r="W921" s="7"/>
      <c r="X921" s="7"/>
      <c r="Y921" s="7"/>
      <c r="Z921" s="7"/>
      <c r="AA921" s="7"/>
    </row>
    <row r="922" ht="18.75" customHeight="1">
      <c r="A922" s="8" t="s">
        <v>1168</v>
      </c>
      <c r="B922" s="103" t="s">
        <v>1178</v>
      </c>
      <c r="C922" s="9" t="s">
        <v>294</v>
      </c>
      <c r="D922" s="10">
        <v>245.0</v>
      </c>
      <c r="E922" s="9" t="s">
        <v>1220</v>
      </c>
      <c r="F922" s="11" t="s">
        <v>37</v>
      </c>
      <c r="G922" s="39"/>
      <c r="H922" s="106">
        <v>155.2</v>
      </c>
      <c r="I922" s="14">
        <v>10.0</v>
      </c>
      <c r="J922" s="100" t="s">
        <v>54</v>
      </c>
      <c r="K922" s="16">
        <v>0.3</v>
      </c>
      <c r="L922" s="17">
        <f t="shared" si="1"/>
        <v>3</v>
      </c>
      <c r="M922" s="17">
        <f t="shared" si="2"/>
        <v>7</v>
      </c>
      <c r="N922" s="18">
        <f t="shared" si="3"/>
        <v>46.56</v>
      </c>
      <c r="O922" s="18">
        <f t="shared" si="4"/>
        <v>108.64</v>
      </c>
      <c r="P922" s="18">
        <f t="shared" si="5"/>
        <v>108.64</v>
      </c>
      <c r="Q922" s="8">
        <v>0.0</v>
      </c>
      <c r="R922" s="18">
        <f t="shared" si="6"/>
        <v>15.52</v>
      </c>
      <c r="S922" s="19" t="s">
        <v>29</v>
      </c>
      <c r="T922" s="19" t="s">
        <v>30</v>
      </c>
      <c r="U922" s="36" t="s">
        <v>1221</v>
      </c>
      <c r="V922" s="37"/>
      <c r="W922" s="7"/>
      <c r="X922" s="7"/>
      <c r="Y922" s="7"/>
      <c r="Z922" s="7"/>
      <c r="AA922" s="7"/>
    </row>
    <row r="923" ht="18.75" customHeight="1">
      <c r="A923" s="22" t="s">
        <v>1168</v>
      </c>
      <c r="B923" s="23" t="s">
        <v>1089</v>
      </c>
      <c r="C923" s="23" t="s">
        <v>1175</v>
      </c>
      <c r="D923" s="24">
        <v>251.0</v>
      </c>
      <c r="E923" s="23" t="s">
        <v>1177</v>
      </c>
      <c r="F923" s="25" t="s">
        <v>37</v>
      </c>
      <c r="G923" s="40"/>
      <c r="H923" s="27">
        <v>369.28</v>
      </c>
      <c r="I923" s="28">
        <v>10.0</v>
      </c>
      <c r="J923" s="29" t="s">
        <v>38</v>
      </c>
      <c r="K923" s="30">
        <v>0.5</v>
      </c>
      <c r="L923" s="31">
        <f t="shared" si="1"/>
        <v>5</v>
      </c>
      <c r="M923" s="31">
        <f t="shared" si="2"/>
        <v>5</v>
      </c>
      <c r="N923" s="32">
        <f t="shared" si="3"/>
        <v>184.64</v>
      </c>
      <c r="O923" s="32">
        <f t="shared" si="4"/>
        <v>184.64</v>
      </c>
      <c r="P923" s="32">
        <f t="shared" si="5"/>
        <v>184.64</v>
      </c>
      <c r="Q923" s="22">
        <v>0.0</v>
      </c>
      <c r="R923" s="32">
        <f t="shared" si="6"/>
        <v>36.928</v>
      </c>
      <c r="S923" s="33" t="s">
        <v>29</v>
      </c>
      <c r="T923" s="33" t="s">
        <v>30</v>
      </c>
      <c r="U923" s="38" t="s">
        <v>1172</v>
      </c>
      <c r="V923" s="35"/>
      <c r="W923" s="7"/>
      <c r="X923" s="7"/>
      <c r="Y923" s="7"/>
      <c r="Z923" s="7"/>
      <c r="AA923" s="7"/>
    </row>
    <row r="924" ht="18.75" customHeight="1">
      <c r="A924" s="8" t="s">
        <v>1168</v>
      </c>
      <c r="B924" s="9" t="s">
        <v>1089</v>
      </c>
      <c r="C924" s="9" t="s">
        <v>1175</v>
      </c>
      <c r="D924" s="10">
        <v>265.0</v>
      </c>
      <c r="E924" s="9" t="s">
        <v>1222</v>
      </c>
      <c r="F924" s="11" t="s">
        <v>37</v>
      </c>
      <c r="G924" s="12" t="s">
        <v>27</v>
      </c>
      <c r="H924" s="13">
        <v>285.0</v>
      </c>
      <c r="I924" s="14">
        <v>10.0</v>
      </c>
      <c r="J924" s="100" t="s">
        <v>54</v>
      </c>
      <c r="K924" s="16">
        <v>0.3</v>
      </c>
      <c r="L924" s="17">
        <f t="shared" si="1"/>
        <v>3</v>
      </c>
      <c r="M924" s="17">
        <f t="shared" si="2"/>
        <v>7</v>
      </c>
      <c r="N924" s="18">
        <f t="shared" si="3"/>
        <v>85.5</v>
      </c>
      <c r="O924" s="18">
        <f t="shared" si="4"/>
        <v>199.5</v>
      </c>
      <c r="P924" s="18">
        <f t="shared" si="5"/>
        <v>199.5</v>
      </c>
      <c r="Q924" s="8">
        <v>0.0</v>
      </c>
      <c r="R924" s="18">
        <f t="shared" si="6"/>
        <v>28.5</v>
      </c>
      <c r="S924" s="19" t="s">
        <v>29</v>
      </c>
      <c r="T924" s="19" t="s">
        <v>30</v>
      </c>
      <c r="U924" s="20" t="s">
        <v>527</v>
      </c>
      <c r="V924" s="37"/>
      <c r="W924" s="7"/>
      <c r="X924" s="7"/>
      <c r="Y924" s="7"/>
      <c r="Z924" s="7"/>
      <c r="AA924" s="7"/>
    </row>
    <row r="925" ht="18.75" customHeight="1">
      <c r="A925" s="22" t="s">
        <v>1168</v>
      </c>
      <c r="B925" s="23" t="s">
        <v>1223</v>
      </c>
      <c r="C925" s="23" t="s">
        <v>1041</v>
      </c>
      <c r="D925" s="24">
        <v>281.0</v>
      </c>
      <c r="E925" s="23" t="s">
        <v>1224</v>
      </c>
      <c r="F925" s="25" t="s">
        <v>202</v>
      </c>
      <c r="G925" s="40"/>
      <c r="H925" s="27">
        <v>2949.0</v>
      </c>
      <c r="I925" s="28">
        <v>5.0</v>
      </c>
      <c r="J925" s="45" t="s">
        <v>63</v>
      </c>
      <c r="K925" s="30">
        <v>0.700000000000005</v>
      </c>
      <c r="L925" s="31">
        <f t="shared" si="1"/>
        <v>3.5</v>
      </c>
      <c r="M925" s="31">
        <f t="shared" si="2"/>
        <v>1.5</v>
      </c>
      <c r="N925" s="32">
        <f t="shared" si="3"/>
        <v>2064.3</v>
      </c>
      <c r="O925" s="32">
        <f t="shared" si="4"/>
        <v>884.7</v>
      </c>
      <c r="P925" s="32">
        <f t="shared" si="5"/>
        <v>884.7</v>
      </c>
      <c r="Q925" s="22">
        <v>0.0</v>
      </c>
      <c r="R925" s="32">
        <f t="shared" si="6"/>
        <v>589.8</v>
      </c>
      <c r="S925" s="33" t="s">
        <v>29</v>
      </c>
      <c r="T925" s="33" t="s">
        <v>30</v>
      </c>
      <c r="U925" s="38" t="s">
        <v>1225</v>
      </c>
      <c r="V925" s="35"/>
      <c r="W925" s="7"/>
      <c r="X925" s="7"/>
      <c r="Y925" s="7"/>
      <c r="Z925" s="7"/>
      <c r="AA925" s="7"/>
    </row>
    <row r="926" ht="18.75" customHeight="1">
      <c r="A926" s="8" t="s">
        <v>1168</v>
      </c>
      <c r="B926" s="9" t="s">
        <v>1209</v>
      </c>
      <c r="C926" s="9" t="s">
        <v>588</v>
      </c>
      <c r="D926" s="10">
        <v>285.0</v>
      </c>
      <c r="E926" s="9" t="s">
        <v>1226</v>
      </c>
      <c r="F926" s="11" t="s">
        <v>37</v>
      </c>
      <c r="G926" s="39"/>
      <c r="H926" s="106">
        <v>316.37</v>
      </c>
      <c r="I926" s="14">
        <v>10.0</v>
      </c>
      <c r="J926" s="100" t="s">
        <v>54</v>
      </c>
      <c r="K926" s="16">
        <v>0.3</v>
      </c>
      <c r="L926" s="17">
        <f t="shared" si="1"/>
        <v>3</v>
      </c>
      <c r="M926" s="17">
        <f t="shared" si="2"/>
        <v>7</v>
      </c>
      <c r="N926" s="18">
        <f t="shared" si="3"/>
        <v>94.911</v>
      </c>
      <c r="O926" s="18">
        <f t="shared" si="4"/>
        <v>221.459</v>
      </c>
      <c r="P926" s="18">
        <f t="shared" si="5"/>
        <v>221.459</v>
      </c>
      <c r="Q926" s="8">
        <v>0.0</v>
      </c>
      <c r="R926" s="18">
        <f t="shared" si="6"/>
        <v>31.637</v>
      </c>
      <c r="S926" s="19" t="s">
        <v>29</v>
      </c>
      <c r="T926" s="19" t="s">
        <v>30</v>
      </c>
      <c r="U926" s="36" t="s">
        <v>1227</v>
      </c>
      <c r="V926" s="37"/>
      <c r="W926" s="7"/>
      <c r="X926" s="7"/>
      <c r="Y926" s="7"/>
      <c r="Z926" s="7"/>
      <c r="AA926" s="7"/>
    </row>
    <row r="927" ht="18.75" customHeight="1">
      <c r="A927" s="22" t="s">
        <v>1168</v>
      </c>
      <c r="B927" s="102" t="s">
        <v>1178</v>
      </c>
      <c r="C927" s="23" t="s">
        <v>294</v>
      </c>
      <c r="D927" s="24">
        <v>286.0</v>
      </c>
      <c r="E927" s="23" t="s">
        <v>1226</v>
      </c>
      <c r="F927" s="25" t="s">
        <v>37</v>
      </c>
      <c r="G927" s="40"/>
      <c r="H927" s="105">
        <v>316.37</v>
      </c>
      <c r="I927" s="28">
        <v>10.0</v>
      </c>
      <c r="J927" s="101" t="s">
        <v>54</v>
      </c>
      <c r="K927" s="30">
        <v>0.3</v>
      </c>
      <c r="L927" s="31">
        <f t="shared" si="1"/>
        <v>3</v>
      </c>
      <c r="M927" s="31">
        <f t="shared" si="2"/>
        <v>7</v>
      </c>
      <c r="N927" s="32">
        <f t="shared" si="3"/>
        <v>94.911</v>
      </c>
      <c r="O927" s="32">
        <f t="shared" si="4"/>
        <v>221.459</v>
      </c>
      <c r="P927" s="32">
        <f t="shared" si="5"/>
        <v>221.459</v>
      </c>
      <c r="Q927" s="22">
        <v>0.0</v>
      </c>
      <c r="R927" s="32">
        <f t="shared" si="6"/>
        <v>31.637</v>
      </c>
      <c r="S927" s="33" t="s">
        <v>29</v>
      </c>
      <c r="T927" s="33" t="s">
        <v>30</v>
      </c>
      <c r="U927" s="38" t="s">
        <v>1227</v>
      </c>
      <c r="V927" s="35"/>
      <c r="W927" s="7"/>
      <c r="X927" s="7"/>
      <c r="Y927" s="7"/>
      <c r="Z927" s="7"/>
      <c r="AA927" s="7"/>
    </row>
    <row r="928" ht="18.75" customHeight="1">
      <c r="A928" s="8" t="s">
        <v>1168</v>
      </c>
      <c r="B928" s="103" t="s">
        <v>1178</v>
      </c>
      <c r="C928" s="9" t="s">
        <v>294</v>
      </c>
      <c r="D928" s="10">
        <v>287.0</v>
      </c>
      <c r="E928" s="9" t="s">
        <v>1226</v>
      </c>
      <c r="F928" s="11" t="s">
        <v>37</v>
      </c>
      <c r="G928" s="39"/>
      <c r="H928" s="106">
        <v>316.37</v>
      </c>
      <c r="I928" s="14">
        <v>10.0</v>
      </c>
      <c r="J928" s="100" t="s">
        <v>54</v>
      </c>
      <c r="K928" s="16">
        <v>0.3</v>
      </c>
      <c r="L928" s="17">
        <f t="shared" si="1"/>
        <v>3</v>
      </c>
      <c r="M928" s="17">
        <f t="shared" si="2"/>
        <v>7</v>
      </c>
      <c r="N928" s="18">
        <f t="shared" si="3"/>
        <v>94.911</v>
      </c>
      <c r="O928" s="18">
        <f t="shared" si="4"/>
        <v>221.459</v>
      </c>
      <c r="P928" s="18">
        <f t="shared" si="5"/>
        <v>221.459</v>
      </c>
      <c r="Q928" s="8">
        <v>0.0</v>
      </c>
      <c r="R928" s="18">
        <f t="shared" si="6"/>
        <v>31.637</v>
      </c>
      <c r="S928" s="19" t="s">
        <v>29</v>
      </c>
      <c r="T928" s="19" t="s">
        <v>30</v>
      </c>
      <c r="U928" s="36" t="s">
        <v>1227</v>
      </c>
      <c r="V928" s="37"/>
      <c r="W928" s="7"/>
      <c r="X928" s="7"/>
      <c r="Y928" s="7"/>
      <c r="Z928" s="7"/>
      <c r="AA928" s="7"/>
    </row>
    <row r="929" ht="18.75" customHeight="1">
      <c r="A929" s="22" t="s">
        <v>1168</v>
      </c>
      <c r="B929" s="23" t="s">
        <v>1209</v>
      </c>
      <c r="C929" s="23" t="s">
        <v>588</v>
      </c>
      <c r="D929" s="24">
        <v>288.0</v>
      </c>
      <c r="E929" s="23" t="s">
        <v>1226</v>
      </c>
      <c r="F929" s="25" t="s">
        <v>37</v>
      </c>
      <c r="G929" s="40"/>
      <c r="H929" s="105">
        <v>316.37</v>
      </c>
      <c r="I929" s="28">
        <v>10.0</v>
      </c>
      <c r="J929" s="101" t="s">
        <v>54</v>
      </c>
      <c r="K929" s="30">
        <v>0.3</v>
      </c>
      <c r="L929" s="31">
        <f t="shared" si="1"/>
        <v>3</v>
      </c>
      <c r="M929" s="31">
        <f t="shared" si="2"/>
        <v>7</v>
      </c>
      <c r="N929" s="32">
        <f t="shared" si="3"/>
        <v>94.911</v>
      </c>
      <c r="O929" s="32">
        <f t="shared" si="4"/>
        <v>221.459</v>
      </c>
      <c r="P929" s="32">
        <f t="shared" si="5"/>
        <v>221.459</v>
      </c>
      <c r="Q929" s="22">
        <v>0.0</v>
      </c>
      <c r="R929" s="32">
        <f t="shared" si="6"/>
        <v>31.637</v>
      </c>
      <c r="S929" s="33" t="s">
        <v>29</v>
      </c>
      <c r="T929" s="33" t="s">
        <v>30</v>
      </c>
      <c r="U929" s="38" t="s">
        <v>1227</v>
      </c>
      <c r="V929" s="107"/>
      <c r="W929" s="7"/>
      <c r="X929" s="7"/>
      <c r="Y929" s="7"/>
      <c r="Z929" s="7"/>
      <c r="AA929" s="7"/>
    </row>
    <row r="930" ht="18.75" customHeight="1">
      <c r="A930" s="8" t="s">
        <v>1168</v>
      </c>
      <c r="B930" s="9" t="s">
        <v>1228</v>
      </c>
      <c r="C930" s="9" t="s">
        <v>1085</v>
      </c>
      <c r="D930" s="10">
        <v>290.0</v>
      </c>
      <c r="E930" s="9" t="s">
        <v>1226</v>
      </c>
      <c r="F930" s="11" t="s">
        <v>37</v>
      </c>
      <c r="G930" s="39"/>
      <c r="H930" s="106">
        <v>316.37</v>
      </c>
      <c r="I930" s="14">
        <v>10.0</v>
      </c>
      <c r="J930" s="100" t="s">
        <v>54</v>
      </c>
      <c r="K930" s="16">
        <v>0.3</v>
      </c>
      <c r="L930" s="17">
        <f t="shared" si="1"/>
        <v>3</v>
      </c>
      <c r="M930" s="17">
        <f t="shared" si="2"/>
        <v>7</v>
      </c>
      <c r="N930" s="18">
        <f t="shared" si="3"/>
        <v>94.911</v>
      </c>
      <c r="O930" s="18">
        <f t="shared" si="4"/>
        <v>221.459</v>
      </c>
      <c r="P930" s="18">
        <f t="shared" si="5"/>
        <v>221.459</v>
      </c>
      <c r="Q930" s="8">
        <v>0.0</v>
      </c>
      <c r="R930" s="18">
        <f t="shared" si="6"/>
        <v>31.637</v>
      </c>
      <c r="S930" s="19" t="s">
        <v>29</v>
      </c>
      <c r="T930" s="19" t="s">
        <v>30</v>
      </c>
      <c r="U930" s="36" t="s">
        <v>1227</v>
      </c>
      <c r="V930" s="37"/>
      <c r="W930" s="7"/>
      <c r="X930" s="7"/>
      <c r="Y930" s="7"/>
      <c r="Z930" s="7"/>
      <c r="AA930" s="7"/>
    </row>
    <row r="931" ht="18.75" customHeight="1">
      <c r="A931" s="22" t="s">
        <v>1168</v>
      </c>
      <c r="B931" s="23" t="s">
        <v>1209</v>
      </c>
      <c r="C931" s="23" t="s">
        <v>588</v>
      </c>
      <c r="D931" s="24">
        <v>292.0</v>
      </c>
      <c r="E931" s="23" t="s">
        <v>1226</v>
      </c>
      <c r="F931" s="25" t="s">
        <v>37</v>
      </c>
      <c r="G931" s="40"/>
      <c r="H931" s="105">
        <v>316.37</v>
      </c>
      <c r="I931" s="28">
        <v>10.0</v>
      </c>
      <c r="J931" s="101" t="s">
        <v>54</v>
      </c>
      <c r="K931" s="30">
        <v>0.3</v>
      </c>
      <c r="L931" s="31">
        <f t="shared" si="1"/>
        <v>3</v>
      </c>
      <c r="M931" s="31">
        <f t="shared" si="2"/>
        <v>7</v>
      </c>
      <c r="N931" s="32">
        <f t="shared" si="3"/>
        <v>94.911</v>
      </c>
      <c r="O931" s="32">
        <f t="shared" si="4"/>
        <v>221.459</v>
      </c>
      <c r="P931" s="32">
        <f t="shared" si="5"/>
        <v>221.459</v>
      </c>
      <c r="Q931" s="22">
        <v>0.0</v>
      </c>
      <c r="R931" s="32">
        <f t="shared" si="6"/>
        <v>31.637</v>
      </c>
      <c r="S931" s="33" t="s">
        <v>29</v>
      </c>
      <c r="T931" s="33" t="s">
        <v>30</v>
      </c>
      <c r="U931" s="38" t="s">
        <v>1227</v>
      </c>
      <c r="V931" s="35"/>
      <c r="W931" s="7"/>
      <c r="X931" s="7"/>
      <c r="Y931" s="7"/>
      <c r="Z931" s="7"/>
      <c r="AA931" s="7"/>
    </row>
    <row r="932" ht="18.75" customHeight="1">
      <c r="A932" s="8" t="s">
        <v>1168</v>
      </c>
      <c r="B932" s="103" t="s">
        <v>1178</v>
      </c>
      <c r="C932" s="9" t="s">
        <v>1206</v>
      </c>
      <c r="D932" s="10">
        <v>297.0</v>
      </c>
      <c r="E932" s="9" t="s">
        <v>1229</v>
      </c>
      <c r="F932" s="11" t="s">
        <v>128</v>
      </c>
      <c r="G932" s="12" t="s">
        <v>27</v>
      </c>
      <c r="H932" s="13">
        <v>1669.0</v>
      </c>
      <c r="I932" s="14">
        <v>5.0</v>
      </c>
      <c r="J932" s="15" t="s">
        <v>38</v>
      </c>
      <c r="K932" s="16">
        <v>0.5</v>
      </c>
      <c r="L932" s="17">
        <f t="shared" si="1"/>
        <v>2.5</v>
      </c>
      <c r="M932" s="17">
        <f t="shared" si="2"/>
        <v>2.5</v>
      </c>
      <c r="N932" s="18">
        <f t="shared" si="3"/>
        <v>834.5</v>
      </c>
      <c r="O932" s="18">
        <f t="shared" si="4"/>
        <v>834.5</v>
      </c>
      <c r="P932" s="18">
        <f t="shared" si="5"/>
        <v>834.5</v>
      </c>
      <c r="Q932" s="8">
        <v>0.0</v>
      </c>
      <c r="R932" s="18">
        <f t="shared" si="6"/>
        <v>333.8</v>
      </c>
      <c r="S932" s="19" t="s">
        <v>29</v>
      </c>
      <c r="T932" s="19" t="s">
        <v>30</v>
      </c>
      <c r="U932" s="20" t="s">
        <v>129</v>
      </c>
      <c r="V932" s="37"/>
      <c r="W932" s="7"/>
      <c r="X932" s="7"/>
      <c r="Y932" s="7"/>
      <c r="Z932" s="7"/>
      <c r="AA932" s="7"/>
    </row>
    <row r="933" ht="18.75" customHeight="1">
      <c r="A933" s="22" t="s">
        <v>1168</v>
      </c>
      <c r="B933" s="102" t="s">
        <v>1178</v>
      </c>
      <c r="C933" s="23" t="s">
        <v>294</v>
      </c>
      <c r="D933" s="24">
        <v>304.0</v>
      </c>
      <c r="E933" s="23" t="s">
        <v>1230</v>
      </c>
      <c r="F933" s="25" t="s">
        <v>37</v>
      </c>
      <c r="G933" s="40"/>
      <c r="H933" s="105">
        <v>316.37</v>
      </c>
      <c r="I933" s="28">
        <v>10.0</v>
      </c>
      <c r="J933" s="101" t="s">
        <v>54</v>
      </c>
      <c r="K933" s="30">
        <v>0.3</v>
      </c>
      <c r="L933" s="31">
        <f t="shared" si="1"/>
        <v>3</v>
      </c>
      <c r="M933" s="31">
        <f t="shared" si="2"/>
        <v>7</v>
      </c>
      <c r="N933" s="32">
        <f t="shared" si="3"/>
        <v>94.911</v>
      </c>
      <c r="O933" s="32">
        <f t="shared" si="4"/>
        <v>221.459</v>
      </c>
      <c r="P933" s="32">
        <f t="shared" si="5"/>
        <v>221.459</v>
      </c>
      <c r="Q933" s="22">
        <v>0.0</v>
      </c>
      <c r="R933" s="32">
        <f t="shared" si="6"/>
        <v>31.637</v>
      </c>
      <c r="S933" s="33" t="s">
        <v>29</v>
      </c>
      <c r="T933" s="33" t="s">
        <v>30</v>
      </c>
      <c r="U933" s="38" t="s">
        <v>1227</v>
      </c>
      <c r="V933" s="35"/>
      <c r="W933" s="7"/>
      <c r="X933" s="7"/>
      <c r="Y933" s="7"/>
      <c r="Z933" s="7"/>
      <c r="AA933" s="7"/>
    </row>
    <row r="934" ht="18.75" customHeight="1">
      <c r="A934" s="8" t="s">
        <v>1168</v>
      </c>
      <c r="B934" s="103" t="s">
        <v>1178</v>
      </c>
      <c r="C934" s="9" t="s">
        <v>294</v>
      </c>
      <c r="D934" s="10">
        <v>305.0</v>
      </c>
      <c r="E934" s="9" t="s">
        <v>1230</v>
      </c>
      <c r="F934" s="11" t="s">
        <v>37</v>
      </c>
      <c r="G934" s="39"/>
      <c r="H934" s="106">
        <v>316.37</v>
      </c>
      <c r="I934" s="14">
        <v>10.0</v>
      </c>
      <c r="J934" s="100" t="s">
        <v>54</v>
      </c>
      <c r="K934" s="16">
        <v>0.3</v>
      </c>
      <c r="L934" s="17">
        <f t="shared" si="1"/>
        <v>3</v>
      </c>
      <c r="M934" s="17">
        <f t="shared" si="2"/>
        <v>7</v>
      </c>
      <c r="N934" s="18">
        <f t="shared" si="3"/>
        <v>94.911</v>
      </c>
      <c r="O934" s="18">
        <f t="shared" si="4"/>
        <v>221.459</v>
      </c>
      <c r="P934" s="18">
        <f t="shared" si="5"/>
        <v>221.459</v>
      </c>
      <c r="Q934" s="8">
        <v>0.0</v>
      </c>
      <c r="R934" s="18">
        <f t="shared" si="6"/>
        <v>31.637</v>
      </c>
      <c r="S934" s="19" t="s">
        <v>29</v>
      </c>
      <c r="T934" s="19" t="s">
        <v>30</v>
      </c>
      <c r="U934" s="36" t="s">
        <v>1227</v>
      </c>
      <c r="V934" s="37"/>
      <c r="W934" s="7"/>
      <c r="X934" s="7"/>
      <c r="Y934" s="7"/>
      <c r="Z934" s="7"/>
      <c r="AA934" s="7"/>
    </row>
    <row r="935" ht="18.75" customHeight="1">
      <c r="A935" s="22" t="s">
        <v>1168</v>
      </c>
      <c r="B935" s="102" t="s">
        <v>1178</v>
      </c>
      <c r="C935" s="23" t="s">
        <v>294</v>
      </c>
      <c r="D935" s="24">
        <v>306.0</v>
      </c>
      <c r="E935" s="23" t="s">
        <v>1230</v>
      </c>
      <c r="F935" s="25" t="s">
        <v>37</v>
      </c>
      <c r="G935" s="40"/>
      <c r="H935" s="105">
        <v>316.37</v>
      </c>
      <c r="I935" s="28">
        <v>10.0</v>
      </c>
      <c r="J935" s="101" t="s">
        <v>54</v>
      </c>
      <c r="K935" s="30">
        <v>0.3</v>
      </c>
      <c r="L935" s="31">
        <f t="shared" si="1"/>
        <v>3</v>
      </c>
      <c r="M935" s="31">
        <f t="shared" si="2"/>
        <v>7</v>
      </c>
      <c r="N935" s="32">
        <f t="shared" si="3"/>
        <v>94.911</v>
      </c>
      <c r="O935" s="32">
        <f t="shared" si="4"/>
        <v>221.459</v>
      </c>
      <c r="P935" s="32">
        <f t="shared" si="5"/>
        <v>221.459</v>
      </c>
      <c r="Q935" s="22">
        <v>0.0</v>
      </c>
      <c r="R935" s="32">
        <f t="shared" si="6"/>
        <v>31.637</v>
      </c>
      <c r="S935" s="33" t="s">
        <v>29</v>
      </c>
      <c r="T935" s="33" t="s">
        <v>30</v>
      </c>
      <c r="U935" s="38" t="s">
        <v>1227</v>
      </c>
      <c r="V935" s="35"/>
      <c r="W935" s="7"/>
      <c r="X935" s="7"/>
      <c r="Y935" s="7"/>
      <c r="Z935" s="7"/>
      <c r="AA935" s="7"/>
    </row>
    <row r="936" ht="18.75" customHeight="1">
      <c r="A936" s="8" t="s">
        <v>1168</v>
      </c>
      <c r="B936" s="103" t="s">
        <v>1178</v>
      </c>
      <c r="C936" s="9" t="s">
        <v>294</v>
      </c>
      <c r="D936" s="10">
        <v>307.0</v>
      </c>
      <c r="E936" s="9" t="s">
        <v>1230</v>
      </c>
      <c r="F936" s="11" t="s">
        <v>37</v>
      </c>
      <c r="G936" s="39"/>
      <c r="H936" s="106">
        <v>316.37</v>
      </c>
      <c r="I936" s="14">
        <v>10.0</v>
      </c>
      <c r="J936" s="100" t="s">
        <v>54</v>
      </c>
      <c r="K936" s="16">
        <v>0.3</v>
      </c>
      <c r="L936" s="17">
        <f t="shared" si="1"/>
        <v>3</v>
      </c>
      <c r="M936" s="17">
        <f t="shared" si="2"/>
        <v>7</v>
      </c>
      <c r="N936" s="18">
        <f t="shared" si="3"/>
        <v>94.911</v>
      </c>
      <c r="O936" s="18">
        <f t="shared" si="4"/>
        <v>221.459</v>
      </c>
      <c r="P936" s="18">
        <f t="shared" si="5"/>
        <v>221.459</v>
      </c>
      <c r="Q936" s="8">
        <v>0.0</v>
      </c>
      <c r="R936" s="18">
        <f t="shared" si="6"/>
        <v>31.637</v>
      </c>
      <c r="S936" s="19" t="s">
        <v>29</v>
      </c>
      <c r="T936" s="19" t="s">
        <v>30</v>
      </c>
      <c r="U936" s="36" t="s">
        <v>1227</v>
      </c>
      <c r="V936" s="37"/>
      <c r="W936" s="7"/>
      <c r="X936" s="7"/>
      <c r="Y936" s="7"/>
      <c r="Z936" s="7"/>
      <c r="AA936" s="7"/>
    </row>
    <row r="937" ht="18.75" customHeight="1">
      <c r="A937" s="22" t="s">
        <v>1168</v>
      </c>
      <c r="B937" s="102" t="s">
        <v>1178</v>
      </c>
      <c r="C937" s="23" t="s">
        <v>294</v>
      </c>
      <c r="D937" s="24">
        <v>308.0</v>
      </c>
      <c r="E937" s="23" t="s">
        <v>1230</v>
      </c>
      <c r="F937" s="25" t="s">
        <v>37</v>
      </c>
      <c r="G937" s="40"/>
      <c r="H937" s="105">
        <v>316.37</v>
      </c>
      <c r="I937" s="28">
        <v>10.0</v>
      </c>
      <c r="J937" s="101" t="s">
        <v>54</v>
      </c>
      <c r="K937" s="30">
        <v>0.3</v>
      </c>
      <c r="L937" s="31">
        <f t="shared" si="1"/>
        <v>3</v>
      </c>
      <c r="M937" s="31">
        <f t="shared" si="2"/>
        <v>7</v>
      </c>
      <c r="N937" s="32">
        <f t="shared" si="3"/>
        <v>94.911</v>
      </c>
      <c r="O937" s="32">
        <f t="shared" si="4"/>
        <v>221.459</v>
      </c>
      <c r="P937" s="32">
        <f t="shared" si="5"/>
        <v>221.459</v>
      </c>
      <c r="Q937" s="22">
        <v>0.0</v>
      </c>
      <c r="R937" s="32">
        <f t="shared" si="6"/>
        <v>31.637</v>
      </c>
      <c r="S937" s="33" t="s">
        <v>29</v>
      </c>
      <c r="T937" s="33" t="s">
        <v>30</v>
      </c>
      <c r="U937" s="38" t="s">
        <v>1227</v>
      </c>
      <c r="V937" s="35"/>
      <c r="W937" s="7"/>
      <c r="X937" s="7"/>
      <c r="Y937" s="7"/>
      <c r="Z937" s="7"/>
      <c r="AA937" s="7"/>
    </row>
    <row r="938" ht="18.75" customHeight="1">
      <c r="A938" s="8" t="s">
        <v>1168</v>
      </c>
      <c r="B938" s="103" t="s">
        <v>1178</v>
      </c>
      <c r="C938" s="9" t="s">
        <v>294</v>
      </c>
      <c r="D938" s="10">
        <v>309.0</v>
      </c>
      <c r="E938" s="9" t="s">
        <v>1230</v>
      </c>
      <c r="F938" s="11" t="s">
        <v>37</v>
      </c>
      <c r="G938" s="39"/>
      <c r="H938" s="106">
        <v>316.37</v>
      </c>
      <c r="I938" s="14">
        <v>10.0</v>
      </c>
      <c r="J938" s="100" t="s">
        <v>54</v>
      </c>
      <c r="K938" s="16">
        <v>0.3</v>
      </c>
      <c r="L938" s="17">
        <f t="shared" si="1"/>
        <v>3</v>
      </c>
      <c r="M938" s="17">
        <f t="shared" si="2"/>
        <v>7</v>
      </c>
      <c r="N938" s="18">
        <f t="shared" si="3"/>
        <v>94.911</v>
      </c>
      <c r="O938" s="18">
        <f t="shared" si="4"/>
        <v>221.459</v>
      </c>
      <c r="P938" s="18">
        <f t="shared" si="5"/>
        <v>221.459</v>
      </c>
      <c r="Q938" s="8">
        <v>0.0</v>
      </c>
      <c r="R938" s="18">
        <f t="shared" si="6"/>
        <v>31.637</v>
      </c>
      <c r="S938" s="19" t="s">
        <v>29</v>
      </c>
      <c r="T938" s="19" t="s">
        <v>30</v>
      </c>
      <c r="U938" s="36" t="s">
        <v>1227</v>
      </c>
      <c r="V938" s="37"/>
      <c r="W938" s="7"/>
      <c r="X938" s="7"/>
      <c r="Y938" s="7"/>
      <c r="Z938" s="7"/>
      <c r="AA938" s="7"/>
    </row>
    <row r="939" ht="18.75" customHeight="1">
      <c r="A939" s="22" t="s">
        <v>1168</v>
      </c>
      <c r="B939" s="102" t="s">
        <v>1178</v>
      </c>
      <c r="C939" s="23" t="s">
        <v>294</v>
      </c>
      <c r="D939" s="24">
        <v>310.0</v>
      </c>
      <c r="E939" s="23" t="s">
        <v>1230</v>
      </c>
      <c r="F939" s="25" t="s">
        <v>37</v>
      </c>
      <c r="G939" s="40"/>
      <c r="H939" s="105">
        <v>316.37</v>
      </c>
      <c r="I939" s="28">
        <v>10.0</v>
      </c>
      <c r="J939" s="101" t="s">
        <v>54</v>
      </c>
      <c r="K939" s="30">
        <v>0.3</v>
      </c>
      <c r="L939" s="31">
        <f t="shared" si="1"/>
        <v>3</v>
      </c>
      <c r="M939" s="31">
        <f t="shared" si="2"/>
        <v>7</v>
      </c>
      <c r="N939" s="32">
        <f t="shared" si="3"/>
        <v>94.911</v>
      </c>
      <c r="O939" s="32">
        <f t="shared" si="4"/>
        <v>221.459</v>
      </c>
      <c r="P939" s="32">
        <f t="shared" si="5"/>
        <v>221.459</v>
      </c>
      <c r="Q939" s="22">
        <v>0.0</v>
      </c>
      <c r="R939" s="32">
        <f t="shared" si="6"/>
        <v>31.637</v>
      </c>
      <c r="S939" s="33" t="s">
        <v>29</v>
      </c>
      <c r="T939" s="33" t="s">
        <v>30</v>
      </c>
      <c r="U939" s="38" t="s">
        <v>1227</v>
      </c>
      <c r="V939" s="35"/>
      <c r="W939" s="7"/>
      <c r="X939" s="7"/>
      <c r="Y939" s="7"/>
      <c r="Z939" s="7"/>
      <c r="AA939" s="7"/>
    </row>
    <row r="940" ht="18.75" customHeight="1">
      <c r="A940" s="8" t="s">
        <v>1168</v>
      </c>
      <c r="B940" s="103" t="s">
        <v>1178</v>
      </c>
      <c r="C940" s="9" t="s">
        <v>294</v>
      </c>
      <c r="D940" s="10">
        <v>311.0</v>
      </c>
      <c r="E940" s="9" t="s">
        <v>1230</v>
      </c>
      <c r="F940" s="11" t="s">
        <v>37</v>
      </c>
      <c r="G940" s="39"/>
      <c r="H940" s="106">
        <v>316.37</v>
      </c>
      <c r="I940" s="14">
        <v>10.0</v>
      </c>
      <c r="J940" s="100" t="s">
        <v>54</v>
      </c>
      <c r="K940" s="16">
        <v>0.3</v>
      </c>
      <c r="L940" s="17">
        <f t="shared" si="1"/>
        <v>3</v>
      </c>
      <c r="M940" s="17">
        <f t="shared" si="2"/>
        <v>7</v>
      </c>
      <c r="N940" s="18">
        <f t="shared" si="3"/>
        <v>94.911</v>
      </c>
      <c r="O940" s="18">
        <f t="shared" si="4"/>
        <v>221.459</v>
      </c>
      <c r="P940" s="18">
        <f t="shared" si="5"/>
        <v>221.459</v>
      </c>
      <c r="Q940" s="8">
        <v>0.0</v>
      </c>
      <c r="R940" s="18">
        <f t="shared" si="6"/>
        <v>31.637</v>
      </c>
      <c r="S940" s="19" t="s">
        <v>29</v>
      </c>
      <c r="T940" s="19" t="s">
        <v>30</v>
      </c>
      <c r="U940" s="36" t="s">
        <v>1227</v>
      </c>
      <c r="V940" s="37"/>
      <c r="W940" s="7"/>
      <c r="X940" s="7"/>
      <c r="Y940" s="7"/>
      <c r="Z940" s="7"/>
      <c r="AA940" s="7"/>
    </row>
    <row r="941" ht="18.75" customHeight="1">
      <c r="A941" s="22" t="s">
        <v>1168</v>
      </c>
      <c r="B941" s="102" t="s">
        <v>1178</v>
      </c>
      <c r="C941" s="23" t="s">
        <v>294</v>
      </c>
      <c r="D941" s="24">
        <v>312.0</v>
      </c>
      <c r="E941" s="23" t="s">
        <v>1230</v>
      </c>
      <c r="F941" s="25" t="s">
        <v>37</v>
      </c>
      <c r="G941" s="40"/>
      <c r="H941" s="105">
        <v>316.37</v>
      </c>
      <c r="I941" s="28">
        <v>10.0</v>
      </c>
      <c r="J941" s="101" t="s">
        <v>54</v>
      </c>
      <c r="K941" s="30">
        <v>0.3</v>
      </c>
      <c r="L941" s="31">
        <f t="shared" si="1"/>
        <v>3</v>
      </c>
      <c r="M941" s="31">
        <f t="shared" si="2"/>
        <v>7</v>
      </c>
      <c r="N941" s="32">
        <f t="shared" si="3"/>
        <v>94.911</v>
      </c>
      <c r="O941" s="32">
        <f t="shared" si="4"/>
        <v>221.459</v>
      </c>
      <c r="P941" s="32">
        <f t="shared" si="5"/>
        <v>221.459</v>
      </c>
      <c r="Q941" s="22">
        <v>0.0</v>
      </c>
      <c r="R941" s="32">
        <f t="shared" si="6"/>
        <v>31.637</v>
      </c>
      <c r="S941" s="33" t="s">
        <v>29</v>
      </c>
      <c r="T941" s="33" t="s">
        <v>30</v>
      </c>
      <c r="U941" s="38" t="s">
        <v>1227</v>
      </c>
      <c r="V941" s="35"/>
      <c r="W941" s="7"/>
      <c r="X941" s="7"/>
      <c r="Y941" s="7"/>
      <c r="Z941" s="7"/>
      <c r="AA941" s="7"/>
    </row>
    <row r="942" ht="18.75" customHeight="1">
      <c r="A942" s="8" t="s">
        <v>1168</v>
      </c>
      <c r="B942" s="103" t="s">
        <v>1178</v>
      </c>
      <c r="C942" s="9" t="s">
        <v>294</v>
      </c>
      <c r="D942" s="10">
        <v>313.0</v>
      </c>
      <c r="E942" s="9" t="s">
        <v>1230</v>
      </c>
      <c r="F942" s="11" t="s">
        <v>37</v>
      </c>
      <c r="G942" s="39"/>
      <c r="H942" s="106">
        <v>316.37</v>
      </c>
      <c r="I942" s="14">
        <v>10.0</v>
      </c>
      <c r="J942" s="100" t="s">
        <v>54</v>
      </c>
      <c r="K942" s="16">
        <v>0.3</v>
      </c>
      <c r="L942" s="17">
        <f t="shared" si="1"/>
        <v>3</v>
      </c>
      <c r="M942" s="17">
        <f t="shared" si="2"/>
        <v>7</v>
      </c>
      <c r="N942" s="18">
        <f t="shared" si="3"/>
        <v>94.911</v>
      </c>
      <c r="O942" s="18">
        <f t="shared" si="4"/>
        <v>221.459</v>
      </c>
      <c r="P942" s="18">
        <f t="shared" si="5"/>
        <v>221.459</v>
      </c>
      <c r="Q942" s="8">
        <v>0.0</v>
      </c>
      <c r="R942" s="18">
        <f t="shared" si="6"/>
        <v>31.637</v>
      </c>
      <c r="S942" s="19" t="s">
        <v>29</v>
      </c>
      <c r="T942" s="19" t="s">
        <v>30</v>
      </c>
      <c r="U942" s="36" t="s">
        <v>1227</v>
      </c>
      <c r="V942" s="37"/>
      <c r="W942" s="7"/>
      <c r="X942" s="7"/>
      <c r="Y942" s="7"/>
      <c r="Z942" s="7"/>
      <c r="AA942" s="7"/>
    </row>
    <row r="943" ht="18.75" customHeight="1">
      <c r="A943" s="22" t="s">
        <v>1168</v>
      </c>
      <c r="B943" s="102" t="s">
        <v>1178</v>
      </c>
      <c r="C943" s="23" t="s">
        <v>294</v>
      </c>
      <c r="D943" s="24">
        <v>314.0</v>
      </c>
      <c r="E943" s="23" t="s">
        <v>1230</v>
      </c>
      <c r="F943" s="25" t="s">
        <v>37</v>
      </c>
      <c r="G943" s="40"/>
      <c r="H943" s="105">
        <v>316.37</v>
      </c>
      <c r="I943" s="28">
        <v>10.0</v>
      </c>
      <c r="J943" s="101" t="s">
        <v>54</v>
      </c>
      <c r="K943" s="30">
        <v>0.3</v>
      </c>
      <c r="L943" s="31">
        <f t="shared" si="1"/>
        <v>3</v>
      </c>
      <c r="M943" s="31">
        <f t="shared" si="2"/>
        <v>7</v>
      </c>
      <c r="N943" s="32">
        <f t="shared" si="3"/>
        <v>94.911</v>
      </c>
      <c r="O943" s="32">
        <f t="shared" si="4"/>
        <v>221.459</v>
      </c>
      <c r="P943" s="32">
        <f t="shared" si="5"/>
        <v>221.459</v>
      </c>
      <c r="Q943" s="22">
        <v>0.0</v>
      </c>
      <c r="R943" s="32">
        <f t="shared" si="6"/>
        <v>31.637</v>
      </c>
      <c r="S943" s="33" t="s">
        <v>29</v>
      </c>
      <c r="T943" s="33" t="s">
        <v>30</v>
      </c>
      <c r="U943" s="38" t="s">
        <v>1227</v>
      </c>
      <c r="V943" s="35"/>
      <c r="W943" s="7"/>
      <c r="X943" s="7"/>
      <c r="Y943" s="7"/>
      <c r="Z943" s="7"/>
      <c r="AA943" s="7"/>
    </row>
    <row r="944" ht="18.75" customHeight="1">
      <c r="A944" s="8" t="s">
        <v>1168</v>
      </c>
      <c r="B944" s="103" t="s">
        <v>1178</v>
      </c>
      <c r="C944" s="9" t="s">
        <v>294</v>
      </c>
      <c r="D944" s="10">
        <v>315.0</v>
      </c>
      <c r="E944" s="9" t="s">
        <v>1230</v>
      </c>
      <c r="F944" s="11" t="s">
        <v>37</v>
      </c>
      <c r="G944" s="39"/>
      <c r="H944" s="106">
        <v>316.37</v>
      </c>
      <c r="I944" s="14">
        <v>10.0</v>
      </c>
      <c r="J944" s="100" t="s">
        <v>54</v>
      </c>
      <c r="K944" s="16">
        <v>0.3</v>
      </c>
      <c r="L944" s="17">
        <f t="shared" si="1"/>
        <v>3</v>
      </c>
      <c r="M944" s="17">
        <f t="shared" si="2"/>
        <v>7</v>
      </c>
      <c r="N944" s="18">
        <f t="shared" si="3"/>
        <v>94.911</v>
      </c>
      <c r="O944" s="18">
        <f t="shared" si="4"/>
        <v>221.459</v>
      </c>
      <c r="P944" s="18">
        <f t="shared" si="5"/>
        <v>221.459</v>
      </c>
      <c r="Q944" s="8">
        <v>0.0</v>
      </c>
      <c r="R944" s="18">
        <f t="shared" si="6"/>
        <v>31.637</v>
      </c>
      <c r="S944" s="19" t="s">
        <v>29</v>
      </c>
      <c r="T944" s="19" t="s">
        <v>30</v>
      </c>
      <c r="U944" s="36" t="s">
        <v>1227</v>
      </c>
      <c r="V944" s="37"/>
      <c r="W944" s="7"/>
      <c r="X944" s="7"/>
      <c r="Y944" s="7"/>
      <c r="Z944" s="7"/>
      <c r="AA944" s="7"/>
    </row>
    <row r="945" ht="18.75" customHeight="1">
      <c r="A945" s="22" t="s">
        <v>1168</v>
      </c>
      <c r="B945" s="102" t="s">
        <v>1178</v>
      </c>
      <c r="C945" s="23" t="s">
        <v>294</v>
      </c>
      <c r="D945" s="24">
        <v>316.0</v>
      </c>
      <c r="E945" s="23" t="s">
        <v>1230</v>
      </c>
      <c r="F945" s="25" t="s">
        <v>37</v>
      </c>
      <c r="G945" s="40"/>
      <c r="H945" s="105">
        <v>316.37</v>
      </c>
      <c r="I945" s="28">
        <v>10.0</v>
      </c>
      <c r="J945" s="101" t="s">
        <v>54</v>
      </c>
      <c r="K945" s="30">
        <v>0.3</v>
      </c>
      <c r="L945" s="31">
        <f t="shared" si="1"/>
        <v>3</v>
      </c>
      <c r="M945" s="31">
        <f t="shared" si="2"/>
        <v>7</v>
      </c>
      <c r="N945" s="32">
        <f t="shared" si="3"/>
        <v>94.911</v>
      </c>
      <c r="O945" s="32">
        <f t="shared" si="4"/>
        <v>221.459</v>
      </c>
      <c r="P945" s="32">
        <f t="shared" si="5"/>
        <v>221.459</v>
      </c>
      <c r="Q945" s="22">
        <v>0.0</v>
      </c>
      <c r="R945" s="32">
        <f t="shared" si="6"/>
        <v>31.637</v>
      </c>
      <c r="S945" s="33" t="s">
        <v>29</v>
      </c>
      <c r="T945" s="33" t="s">
        <v>30</v>
      </c>
      <c r="U945" s="38" t="s">
        <v>1227</v>
      </c>
      <c r="V945" s="35"/>
      <c r="W945" s="7"/>
      <c r="X945" s="7"/>
      <c r="Y945" s="7"/>
      <c r="Z945" s="7"/>
      <c r="AA945" s="7"/>
    </row>
    <row r="946" ht="18.75" customHeight="1">
      <c r="A946" s="8" t="s">
        <v>1168</v>
      </c>
      <c r="B946" s="103" t="s">
        <v>1178</v>
      </c>
      <c r="C946" s="9" t="s">
        <v>294</v>
      </c>
      <c r="D946" s="10">
        <v>317.0</v>
      </c>
      <c r="E946" s="9" t="s">
        <v>1230</v>
      </c>
      <c r="F946" s="11" t="s">
        <v>37</v>
      </c>
      <c r="G946" s="39"/>
      <c r="H946" s="106">
        <v>316.37</v>
      </c>
      <c r="I946" s="14">
        <v>10.0</v>
      </c>
      <c r="J946" s="100" t="s">
        <v>54</v>
      </c>
      <c r="K946" s="16">
        <v>0.3</v>
      </c>
      <c r="L946" s="17">
        <f t="shared" si="1"/>
        <v>3</v>
      </c>
      <c r="M946" s="17">
        <f t="shared" si="2"/>
        <v>7</v>
      </c>
      <c r="N946" s="18">
        <f t="shared" si="3"/>
        <v>94.911</v>
      </c>
      <c r="O946" s="18">
        <f t="shared" si="4"/>
        <v>221.459</v>
      </c>
      <c r="P946" s="18">
        <f t="shared" si="5"/>
        <v>221.459</v>
      </c>
      <c r="Q946" s="8">
        <v>0.0</v>
      </c>
      <c r="R946" s="18">
        <f t="shared" si="6"/>
        <v>31.637</v>
      </c>
      <c r="S946" s="19" t="s">
        <v>29</v>
      </c>
      <c r="T946" s="19" t="s">
        <v>30</v>
      </c>
      <c r="U946" s="36" t="s">
        <v>1227</v>
      </c>
      <c r="V946" s="37"/>
      <c r="W946" s="7"/>
      <c r="X946" s="7"/>
      <c r="Y946" s="7"/>
      <c r="Z946" s="7"/>
      <c r="AA946" s="7"/>
    </row>
    <row r="947" ht="18.75" customHeight="1">
      <c r="A947" s="22" t="s">
        <v>1168</v>
      </c>
      <c r="B947" s="102" t="s">
        <v>1178</v>
      </c>
      <c r="C947" s="23" t="s">
        <v>294</v>
      </c>
      <c r="D947" s="24">
        <v>318.0</v>
      </c>
      <c r="E947" s="23" t="s">
        <v>1230</v>
      </c>
      <c r="F947" s="25" t="s">
        <v>37</v>
      </c>
      <c r="G947" s="40"/>
      <c r="H947" s="105">
        <v>316.37</v>
      </c>
      <c r="I947" s="28">
        <v>10.0</v>
      </c>
      <c r="J947" s="101" t="s">
        <v>54</v>
      </c>
      <c r="K947" s="30">
        <v>0.3</v>
      </c>
      <c r="L947" s="31">
        <f t="shared" si="1"/>
        <v>3</v>
      </c>
      <c r="M947" s="31">
        <f t="shared" si="2"/>
        <v>7</v>
      </c>
      <c r="N947" s="32">
        <f t="shared" si="3"/>
        <v>94.911</v>
      </c>
      <c r="O947" s="32">
        <f t="shared" si="4"/>
        <v>221.459</v>
      </c>
      <c r="P947" s="32">
        <f t="shared" si="5"/>
        <v>221.459</v>
      </c>
      <c r="Q947" s="22">
        <v>0.0</v>
      </c>
      <c r="R947" s="32">
        <f t="shared" si="6"/>
        <v>31.637</v>
      </c>
      <c r="S947" s="33" t="s">
        <v>29</v>
      </c>
      <c r="T947" s="33" t="s">
        <v>30</v>
      </c>
      <c r="U947" s="38" t="s">
        <v>1227</v>
      </c>
      <c r="V947" s="35"/>
      <c r="W947" s="7"/>
      <c r="X947" s="7"/>
      <c r="Y947" s="7"/>
      <c r="Z947" s="7"/>
      <c r="AA947" s="7"/>
    </row>
    <row r="948" ht="18.75" customHeight="1">
      <c r="A948" s="8" t="s">
        <v>1168</v>
      </c>
      <c r="B948" s="103" t="s">
        <v>1178</v>
      </c>
      <c r="C948" s="9" t="s">
        <v>294</v>
      </c>
      <c r="D948" s="10">
        <v>319.0</v>
      </c>
      <c r="E948" s="9" t="s">
        <v>1230</v>
      </c>
      <c r="F948" s="11" t="s">
        <v>37</v>
      </c>
      <c r="G948" s="39"/>
      <c r="H948" s="106">
        <v>316.37</v>
      </c>
      <c r="I948" s="14">
        <v>10.0</v>
      </c>
      <c r="J948" s="100" t="s">
        <v>54</v>
      </c>
      <c r="K948" s="16">
        <v>0.3</v>
      </c>
      <c r="L948" s="17">
        <f t="shared" si="1"/>
        <v>3</v>
      </c>
      <c r="M948" s="17">
        <f t="shared" si="2"/>
        <v>7</v>
      </c>
      <c r="N948" s="18">
        <f t="shared" si="3"/>
        <v>94.911</v>
      </c>
      <c r="O948" s="18">
        <f t="shared" si="4"/>
        <v>221.459</v>
      </c>
      <c r="P948" s="18">
        <f t="shared" si="5"/>
        <v>221.459</v>
      </c>
      <c r="Q948" s="8">
        <v>0.0</v>
      </c>
      <c r="R948" s="18">
        <f t="shared" si="6"/>
        <v>31.637</v>
      </c>
      <c r="S948" s="19" t="s">
        <v>29</v>
      </c>
      <c r="T948" s="19" t="s">
        <v>30</v>
      </c>
      <c r="U948" s="36" t="s">
        <v>1227</v>
      </c>
      <c r="V948" s="37"/>
      <c r="W948" s="7"/>
      <c r="X948" s="7"/>
      <c r="Y948" s="7"/>
      <c r="Z948" s="7"/>
      <c r="AA948" s="7"/>
    </row>
    <row r="949" ht="18.75" customHeight="1">
      <c r="A949" s="22" t="s">
        <v>1168</v>
      </c>
      <c r="B949" s="102" t="s">
        <v>1178</v>
      </c>
      <c r="C949" s="23" t="s">
        <v>294</v>
      </c>
      <c r="D949" s="24">
        <v>320.0</v>
      </c>
      <c r="E949" s="23" t="s">
        <v>1230</v>
      </c>
      <c r="F949" s="25" t="s">
        <v>37</v>
      </c>
      <c r="G949" s="40"/>
      <c r="H949" s="105">
        <v>316.37</v>
      </c>
      <c r="I949" s="28">
        <v>10.0</v>
      </c>
      <c r="J949" s="101" t="s">
        <v>54</v>
      </c>
      <c r="K949" s="30">
        <v>0.3</v>
      </c>
      <c r="L949" s="31">
        <f t="shared" si="1"/>
        <v>3</v>
      </c>
      <c r="M949" s="31">
        <f t="shared" si="2"/>
        <v>7</v>
      </c>
      <c r="N949" s="32">
        <f t="shared" si="3"/>
        <v>94.911</v>
      </c>
      <c r="O949" s="32">
        <f t="shared" si="4"/>
        <v>221.459</v>
      </c>
      <c r="P949" s="32">
        <f t="shared" si="5"/>
        <v>221.459</v>
      </c>
      <c r="Q949" s="22">
        <v>0.0</v>
      </c>
      <c r="R949" s="32">
        <f t="shared" si="6"/>
        <v>31.637</v>
      </c>
      <c r="S949" s="33" t="s">
        <v>29</v>
      </c>
      <c r="T949" s="33" t="s">
        <v>30</v>
      </c>
      <c r="U949" s="38" t="s">
        <v>1227</v>
      </c>
      <c r="V949" s="35"/>
      <c r="W949" s="7"/>
      <c r="X949" s="7"/>
      <c r="Y949" s="7"/>
      <c r="Z949" s="7"/>
      <c r="AA949" s="7"/>
    </row>
    <row r="950" ht="18.75" customHeight="1">
      <c r="A950" s="8" t="s">
        <v>1168</v>
      </c>
      <c r="B950" s="103" t="s">
        <v>1178</v>
      </c>
      <c r="C950" s="9" t="s">
        <v>294</v>
      </c>
      <c r="D950" s="10">
        <v>321.0</v>
      </c>
      <c r="E950" s="9" t="s">
        <v>1230</v>
      </c>
      <c r="F950" s="11" t="s">
        <v>37</v>
      </c>
      <c r="G950" s="39"/>
      <c r="H950" s="106">
        <v>316.37</v>
      </c>
      <c r="I950" s="14">
        <v>10.0</v>
      </c>
      <c r="J950" s="100" t="s">
        <v>54</v>
      </c>
      <c r="K950" s="16">
        <v>0.3</v>
      </c>
      <c r="L950" s="17">
        <f t="shared" si="1"/>
        <v>3</v>
      </c>
      <c r="M950" s="17">
        <f t="shared" si="2"/>
        <v>7</v>
      </c>
      <c r="N950" s="18">
        <f t="shared" si="3"/>
        <v>94.911</v>
      </c>
      <c r="O950" s="18">
        <f t="shared" si="4"/>
        <v>221.459</v>
      </c>
      <c r="P950" s="18">
        <f t="shared" si="5"/>
        <v>221.459</v>
      </c>
      <c r="Q950" s="8">
        <v>0.0</v>
      </c>
      <c r="R950" s="18">
        <f t="shared" si="6"/>
        <v>31.637</v>
      </c>
      <c r="S950" s="19" t="s">
        <v>29</v>
      </c>
      <c r="T950" s="19" t="s">
        <v>30</v>
      </c>
      <c r="U950" s="36" t="s">
        <v>1227</v>
      </c>
      <c r="V950" s="37"/>
      <c r="W950" s="7"/>
      <c r="X950" s="7"/>
      <c r="Y950" s="7"/>
      <c r="Z950" s="7"/>
      <c r="AA950" s="7"/>
    </row>
    <row r="951" ht="18.75" customHeight="1">
      <c r="A951" s="22" t="s">
        <v>1168</v>
      </c>
      <c r="B951" s="102" t="s">
        <v>1178</v>
      </c>
      <c r="C951" s="23" t="s">
        <v>294</v>
      </c>
      <c r="D951" s="24">
        <v>322.0</v>
      </c>
      <c r="E951" s="23" t="s">
        <v>1230</v>
      </c>
      <c r="F951" s="25" t="s">
        <v>37</v>
      </c>
      <c r="G951" s="40"/>
      <c r="H951" s="105">
        <v>316.37</v>
      </c>
      <c r="I951" s="28">
        <v>10.0</v>
      </c>
      <c r="J951" s="101" t="s">
        <v>54</v>
      </c>
      <c r="K951" s="30">
        <v>0.3</v>
      </c>
      <c r="L951" s="31">
        <f t="shared" si="1"/>
        <v>3</v>
      </c>
      <c r="M951" s="31">
        <f t="shared" si="2"/>
        <v>7</v>
      </c>
      <c r="N951" s="32">
        <f t="shared" si="3"/>
        <v>94.911</v>
      </c>
      <c r="O951" s="32">
        <f t="shared" si="4"/>
        <v>221.459</v>
      </c>
      <c r="P951" s="32">
        <f t="shared" si="5"/>
        <v>221.459</v>
      </c>
      <c r="Q951" s="22">
        <v>0.0</v>
      </c>
      <c r="R951" s="32">
        <f t="shared" si="6"/>
        <v>31.637</v>
      </c>
      <c r="S951" s="33" t="s">
        <v>29</v>
      </c>
      <c r="T951" s="33" t="s">
        <v>30</v>
      </c>
      <c r="U951" s="38" t="s">
        <v>1227</v>
      </c>
      <c r="V951" s="35"/>
      <c r="W951" s="7"/>
      <c r="X951" s="7"/>
      <c r="Y951" s="7"/>
      <c r="Z951" s="7"/>
      <c r="AA951" s="7"/>
    </row>
    <row r="952" ht="18.75" customHeight="1">
      <c r="A952" s="8" t="s">
        <v>1168</v>
      </c>
      <c r="B952" s="103" t="s">
        <v>1178</v>
      </c>
      <c r="C952" s="9" t="s">
        <v>294</v>
      </c>
      <c r="D952" s="10">
        <v>323.0</v>
      </c>
      <c r="E952" s="9" t="s">
        <v>1230</v>
      </c>
      <c r="F952" s="11" t="s">
        <v>37</v>
      </c>
      <c r="G952" s="39"/>
      <c r="H952" s="106">
        <v>316.37</v>
      </c>
      <c r="I952" s="14">
        <v>10.0</v>
      </c>
      <c r="J952" s="100" t="s">
        <v>54</v>
      </c>
      <c r="K952" s="16">
        <v>0.3</v>
      </c>
      <c r="L952" s="17">
        <f t="shared" si="1"/>
        <v>3</v>
      </c>
      <c r="M952" s="17">
        <f t="shared" si="2"/>
        <v>7</v>
      </c>
      <c r="N952" s="18">
        <f t="shared" si="3"/>
        <v>94.911</v>
      </c>
      <c r="O952" s="18">
        <f t="shared" si="4"/>
        <v>221.459</v>
      </c>
      <c r="P952" s="18">
        <f t="shared" si="5"/>
        <v>221.459</v>
      </c>
      <c r="Q952" s="8">
        <v>0.0</v>
      </c>
      <c r="R952" s="18">
        <f t="shared" si="6"/>
        <v>31.637</v>
      </c>
      <c r="S952" s="19" t="s">
        <v>29</v>
      </c>
      <c r="T952" s="19" t="s">
        <v>30</v>
      </c>
      <c r="U952" s="36" t="s">
        <v>1227</v>
      </c>
      <c r="V952" s="37"/>
      <c r="W952" s="7"/>
      <c r="X952" s="7"/>
      <c r="Y952" s="7"/>
      <c r="Z952" s="7"/>
      <c r="AA952" s="7"/>
    </row>
    <row r="953" ht="18.75" customHeight="1">
      <c r="A953" s="22" t="s">
        <v>1168</v>
      </c>
      <c r="B953" s="102" t="s">
        <v>1178</v>
      </c>
      <c r="C953" s="23" t="s">
        <v>294</v>
      </c>
      <c r="D953" s="24">
        <v>328.0</v>
      </c>
      <c r="E953" s="23" t="s">
        <v>1231</v>
      </c>
      <c r="F953" s="25" t="s">
        <v>37</v>
      </c>
      <c r="G953" s="40"/>
      <c r="H953" s="27">
        <v>314.99</v>
      </c>
      <c r="I953" s="28">
        <v>10.0</v>
      </c>
      <c r="J953" s="45" t="s">
        <v>63</v>
      </c>
      <c r="K953" s="30">
        <v>0.700000000000005</v>
      </c>
      <c r="L953" s="31">
        <f t="shared" si="1"/>
        <v>7</v>
      </c>
      <c r="M953" s="31">
        <f t="shared" si="2"/>
        <v>3</v>
      </c>
      <c r="N953" s="32">
        <f t="shared" si="3"/>
        <v>220.493</v>
      </c>
      <c r="O953" s="32">
        <f t="shared" si="4"/>
        <v>94.497</v>
      </c>
      <c r="P953" s="32">
        <f t="shared" si="5"/>
        <v>94.497</v>
      </c>
      <c r="Q953" s="22">
        <v>0.0</v>
      </c>
      <c r="R953" s="32">
        <f t="shared" si="6"/>
        <v>31.499</v>
      </c>
      <c r="S953" s="33" t="s">
        <v>29</v>
      </c>
      <c r="T953" s="33" t="s">
        <v>30</v>
      </c>
      <c r="U953" s="38" t="s">
        <v>64</v>
      </c>
      <c r="V953" s="35"/>
      <c r="W953" s="7"/>
      <c r="X953" s="7"/>
      <c r="Y953" s="7"/>
      <c r="Z953" s="7"/>
      <c r="AA953" s="7"/>
    </row>
    <row r="954" ht="18.75" customHeight="1">
      <c r="A954" s="8" t="s">
        <v>1168</v>
      </c>
      <c r="B954" s="103" t="s">
        <v>1178</v>
      </c>
      <c r="C954" s="9" t="s">
        <v>294</v>
      </c>
      <c r="D954" s="10">
        <v>335.0</v>
      </c>
      <c r="E954" s="9" t="s">
        <v>1232</v>
      </c>
      <c r="F954" s="11" t="s">
        <v>26</v>
      </c>
      <c r="G954" s="12" t="s">
        <v>27</v>
      </c>
      <c r="H954" s="13">
        <v>235.03</v>
      </c>
      <c r="I954" s="14">
        <v>10.0</v>
      </c>
      <c r="J954" s="48" t="s">
        <v>63</v>
      </c>
      <c r="K954" s="16">
        <v>0.700000000000005</v>
      </c>
      <c r="L954" s="17">
        <f t="shared" si="1"/>
        <v>7</v>
      </c>
      <c r="M954" s="17">
        <f t="shared" si="2"/>
        <v>3</v>
      </c>
      <c r="N954" s="18">
        <f t="shared" si="3"/>
        <v>164.521</v>
      </c>
      <c r="O954" s="18">
        <f t="shared" si="4"/>
        <v>70.509</v>
      </c>
      <c r="P954" s="18">
        <f t="shared" si="5"/>
        <v>70.509</v>
      </c>
      <c r="Q954" s="8">
        <v>0.0</v>
      </c>
      <c r="R954" s="18">
        <f t="shared" si="6"/>
        <v>23.503</v>
      </c>
      <c r="S954" s="19" t="s">
        <v>29</v>
      </c>
      <c r="T954" s="19" t="s">
        <v>30</v>
      </c>
      <c r="U954" s="20" t="s">
        <v>96</v>
      </c>
      <c r="V954" s="37"/>
      <c r="W954" s="7"/>
      <c r="X954" s="7"/>
      <c r="Y954" s="7"/>
      <c r="Z954" s="7"/>
      <c r="AA954" s="7"/>
    </row>
    <row r="955" ht="18.75" customHeight="1">
      <c r="A955" s="22" t="s">
        <v>1168</v>
      </c>
      <c r="B955" s="102" t="s">
        <v>1178</v>
      </c>
      <c r="C955" s="23" t="s">
        <v>294</v>
      </c>
      <c r="D955" s="24">
        <v>336.0</v>
      </c>
      <c r="E955" s="23" t="s">
        <v>1233</v>
      </c>
      <c r="F955" s="25" t="s">
        <v>26</v>
      </c>
      <c r="G955" s="40"/>
      <c r="H955" s="27">
        <v>490.56</v>
      </c>
      <c r="I955" s="28">
        <v>10.0</v>
      </c>
      <c r="J955" s="29" t="s">
        <v>38</v>
      </c>
      <c r="K955" s="30">
        <v>0.5</v>
      </c>
      <c r="L955" s="31">
        <f t="shared" si="1"/>
        <v>5</v>
      </c>
      <c r="M955" s="31">
        <f t="shared" si="2"/>
        <v>5</v>
      </c>
      <c r="N955" s="32">
        <f t="shared" si="3"/>
        <v>245.28</v>
      </c>
      <c r="O955" s="32">
        <f t="shared" si="4"/>
        <v>245.28</v>
      </c>
      <c r="P955" s="32">
        <f t="shared" si="5"/>
        <v>245.28</v>
      </c>
      <c r="Q955" s="22">
        <v>0.0</v>
      </c>
      <c r="R955" s="32">
        <f t="shared" si="6"/>
        <v>49.056</v>
      </c>
      <c r="S955" s="33" t="s">
        <v>29</v>
      </c>
      <c r="T955" s="33" t="s">
        <v>30</v>
      </c>
      <c r="U955" s="38" t="s">
        <v>1234</v>
      </c>
      <c r="V955" s="35"/>
      <c r="W955" s="7"/>
      <c r="X955" s="7"/>
      <c r="Y955" s="7"/>
      <c r="Z955" s="7"/>
      <c r="AA955" s="7"/>
    </row>
    <row r="956" ht="18.75" customHeight="1">
      <c r="A956" s="8" t="s">
        <v>1168</v>
      </c>
      <c r="B956" s="103" t="s">
        <v>1178</v>
      </c>
      <c r="C956" s="9" t="s">
        <v>294</v>
      </c>
      <c r="D956" s="10">
        <v>349.0</v>
      </c>
      <c r="E956" s="9" t="s">
        <v>1235</v>
      </c>
      <c r="F956" s="11" t="s">
        <v>37</v>
      </c>
      <c r="G956" s="12" t="s">
        <v>27</v>
      </c>
      <c r="H956" s="13">
        <v>255.7</v>
      </c>
      <c r="I956" s="14">
        <v>15.0</v>
      </c>
      <c r="J956" s="15" t="s">
        <v>154</v>
      </c>
      <c r="K956" s="16">
        <v>0.8</v>
      </c>
      <c r="L956" s="17">
        <f t="shared" si="1"/>
        <v>12</v>
      </c>
      <c r="M956" s="17">
        <f t="shared" si="2"/>
        <v>3</v>
      </c>
      <c r="N956" s="18">
        <f t="shared" si="3"/>
        <v>204.56</v>
      </c>
      <c r="O956" s="18">
        <f t="shared" si="4"/>
        <v>51.14</v>
      </c>
      <c r="P956" s="18">
        <f t="shared" si="5"/>
        <v>51.14</v>
      </c>
      <c r="Q956" s="8">
        <v>0.0</v>
      </c>
      <c r="R956" s="18">
        <f t="shared" si="6"/>
        <v>17.04666667</v>
      </c>
      <c r="S956" s="19" t="s">
        <v>29</v>
      </c>
      <c r="T956" s="19" t="s">
        <v>30</v>
      </c>
      <c r="U956" s="20" t="s">
        <v>300</v>
      </c>
      <c r="V956" s="37"/>
      <c r="W956" s="7"/>
      <c r="X956" s="7"/>
      <c r="Y956" s="7"/>
      <c r="Z956" s="7"/>
      <c r="AA956" s="7"/>
    </row>
    <row r="957" ht="18.75" customHeight="1">
      <c r="A957" s="22" t="s">
        <v>1168</v>
      </c>
      <c r="B957" s="102" t="s">
        <v>1178</v>
      </c>
      <c r="C957" s="23" t="s">
        <v>294</v>
      </c>
      <c r="D957" s="24">
        <v>350.0</v>
      </c>
      <c r="E957" s="23" t="s">
        <v>1235</v>
      </c>
      <c r="F957" s="25" t="s">
        <v>37</v>
      </c>
      <c r="G957" s="26" t="s">
        <v>27</v>
      </c>
      <c r="H957" s="27">
        <v>255.7</v>
      </c>
      <c r="I957" s="28">
        <v>15.0</v>
      </c>
      <c r="J957" s="29" t="s">
        <v>154</v>
      </c>
      <c r="K957" s="30">
        <v>0.8</v>
      </c>
      <c r="L957" s="31">
        <f t="shared" si="1"/>
        <v>12</v>
      </c>
      <c r="M957" s="31">
        <f t="shared" si="2"/>
        <v>3</v>
      </c>
      <c r="N957" s="32">
        <f t="shared" si="3"/>
        <v>204.56</v>
      </c>
      <c r="O957" s="32">
        <f t="shared" si="4"/>
        <v>51.14</v>
      </c>
      <c r="P957" s="32">
        <f t="shared" si="5"/>
        <v>51.14</v>
      </c>
      <c r="Q957" s="22">
        <v>0.0</v>
      </c>
      <c r="R957" s="32">
        <f t="shared" si="6"/>
        <v>17.04666667</v>
      </c>
      <c r="S957" s="33" t="s">
        <v>29</v>
      </c>
      <c r="T957" s="33" t="s">
        <v>30</v>
      </c>
      <c r="U957" s="34" t="s">
        <v>300</v>
      </c>
      <c r="V957" s="35"/>
      <c r="W957" s="7"/>
      <c r="X957" s="7"/>
      <c r="Y957" s="7"/>
      <c r="Z957" s="7"/>
      <c r="AA957" s="7"/>
    </row>
    <row r="958" ht="18.75" customHeight="1">
      <c r="A958" s="8" t="s">
        <v>1168</v>
      </c>
      <c r="B958" s="9" t="s">
        <v>1209</v>
      </c>
      <c r="C958" s="9" t="s">
        <v>588</v>
      </c>
      <c r="D958" s="10">
        <v>358.0</v>
      </c>
      <c r="E958" s="9" t="s">
        <v>1226</v>
      </c>
      <c r="F958" s="11" t="s">
        <v>37</v>
      </c>
      <c r="G958" s="39"/>
      <c r="H958" s="106">
        <v>316.37</v>
      </c>
      <c r="I958" s="14">
        <v>10.0</v>
      </c>
      <c r="J958" s="100" t="s">
        <v>54</v>
      </c>
      <c r="K958" s="16">
        <v>0.3</v>
      </c>
      <c r="L958" s="17">
        <f t="shared" si="1"/>
        <v>3</v>
      </c>
      <c r="M958" s="17">
        <f t="shared" si="2"/>
        <v>7</v>
      </c>
      <c r="N958" s="18">
        <f t="shared" si="3"/>
        <v>94.911</v>
      </c>
      <c r="O958" s="18">
        <f t="shared" si="4"/>
        <v>221.459</v>
      </c>
      <c r="P958" s="18">
        <f t="shared" si="5"/>
        <v>221.459</v>
      </c>
      <c r="Q958" s="8">
        <v>0.0</v>
      </c>
      <c r="R958" s="18">
        <f t="shared" si="6"/>
        <v>31.637</v>
      </c>
      <c r="S958" s="19" t="s">
        <v>29</v>
      </c>
      <c r="T958" s="19" t="s">
        <v>30</v>
      </c>
      <c r="U958" s="36" t="s">
        <v>1227</v>
      </c>
      <c r="V958" s="37"/>
      <c r="W958" s="7"/>
      <c r="X958" s="7"/>
      <c r="Y958" s="7"/>
      <c r="Z958" s="7"/>
      <c r="AA958" s="7"/>
    </row>
    <row r="959" ht="18.75" customHeight="1">
      <c r="A959" s="22" t="s">
        <v>1168</v>
      </c>
      <c r="B959" s="23" t="s">
        <v>1209</v>
      </c>
      <c r="C959" s="23" t="s">
        <v>588</v>
      </c>
      <c r="D959" s="24">
        <v>361.0</v>
      </c>
      <c r="E959" s="23" t="s">
        <v>1226</v>
      </c>
      <c r="F959" s="25" t="s">
        <v>37</v>
      </c>
      <c r="G959" s="40"/>
      <c r="H959" s="105">
        <v>316.37</v>
      </c>
      <c r="I959" s="28">
        <v>10.0</v>
      </c>
      <c r="J959" s="101" t="s">
        <v>54</v>
      </c>
      <c r="K959" s="30">
        <v>0.3</v>
      </c>
      <c r="L959" s="31">
        <f t="shared" si="1"/>
        <v>3</v>
      </c>
      <c r="M959" s="31">
        <f t="shared" si="2"/>
        <v>7</v>
      </c>
      <c r="N959" s="32">
        <f t="shared" si="3"/>
        <v>94.911</v>
      </c>
      <c r="O959" s="32">
        <f t="shared" si="4"/>
        <v>221.459</v>
      </c>
      <c r="P959" s="32">
        <f t="shared" si="5"/>
        <v>221.459</v>
      </c>
      <c r="Q959" s="22">
        <v>0.0</v>
      </c>
      <c r="R959" s="32">
        <f t="shared" si="6"/>
        <v>31.637</v>
      </c>
      <c r="S959" s="33" t="s">
        <v>29</v>
      </c>
      <c r="T959" s="33" t="s">
        <v>30</v>
      </c>
      <c r="U959" s="38" t="s">
        <v>1227</v>
      </c>
      <c r="V959" s="35"/>
      <c r="W959" s="7"/>
      <c r="X959" s="7"/>
      <c r="Y959" s="7"/>
      <c r="Z959" s="7"/>
      <c r="AA959" s="7"/>
    </row>
    <row r="960" ht="18.75" customHeight="1">
      <c r="A960" s="8" t="s">
        <v>1168</v>
      </c>
      <c r="B960" s="9" t="s">
        <v>1209</v>
      </c>
      <c r="C960" s="9" t="s">
        <v>588</v>
      </c>
      <c r="D960" s="10">
        <v>369.0</v>
      </c>
      <c r="E960" s="9" t="s">
        <v>1226</v>
      </c>
      <c r="F960" s="11" t="s">
        <v>37</v>
      </c>
      <c r="G960" s="39"/>
      <c r="H960" s="106">
        <v>316.37</v>
      </c>
      <c r="I960" s="14">
        <v>10.0</v>
      </c>
      <c r="J960" s="100" t="s">
        <v>54</v>
      </c>
      <c r="K960" s="16">
        <v>0.3</v>
      </c>
      <c r="L960" s="17">
        <f t="shared" si="1"/>
        <v>3</v>
      </c>
      <c r="M960" s="17">
        <f t="shared" si="2"/>
        <v>7</v>
      </c>
      <c r="N960" s="18">
        <f t="shared" si="3"/>
        <v>94.911</v>
      </c>
      <c r="O960" s="18">
        <f t="shared" si="4"/>
        <v>221.459</v>
      </c>
      <c r="P960" s="18">
        <f t="shared" si="5"/>
        <v>221.459</v>
      </c>
      <c r="Q960" s="8">
        <v>0.0</v>
      </c>
      <c r="R960" s="18">
        <f t="shared" si="6"/>
        <v>31.637</v>
      </c>
      <c r="S960" s="19" t="s">
        <v>29</v>
      </c>
      <c r="T960" s="19" t="s">
        <v>30</v>
      </c>
      <c r="U960" s="36" t="s">
        <v>1227</v>
      </c>
      <c r="V960" s="37"/>
      <c r="W960" s="7"/>
      <c r="X960" s="7"/>
      <c r="Y960" s="7"/>
      <c r="Z960" s="7"/>
      <c r="AA960" s="7"/>
    </row>
    <row r="961" ht="18.75" customHeight="1">
      <c r="A961" s="22" t="s">
        <v>1168</v>
      </c>
      <c r="B961" s="23" t="s">
        <v>1228</v>
      </c>
      <c r="C961" s="23" t="s">
        <v>1085</v>
      </c>
      <c r="D961" s="24">
        <v>436.0</v>
      </c>
      <c r="E961" s="23" t="s">
        <v>1236</v>
      </c>
      <c r="F961" s="25" t="s">
        <v>37</v>
      </c>
      <c r="G961" s="40"/>
      <c r="H961" s="27">
        <v>2084.0</v>
      </c>
      <c r="I961" s="28">
        <v>10.0</v>
      </c>
      <c r="J961" s="101" t="s">
        <v>54</v>
      </c>
      <c r="K961" s="30">
        <v>0.3</v>
      </c>
      <c r="L961" s="31">
        <f t="shared" si="1"/>
        <v>3</v>
      </c>
      <c r="M961" s="31">
        <f t="shared" si="2"/>
        <v>7</v>
      </c>
      <c r="N961" s="32">
        <f t="shared" si="3"/>
        <v>625.2</v>
      </c>
      <c r="O961" s="32">
        <f t="shared" si="4"/>
        <v>1458.8</v>
      </c>
      <c r="P961" s="32">
        <f t="shared" si="5"/>
        <v>1458.8</v>
      </c>
      <c r="Q961" s="22">
        <v>0.0</v>
      </c>
      <c r="R961" s="32">
        <f t="shared" si="6"/>
        <v>208.4</v>
      </c>
      <c r="S961" s="33" t="s">
        <v>29</v>
      </c>
      <c r="T961" s="33" t="s">
        <v>30</v>
      </c>
      <c r="U961" s="38" t="s">
        <v>1237</v>
      </c>
      <c r="V961" s="35"/>
      <c r="W961" s="7"/>
      <c r="X961" s="7"/>
      <c r="Y961" s="7"/>
      <c r="Z961" s="7"/>
      <c r="AA961" s="7"/>
    </row>
    <row r="962" ht="18.75" customHeight="1">
      <c r="A962" s="8" t="s">
        <v>1168</v>
      </c>
      <c r="B962" s="9" t="s">
        <v>1228</v>
      </c>
      <c r="C962" s="9" t="s">
        <v>1085</v>
      </c>
      <c r="D962" s="10">
        <v>437.0</v>
      </c>
      <c r="E962" s="9" t="s">
        <v>1238</v>
      </c>
      <c r="F962" s="11" t="s">
        <v>37</v>
      </c>
      <c r="G962" s="39"/>
      <c r="H962" s="13">
        <v>314.99</v>
      </c>
      <c r="I962" s="14">
        <v>10.0</v>
      </c>
      <c r="J962" s="15" t="s">
        <v>154</v>
      </c>
      <c r="K962" s="16">
        <v>0.8</v>
      </c>
      <c r="L962" s="17">
        <f t="shared" si="1"/>
        <v>8</v>
      </c>
      <c r="M962" s="17">
        <f t="shared" si="2"/>
        <v>2</v>
      </c>
      <c r="N962" s="18">
        <f t="shared" si="3"/>
        <v>251.992</v>
      </c>
      <c r="O962" s="18">
        <f t="shared" si="4"/>
        <v>62.998</v>
      </c>
      <c r="P962" s="18">
        <f t="shared" si="5"/>
        <v>62.998</v>
      </c>
      <c r="Q962" s="8">
        <v>0.0</v>
      </c>
      <c r="R962" s="18">
        <f t="shared" si="6"/>
        <v>31.499</v>
      </c>
      <c r="S962" s="19" t="s">
        <v>29</v>
      </c>
      <c r="T962" s="19" t="s">
        <v>30</v>
      </c>
      <c r="U962" s="36" t="s">
        <v>64</v>
      </c>
      <c r="V962" s="37"/>
      <c r="W962" s="7"/>
      <c r="X962" s="7"/>
      <c r="Y962" s="7"/>
      <c r="Z962" s="7"/>
      <c r="AA962" s="7"/>
    </row>
    <row r="963" ht="18.75" customHeight="1">
      <c r="A963" s="22" t="s">
        <v>1168</v>
      </c>
      <c r="B963" s="23" t="s">
        <v>1228</v>
      </c>
      <c r="C963" s="23" t="s">
        <v>1085</v>
      </c>
      <c r="D963" s="24">
        <v>444.0</v>
      </c>
      <c r="E963" s="23" t="s">
        <v>1239</v>
      </c>
      <c r="F963" s="25" t="s">
        <v>202</v>
      </c>
      <c r="G963" s="40"/>
      <c r="H963" s="27">
        <v>14079.0</v>
      </c>
      <c r="I963" s="28">
        <v>5.0</v>
      </c>
      <c r="J963" s="29" t="s">
        <v>38</v>
      </c>
      <c r="K963" s="30">
        <v>0.5</v>
      </c>
      <c r="L963" s="31">
        <f t="shared" si="1"/>
        <v>2.5</v>
      </c>
      <c r="M963" s="31">
        <f t="shared" si="2"/>
        <v>2.5</v>
      </c>
      <c r="N963" s="32">
        <f t="shared" si="3"/>
        <v>7039.5</v>
      </c>
      <c r="O963" s="32">
        <f t="shared" si="4"/>
        <v>7039.5</v>
      </c>
      <c r="P963" s="32">
        <f t="shared" si="5"/>
        <v>7039.5</v>
      </c>
      <c r="Q963" s="22">
        <v>0.0</v>
      </c>
      <c r="R963" s="32">
        <f t="shared" si="6"/>
        <v>2815.8</v>
      </c>
      <c r="S963" s="33" t="s">
        <v>29</v>
      </c>
      <c r="T963" s="33" t="s">
        <v>30</v>
      </c>
      <c r="U963" s="38" t="s">
        <v>1240</v>
      </c>
      <c r="V963" s="35"/>
      <c r="W963" s="7"/>
      <c r="X963" s="7"/>
      <c r="Y963" s="7"/>
      <c r="Z963" s="7"/>
      <c r="AA963" s="7"/>
    </row>
    <row r="964" ht="18.75" customHeight="1">
      <c r="A964" s="8" t="s">
        <v>1168</v>
      </c>
      <c r="B964" s="9" t="s">
        <v>1228</v>
      </c>
      <c r="C964" s="9" t="s">
        <v>1085</v>
      </c>
      <c r="D964" s="10">
        <v>447.0</v>
      </c>
      <c r="E964" s="9" t="s">
        <v>1241</v>
      </c>
      <c r="F964" s="11" t="s">
        <v>26</v>
      </c>
      <c r="G964" s="12" t="s">
        <v>27</v>
      </c>
      <c r="H964" s="13">
        <v>449.24</v>
      </c>
      <c r="I964" s="14">
        <v>5.0</v>
      </c>
      <c r="J964" s="15" t="s">
        <v>38</v>
      </c>
      <c r="K964" s="16">
        <v>0.5</v>
      </c>
      <c r="L964" s="17">
        <f t="shared" si="1"/>
        <v>2.5</v>
      </c>
      <c r="M964" s="17">
        <f t="shared" si="2"/>
        <v>2.5</v>
      </c>
      <c r="N964" s="18">
        <f t="shared" si="3"/>
        <v>224.62</v>
      </c>
      <c r="O964" s="18">
        <f t="shared" si="4"/>
        <v>224.62</v>
      </c>
      <c r="P964" s="18">
        <f t="shared" si="5"/>
        <v>224.62</v>
      </c>
      <c r="Q964" s="8">
        <v>0.0</v>
      </c>
      <c r="R964" s="18">
        <f t="shared" si="6"/>
        <v>89.848</v>
      </c>
      <c r="S964" s="19" t="s">
        <v>29</v>
      </c>
      <c r="T964" s="19" t="s">
        <v>30</v>
      </c>
      <c r="U964" s="20" t="s">
        <v>308</v>
      </c>
      <c r="V964" s="37"/>
      <c r="W964" s="7"/>
      <c r="X964" s="7"/>
      <c r="Y964" s="7"/>
      <c r="Z964" s="7"/>
      <c r="AA964" s="7"/>
    </row>
    <row r="965" ht="18.75" customHeight="1">
      <c r="A965" s="22" t="s">
        <v>1168</v>
      </c>
      <c r="B965" s="23" t="s">
        <v>1187</v>
      </c>
      <c r="C965" s="23" t="s">
        <v>1093</v>
      </c>
      <c r="D965" s="24">
        <v>491.0</v>
      </c>
      <c r="E965" s="23" t="s">
        <v>1242</v>
      </c>
      <c r="F965" s="25" t="s">
        <v>37</v>
      </c>
      <c r="G965" s="40"/>
      <c r="H965" s="27">
        <v>49.97</v>
      </c>
      <c r="I965" s="28">
        <v>5.0</v>
      </c>
      <c r="J965" s="101" t="s">
        <v>54</v>
      </c>
      <c r="K965" s="30">
        <v>0.3</v>
      </c>
      <c r="L965" s="31">
        <f t="shared" si="1"/>
        <v>1.5</v>
      </c>
      <c r="M965" s="31">
        <f t="shared" si="2"/>
        <v>3.5</v>
      </c>
      <c r="N965" s="32">
        <f t="shared" si="3"/>
        <v>14.991</v>
      </c>
      <c r="O965" s="32">
        <f t="shared" si="4"/>
        <v>34.979</v>
      </c>
      <c r="P965" s="32">
        <f t="shared" si="5"/>
        <v>34.979</v>
      </c>
      <c r="Q965" s="22">
        <v>0.0</v>
      </c>
      <c r="R965" s="32">
        <f t="shared" si="6"/>
        <v>9.994</v>
      </c>
      <c r="S965" s="33" t="s">
        <v>29</v>
      </c>
      <c r="T965" s="33" t="s">
        <v>30</v>
      </c>
      <c r="U965" s="38" t="s">
        <v>1243</v>
      </c>
      <c r="V965" s="35"/>
      <c r="W965" s="7"/>
      <c r="X965" s="7"/>
      <c r="Y965" s="7"/>
      <c r="Z965" s="7"/>
      <c r="AA965" s="7"/>
    </row>
    <row r="966" ht="18.75" customHeight="1">
      <c r="A966" s="8" t="s">
        <v>1168</v>
      </c>
      <c r="B966" s="103" t="s">
        <v>1178</v>
      </c>
      <c r="C966" s="9" t="s">
        <v>294</v>
      </c>
      <c r="D966" s="10">
        <v>527.0</v>
      </c>
      <c r="E966" s="9" t="s">
        <v>1244</v>
      </c>
      <c r="F966" s="11" t="s">
        <v>26</v>
      </c>
      <c r="G966" s="12" t="s">
        <v>27</v>
      </c>
      <c r="H966" s="13">
        <v>834.05</v>
      </c>
      <c r="I966" s="14">
        <v>10.0</v>
      </c>
      <c r="J966" s="48" t="s">
        <v>63</v>
      </c>
      <c r="K966" s="16">
        <v>0.700000000000005</v>
      </c>
      <c r="L966" s="17">
        <f t="shared" si="1"/>
        <v>7</v>
      </c>
      <c r="M966" s="17">
        <f t="shared" si="2"/>
        <v>3</v>
      </c>
      <c r="N966" s="18">
        <f t="shared" si="3"/>
        <v>583.835</v>
      </c>
      <c r="O966" s="18">
        <f t="shared" si="4"/>
        <v>250.215</v>
      </c>
      <c r="P966" s="18">
        <f t="shared" si="5"/>
        <v>250.215</v>
      </c>
      <c r="Q966" s="8">
        <v>0.0</v>
      </c>
      <c r="R966" s="18">
        <f t="shared" si="6"/>
        <v>83.405</v>
      </c>
      <c r="S966" s="19" t="s">
        <v>29</v>
      </c>
      <c r="T966" s="19" t="s">
        <v>30</v>
      </c>
      <c r="U966" s="36" t="s">
        <v>559</v>
      </c>
      <c r="V966" s="37"/>
      <c r="W966" s="7"/>
      <c r="X966" s="7"/>
      <c r="Y966" s="7"/>
      <c r="Z966" s="7"/>
      <c r="AA966" s="7"/>
    </row>
    <row r="967" ht="18.75" customHeight="1">
      <c r="A967" s="22" t="s">
        <v>1168</v>
      </c>
      <c r="B967" s="102" t="s">
        <v>1178</v>
      </c>
      <c r="C967" s="23" t="s">
        <v>294</v>
      </c>
      <c r="D967" s="24">
        <v>635.0</v>
      </c>
      <c r="E967" s="23" t="s">
        <v>1049</v>
      </c>
      <c r="F967" s="25" t="s">
        <v>37</v>
      </c>
      <c r="G967" s="26" t="s">
        <v>27</v>
      </c>
      <c r="H967" s="27">
        <v>332.91</v>
      </c>
      <c r="I967" s="28">
        <v>10.0</v>
      </c>
      <c r="J967" s="41" t="s">
        <v>63</v>
      </c>
      <c r="K967" s="30">
        <v>0.700000000000005</v>
      </c>
      <c r="L967" s="31">
        <f t="shared" si="1"/>
        <v>7</v>
      </c>
      <c r="M967" s="31">
        <f t="shared" si="2"/>
        <v>3</v>
      </c>
      <c r="N967" s="32">
        <f t="shared" si="3"/>
        <v>233.037</v>
      </c>
      <c r="O967" s="32">
        <f t="shared" si="4"/>
        <v>99.873</v>
      </c>
      <c r="P967" s="32">
        <f t="shared" si="5"/>
        <v>99.873</v>
      </c>
      <c r="Q967" s="22">
        <v>0.0</v>
      </c>
      <c r="R967" s="32">
        <f t="shared" si="6"/>
        <v>33.291</v>
      </c>
      <c r="S967" s="33" t="s">
        <v>29</v>
      </c>
      <c r="T967" s="33" t="s">
        <v>30</v>
      </c>
      <c r="U967" s="34" t="s">
        <v>223</v>
      </c>
      <c r="V967" s="35"/>
      <c r="W967" s="7"/>
      <c r="X967" s="7"/>
      <c r="Y967" s="7"/>
      <c r="Z967" s="7"/>
      <c r="AA967" s="7"/>
    </row>
    <row r="968" ht="18.75" customHeight="1">
      <c r="A968" s="8" t="s">
        <v>1168</v>
      </c>
      <c r="B968" s="103" t="s">
        <v>1178</v>
      </c>
      <c r="C968" s="9" t="s">
        <v>294</v>
      </c>
      <c r="D968" s="10">
        <v>655.0</v>
      </c>
      <c r="E968" s="9" t="s">
        <v>1245</v>
      </c>
      <c r="F968" s="11" t="s">
        <v>37</v>
      </c>
      <c r="G968" s="12" t="s">
        <v>27</v>
      </c>
      <c r="H968" s="13">
        <v>285.0</v>
      </c>
      <c r="I968" s="14">
        <v>10.0</v>
      </c>
      <c r="J968" s="101" t="s">
        <v>54</v>
      </c>
      <c r="K968" s="16">
        <v>0.3</v>
      </c>
      <c r="L968" s="17">
        <f t="shared" si="1"/>
        <v>3</v>
      </c>
      <c r="M968" s="17">
        <f t="shared" si="2"/>
        <v>7</v>
      </c>
      <c r="N968" s="18">
        <f t="shared" si="3"/>
        <v>85.5</v>
      </c>
      <c r="O968" s="18">
        <f t="shared" si="4"/>
        <v>199.5</v>
      </c>
      <c r="P968" s="18">
        <f t="shared" si="5"/>
        <v>199.5</v>
      </c>
      <c r="Q968" s="8">
        <v>0.0</v>
      </c>
      <c r="R968" s="18">
        <f t="shared" si="6"/>
        <v>28.5</v>
      </c>
      <c r="S968" s="19" t="s">
        <v>29</v>
      </c>
      <c r="T968" s="19" t="s">
        <v>30</v>
      </c>
      <c r="U968" s="20" t="s">
        <v>527</v>
      </c>
      <c r="V968" s="37"/>
      <c r="W968" s="7"/>
      <c r="X968" s="7"/>
      <c r="Y968" s="7"/>
      <c r="Z968" s="7"/>
      <c r="AA968" s="7"/>
    </row>
    <row r="969" ht="18.75" customHeight="1">
      <c r="A969" s="22" t="s">
        <v>1168</v>
      </c>
      <c r="B969" s="102" t="s">
        <v>1178</v>
      </c>
      <c r="C969" s="23" t="s">
        <v>294</v>
      </c>
      <c r="D969" s="24">
        <v>1606.0</v>
      </c>
      <c r="E969" s="23" t="s">
        <v>1246</v>
      </c>
      <c r="F969" s="25" t="s">
        <v>26</v>
      </c>
      <c r="G969" s="26" t="s">
        <v>27</v>
      </c>
      <c r="H969" s="27">
        <v>129.9</v>
      </c>
      <c r="I969" s="28">
        <v>5.0</v>
      </c>
      <c r="J969" s="101" t="s">
        <v>143</v>
      </c>
      <c r="K969" s="30">
        <v>0.3</v>
      </c>
      <c r="L969" s="31">
        <f t="shared" si="1"/>
        <v>1.5</v>
      </c>
      <c r="M969" s="31">
        <f t="shared" si="2"/>
        <v>3.5</v>
      </c>
      <c r="N969" s="32">
        <f t="shared" si="3"/>
        <v>38.97</v>
      </c>
      <c r="O969" s="32">
        <f t="shared" si="4"/>
        <v>90.93</v>
      </c>
      <c r="P969" s="32">
        <f t="shared" si="5"/>
        <v>90.93</v>
      </c>
      <c r="Q969" s="22">
        <v>0.0</v>
      </c>
      <c r="R969" s="32">
        <f t="shared" si="6"/>
        <v>25.98</v>
      </c>
      <c r="S969" s="33" t="s">
        <v>29</v>
      </c>
      <c r="T969" s="33" t="s">
        <v>30</v>
      </c>
      <c r="U969" s="34" t="s">
        <v>372</v>
      </c>
      <c r="V969" s="35"/>
      <c r="W969" s="7"/>
      <c r="X969" s="7"/>
      <c r="Y969" s="7"/>
      <c r="Z969" s="7"/>
      <c r="AA969" s="7"/>
    </row>
    <row r="970" ht="18.75" customHeight="1">
      <c r="A970" s="8" t="s">
        <v>1168</v>
      </c>
      <c r="B970" s="9" t="s">
        <v>1089</v>
      </c>
      <c r="C970" s="9" t="s">
        <v>1214</v>
      </c>
      <c r="D970" s="10">
        <v>1627.0</v>
      </c>
      <c r="E970" s="9" t="s">
        <v>1247</v>
      </c>
      <c r="F970" s="11" t="s">
        <v>202</v>
      </c>
      <c r="G970" s="39"/>
      <c r="H970" s="13">
        <v>2949.0</v>
      </c>
      <c r="I970" s="14">
        <v>5.0</v>
      </c>
      <c r="J970" s="15" t="s">
        <v>38</v>
      </c>
      <c r="K970" s="16">
        <v>0.5</v>
      </c>
      <c r="L970" s="17">
        <f t="shared" si="1"/>
        <v>2.5</v>
      </c>
      <c r="M970" s="17">
        <f t="shared" si="2"/>
        <v>2.5</v>
      </c>
      <c r="N970" s="18">
        <f t="shared" si="3"/>
        <v>1474.5</v>
      </c>
      <c r="O970" s="18">
        <f t="shared" si="4"/>
        <v>1474.5</v>
      </c>
      <c r="P970" s="18">
        <f t="shared" si="5"/>
        <v>1474.5</v>
      </c>
      <c r="Q970" s="8">
        <v>0.0</v>
      </c>
      <c r="R970" s="18">
        <f t="shared" si="6"/>
        <v>589.8</v>
      </c>
      <c r="S970" s="19" t="s">
        <v>29</v>
      </c>
      <c r="T970" s="19" t="s">
        <v>30</v>
      </c>
      <c r="U970" s="36" t="s">
        <v>1225</v>
      </c>
      <c r="V970" s="37"/>
      <c r="W970" s="7"/>
      <c r="X970" s="7"/>
      <c r="Y970" s="7"/>
      <c r="Z970" s="7"/>
      <c r="AA970" s="7"/>
    </row>
    <row r="971" ht="18.75" customHeight="1">
      <c r="A971" s="22" t="s">
        <v>1168</v>
      </c>
      <c r="B971" s="102" t="s">
        <v>1178</v>
      </c>
      <c r="C971" s="23" t="s">
        <v>1082</v>
      </c>
      <c r="D971" s="24">
        <v>1634.0</v>
      </c>
      <c r="E971" s="23" t="s">
        <v>1248</v>
      </c>
      <c r="F971" s="25" t="s">
        <v>128</v>
      </c>
      <c r="G971" s="26" t="s">
        <v>27</v>
      </c>
      <c r="H971" s="27">
        <v>1669.0</v>
      </c>
      <c r="I971" s="28">
        <v>5.0</v>
      </c>
      <c r="J971" s="29" t="s">
        <v>38</v>
      </c>
      <c r="K971" s="30">
        <v>0.5</v>
      </c>
      <c r="L971" s="31">
        <f t="shared" si="1"/>
        <v>2.5</v>
      </c>
      <c r="M971" s="31">
        <f t="shared" si="2"/>
        <v>2.5</v>
      </c>
      <c r="N971" s="32">
        <f t="shared" si="3"/>
        <v>834.5</v>
      </c>
      <c r="O971" s="32">
        <f t="shared" si="4"/>
        <v>834.5</v>
      </c>
      <c r="P971" s="32">
        <f t="shared" si="5"/>
        <v>834.5</v>
      </c>
      <c r="Q971" s="22">
        <v>0.0</v>
      </c>
      <c r="R971" s="32">
        <f t="shared" si="6"/>
        <v>333.8</v>
      </c>
      <c r="S971" s="33" t="s">
        <v>29</v>
      </c>
      <c r="T971" s="33" t="s">
        <v>30</v>
      </c>
      <c r="U971" s="34" t="s">
        <v>129</v>
      </c>
      <c r="V971" s="35"/>
      <c r="W971" s="7"/>
      <c r="X971" s="7"/>
      <c r="Y971" s="7"/>
      <c r="Z971" s="7"/>
      <c r="AA971" s="7"/>
    </row>
    <row r="972" ht="18.75" customHeight="1">
      <c r="A972" s="8" t="s">
        <v>1168</v>
      </c>
      <c r="B972" s="103" t="s">
        <v>1178</v>
      </c>
      <c r="C972" s="9" t="s">
        <v>1082</v>
      </c>
      <c r="D972" s="10">
        <v>1638.0</v>
      </c>
      <c r="E972" s="9" t="s">
        <v>1249</v>
      </c>
      <c r="F972" s="11" t="s">
        <v>37</v>
      </c>
      <c r="G972" s="12" t="s">
        <v>27</v>
      </c>
      <c r="H972" s="13">
        <v>553.64</v>
      </c>
      <c r="I972" s="14">
        <v>10.0</v>
      </c>
      <c r="J972" s="15" t="s">
        <v>28</v>
      </c>
      <c r="K972" s="16">
        <v>0.4</v>
      </c>
      <c r="L972" s="17">
        <f t="shared" si="1"/>
        <v>4</v>
      </c>
      <c r="M972" s="17">
        <f t="shared" si="2"/>
        <v>6</v>
      </c>
      <c r="N972" s="18">
        <f t="shared" si="3"/>
        <v>221.456</v>
      </c>
      <c r="O972" s="18">
        <f t="shared" si="4"/>
        <v>332.184</v>
      </c>
      <c r="P972" s="18">
        <f t="shared" si="5"/>
        <v>332.184</v>
      </c>
      <c r="Q972" s="8">
        <v>0.0</v>
      </c>
      <c r="R972" s="18">
        <f t="shared" si="6"/>
        <v>55.364</v>
      </c>
      <c r="S972" s="19" t="s">
        <v>29</v>
      </c>
      <c r="T972" s="19" t="s">
        <v>30</v>
      </c>
      <c r="U972" s="36" t="s">
        <v>1194</v>
      </c>
      <c r="V972" s="37"/>
      <c r="W972" s="7"/>
      <c r="X972" s="7"/>
      <c r="Y972" s="7"/>
      <c r="Z972" s="7"/>
      <c r="AA972" s="7"/>
    </row>
    <row r="973" ht="18.75" customHeight="1">
      <c r="A973" s="22" t="s">
        <v>1168</v>
      </c>
      <c r="B973" s="23" t="s">
        <v>1169</v>
      </c>
      <c r="C973" s="23" t="s">
        <v>1170</v>
      </c>
      <c r="D973" s="24">
        <v>1733.0</v>
      </c>
      <c r="E973" s="23" t="s">
        <v>1250</v>
      </c>
      <c r="F973" s="25" t="s">
        <v>37</v>
      </c>
      <c r="G973" s="108"/>
      <c r="H973" s="27">
        <v>349.29</v>
      </c>
      <c r="I973" s="28">
        <v>10.0</v>
      </c>
      <c r="J973" s="101" t="s">
        <v>54</v>
      </c>
      <c r="K973" s="30">
        <v>0.3</v>
      </c>
      <c r="L973" s="31">
        <f t="shared" si="1"/>
        <v>3</v>
      </c>
      <c r="M973" s="31">
        <f t="shared" si="2"/>
        <v>7</v>
      </c>
      <c r="N973" s="32">
        <f t="shared" si="3"/>
        <v>104.787</v>
      </c>
      <c r="O973" s="32">
        <f t="shared" si="4"/>
        <v>244.503</v>
      </c>
      <c r="P973" s="32">
        <f t="shared" si="5"/>
        <v>244.503</v>
      </c>
      <c r="Q973" s="22">
        <v>0.0</v>
      </c>
      <c r="R973" s="32">
        <f t="shared" si="6"/>
        <v>34.929</v>
      </c>
      <c r="S973" s="33" t="s">
        <v>29</v>
      </c>
      <c r="T973" s="33" t="s">
        <v>30</v>
      </c>
      <c r="U973" s="38" t="s">
        <v>1251</v>
      </c>
      <c r="V973" s="35"/>
      <c r="W973" s="7"/>
      <c r="X973" s="7"/>
      <c r="Y973" s="7"/>
      <c r="Z973" s="7"/>
      <c r="AA973" s="7"/>
    </row>
    <row r="974" ht="18.75" customHeight="1">
      <c r="A974" s="8" t="s">
        <v>1168</v>
      </c>
      <c r="B974" s="103" t="s">
        <v>1178</v>
      </c>
      <c r="C974" s="9" t="s">
        <v>294</v>
      </c>
      <c r="D974" s="10">
        <v>1742.0</v>
      </c>
      <c r="E974" s="9" t="s">
        <v>1252</v>
      </c>
      <c r="F974" s="11" t="s">
        <v>37</v>
      </c>
      <c r="G974" s="109" t="s">
        <v>27</v>
      </c>
      <c r="H974" s="13">
        <v>255.7</v>
      </c>
      <c r="I974" s="14">
        <v>15.0</v>
      </c>
      <c r="J974" s="15" t="s">
        <v>154</v>
      </c>
      <c r="K974" s="16">
        <v>0.8</v>
      </c>
      <c r="L974" s="17">
        <f t="shared" si="1"/>
        <v>12</v>
      </c>
      <c r="M974" s="17">
        <f t="shared" si="2"/>
        <v>3</v>
      </c>
      <c r="N974" s="18">
        <f t="shared" si="3"/>
        <v>204.56</v>
      </c>
      <c r="O974" s="18">
        <f t="shared" si="4"/>
        <v>51.14</v>
      </c>
      <c r="P974" s="18">
        <f t="shared" si="5"/>
        <v>51.14</v>
      </c>
      <c r="Q974" s="8">
        <v>0.0</v>
      </c>
      <c r="R974" s="18">
        <f t="shared" si="6"/>
        <v>17.04666667</v>
      </c>
      <c r="S974" s="19" t="s">
        <v>29</v>
      </c>
      <c r="T974" s="19" t="s">
        <v>30</v>
      </c>
      <c r="U974" s="20" t="s">
        <v>300</v>
      </c>
      <c r="V974" s="37"/>
      <c r="W974" s="7"/>
      <c r="X974" s="7"/>
      <c r="Y974" s="7"/>
      <c r="Z974" s="7"/>
      <c r="AA974" s="7"/>
    </row>
    <row r="975" ht="18.75" customHeight="1">
      <c r="A975" s="22" t="s">
        <v>1168</v>
      </c>
      <c r="B975" s="23" t="s">
        <v>1191</v>
      </c>
      <c r="C975" s="23" t="s">
        <v>1192</v>
      </c>
      <c r="D975" s="24">
        <v>1751.0</v>
      </c>
      <c r="E975" s="23" t="s">
        <v>1253</v>
      </c>
      <c r="F975" s="25" t="s">
        <v>128</v>
      </c>
      <c r="G975" s="26" t="s">
        <v>27</v>
      </c>
      <c r="H975" s="27">
        <v>1669.0</v>
      </c>
      <c r="I975" s="28">
        <v>5.0</v>
      </c>
      <c r="J975" s="29" t="s">
        <v>38</v>
      </c>
      <c r="K975" s="30">
        <v>0.5</v>
      </c>
      <c r="L975" s="31">
        <f t="shared" si="1"/>
        <v>2.5</v>
      </c>
      <c r="M975" s="31">
        <f t="shared" si="2"/>
        <v>2.5</v>
      </c>
      <c r="N975" s="32">
        <f t="shared" si="3"/>
        <v>834.5</v>
      </c>
      <c r="O975" s="32">
        <f t="shared" si="4"/>
        <v>834.5</v>
      </c>
      <c r="P975" s="32">
        <f t="shared" si="5"/>
        <v>834.5</v>
      </c>
      <c r="Q975" s="22">
        <v>0.0</v>
      </c>
      <c r="R975" s="32">
        <f t="shared" si="6"/>
        <v>333.8</v>
      </c>
      <c r="S975" s="33" t="s">
        <v>29</v>
      </c>
      <c r="T975" s="33" t="s">
        <v>30</v>
      </c>
      <c r="U975" s="34" t="s">
        <v>129</v>
      </c>
      <c r="V975" s="35"/>
      <c r="W975" s="7"/>
      <c r="X975" s="7"/>
      <c r="Y975" s="7"/>
      <c r="Z975" s="7"/>
      <c r="AA975" s="7"/>
    </row>
    <row r="976" ht="18.75" customHeight="1">
      <c r="A976" s="8" t="s">
        <v>1168</v>
      </c>
      <c r="B976" s="103" t="s">
        <v>1178</v>
      </c>
      <c r="C976" s="9" t="s">
        <v>294</v>
      </c>
      <c r="D976" s="10">
        <v>1848.0</v>
      </c>
      <c r="E976" s="9" t="s">
        <v>1254</v>
      </c>
      <c r="F976" s="11" t="s">
        <v>26</v>
      </c>
      <c r="G976" s="12" t="s">
        <v>27</v>
      </c>
      <c r="H976" s="13">
        <v>834.05</v>
      </c>
      <c r="I976" s="14">
        <v>10.0</v>
      </c>
      <c r="J976" s="48" t="s">
        <v>63</v>
      </c>
      <c r="K976" s="59">
        <v>0.700000000000005</v>
      </c>
      <c r="L976" s="17">
        <f t="shared" si="1"/>
        <v>7</v>
      </c>
      <c r="M976" s="17">
        <f t="shared" si="2"/>
        <v>3</v>
      </c>
      <c r="N976" s="18">
        <f t="shared" si="3"/>
        <v>583.835</v>
      </c>
      <c r="O976" s="18">
        <f t="shared" si="4"/>
        <v>250.215</v>
      </c>
      <c r="P976" s="18">
        <f t="shared" si="5"/>
        <v>250.215</v>
      </c>
      <c r="Q976" s="8">
        <v>0.0</v>
      </c>
      <c r="R976" s="18">
        <f t="shared" si="6"/>
        <v>83.405</v>
      </c>
      <c r="S976" s="19" t="s">
        <v>29</v>
      </c>
      <c r="T976" s="19" t="s">
        <v>30</v>
      </c>
      <c r="U976" s="36" t="s">
        <v>559</v>
      </c>
      <c r="V976" s="37"/>
      <c r="W976" s="7"/>
      <c r="X976" s="7"/>
      <c r="Y976" s="7"/>
      <c r="Z976" s="7"/>
      <c r="AA976" s="7"/>
    </row>
    <row r="977" ht="18.75" customHeight="1">
      <c r="A977" s="22" t="s">
        <v>1168</v>
      </c>
      <c r="B977" s="102" t="s">
        <v>1178</v>
      </c>
      <c r="C977" s="23" t="s">
        <v>294</v>
      </c>
      <c r="D977" s="24">
        <v>1858.0</v>
      </c>
      <c r="E977" s="23" t="s">
        <v>1252</v>
      </c>
      <c r="F977" s="25" t="s">
        <v>37</v>
      </c>
      <c r="G977" s="110" t="s">
        <v>27</v>
      </c>
      <c r="H977" s="27">
        <v>255.7</v>
      </c>
      <c r="I977" s="28">
        <v>15.0</v>
      </c>
      <c r="J977" s="29" t="s">
        <v>154</v>
      </c>
      <c r="K977" s="30">
        <v>0.8</v>
      </c>
      <c r="L977" s="31">
        <f t="shared" si="1"/>
        <v>12</v>
      </c>
      <c r="M977" s="31">
        <f t="shared" si="2"/>
        <v>3</v>
      </c>
      <c r="N977" s="32">
        <f t="shared" si="3"/>
        <v>204.56</v>
      </c>
      <c r="O977" s="32">
        <f t="shared" si="4"/>
        <v>51.14</v>
      </c>
      <c r="P977" s="32">
        <f t="shared" si="5"/>
        <v>51.14</v>
      </c>
      <c r="Q977" s="22">
        <v>0.0</v>
      </c>
      <c r="R977" s="32">
        <f t="shared" si="6"/>
        <v>17.04666667</v>
      </c>
      <c r="S977" s="33" t="s">
        <v>29</v>
      </c>
      <c r="T977" s="33" t="s">
        <v>30</v>
      </c>
      <c r="U977" s="34" t="s">
        <v>300</v>
      </c>
      <c r="V977" s="35"/>
      <c r="W977" s="7"/>
      <c r="X977" s="7"/>
      <c r="Y977" s="7"/>
      <c r="Z977" s="7"/>
      <c r="AA977" s="7"/>
    </row>
    <row r="978" ht="18.75" customHeight="1">
      <c r="A978" s="8" t="s">
        <v>1168</v>
      </c>
      <c r="B978" s="103" t="s">
        <v>1178</v>
      </c>
      <c r="C978" s="9" t="s">
        <v>294</v>
      </c>
      <c r="D978" s="10">
        <v>1859.0</v>
      </c>
      <c r="E978" s="9" t="s">
        <v>1252</v>
      </c>
      <c r="F978" s="11" t="s">
        <v>37</v>
      </c>
      <c r="G978" s="109" t="s">
        <v>27</v>
      </c>
      <c r="H978" s="13">
        <v>255.7</v>
      </c>
      <c r="I978" s="14">
        <v>15.0</v>
      </c>
      <c r="J978" s="15" t="s">
        <v>154</v>
      </c>
      <c r="K978" s="16">
        <v>0.8</v>
      </c>
      <c r="L978" s="17">
        <f t="shared" si="1"/>
        <v>12</v>
      </c>
      <c r="M978" s="17">
        <f t="shared" si="2"/>
        <v>3</v>
      </c>
      <c r="N978" s="18">
        <f t="shared" si="3"/>
        <v>204.56</v>
      </c>
      <c r="O978" s="18">
        <f t="shared" si="4"/>
        <v>51.14</v>
      </c>
      <c r="P978" s="18">
        <f t="shared" si="5"/>
        <v>51.14</v>
      </c>
      <c r="Q978" s="8">
        <v>0.0</v>
      </c>
      <c r="R978" s="18">
        <f t="shared" si="6"/>
        <v>17.04666667</v>
      </c>
      <c r="S978" s="19" t="s">
        <v>29</v>
      </c>
      <c r="T978" s="19" t="s">
        <v>30</v>
      </c>
      <c r="U978" s="20" t="s">
        <v>300</v>
      </c>
      <c r="V978" s="37"/>
      <c r="W978" s="7"/>
      <c r="X978" s="7"/>
      <c r="Y978" s="7"/>
      <c r="Z978" s="7"/>
      <c r="AA978" s="7"/>
    </row>
    <row r="979" ht="18.75" customHeight="1">
      <c r="A979" s="22" t="s">
        <v>1168</v>
      </c>
      <c r="B979" s="102" t="s">
        <v>1178</v>
      </c>
      <c r="C979" s="23" t="s">
        <v>294</v>
      </c>
      <c r="D979" s="24">
        <v>1860.0</v>
      </c>
      <c r="E979" s="23" t="s">
        <v>1252</v>
      </c>
      <c r="F979" s="25" t="s">
        <v>37</v>
      </c>
      <c r="G979" s="110" t="s">
        <v>27</v>
      </c>
      <c r="H979" s="27">
        <v>255.7</v>
      </c>
      <c r="I979" s="28">
        <v>15.0</v>
      </c>
      <c r="J979" s="29" t="s">
        <v>154</v>
      </c>
      <c r="K979" s="30">
        <v>0.8</v>
      </c>
      <c r="L979" s="31">
        <f t="shared" si="1"/>
        <v>12</v>
      </c>
      <c r="M979" s="31">
        <f t="shared" si="2"/>
        <v>3</v>
      </c>
      <c r="N979" s="32">
        <f t="shared" si="3"/>
        <v>204.56</v>
      </c>
      <c r="O979" s="32">
        <f t="shared" si="4"/>
        <v>51.14</v>
      </c>
      <c r="P979" s="32">
        <f t="shared" si="5"/>
        <v>51.14</v>
      </c>
      <c r="Q979" s="22">
        <v>0.0</v>
      </c>
      <c r="R979" s="32">
        <f t="shared" si="6"/>
        <v>17.04666667</v>
      </c>
      <c r="S979" s="33" t="s">
        <v>29</v>
      </c>
      <c r="T979" s="33" t="s">
        <v>30</v>
      </c>
      <c r="U979" s="34" t="s">
        <v>300</v>
      </c>
      <c r="V979" s="35"/>
      <c r="W979" s="7"/>
      <c r="X979" s="7"/>
      <c r="Y979" s="7"/>
      <c r="Z979" s="7"/>
      <c r="AA979" s="7"/>
    </row>
    <row r="980" ht="18.75" customHeight="1">
      <c r="A980" s="8" t="s">
        <v>1168</v>
      </c>
      <c r="B980" s="103" t="s">
        <v>1178</v>
      </c>
      <c r="C980" s="9" t="s">
        <v>294</v>
      </c>
      <c r="D980" s="10">
        <v>1861.0</v>
      </c>
      <c r="E980" s="9" t="s">
        <v>1252</v>
      </c>
      <c r="F980" s="11" t="s">
        <v>37</v>
      </c>
      <c r="G980" s="109" t="s">
        <v>27</v>
      </c>
      <c r="H980" s="13">
        <v>255.7</v>
      </c>
      <c r="I980" s="14">
        <v>15.0</v>
      </c>
      <c r="J980" s="15" t="s">
        <v>154</v>
      </c>
      <c r="K980" s="16">
        <v>0.8</v>
      </c>
      <c r="L980" s="17">
        <f t="shared" si="1"/>
        <v>12</v>
      </c>
      <c r="M980" s="17">
        <f t="shared" si="2"/>
        <v>3</v>
      </c>
      <c r="N980" s="18">
        <f t="shared" si="3"/>
        <v>204.56</v>
      </c>
      <c r="O980" s="18">
        <f t="shared" si="4"/>
        <v>51.14</v>
      </c>
      <c r="P980" s="18">
        <f t="shared" si="5"/>
        <v>51.14</v>
      </c>
      <c r="Q980" s="8">
        <v>0.0</v>
      </c>
      <c r="R980" s="18">
        <f t="shared" si="6"/>
        <v>17.04666667</v>
      </c>
      <c r="S980" s="19" t="s">
        <v>29</v>
      </c>
      <c r="T980" s="19" t="s">
        <v>30</v>
      </c>
      <c r="U980" s="20" t="s">
        <v>300</v>
      </c>
      <c r="V980" s="37"/>
      <c r="W980" s="7"/>
      <c r="X980" s="7"/>
      <c r="Y980" s="7"/>
      <c r="Z980" s="7"/>
      <c r="AA980" s="7"/>
    </row>
    <row r="981" ht="18.75" customHeight="1">
      <c r="A981" s="22" t="s">
        <v>1168</v>
      </c>
      <c r="B981" s="102" t="s">
        <v>1178</v>
      </c>
      <c r="C981" s="23" t="s">
        <v>294</v>
      </c>
      <c r="D981" s="24">
        <v>1862.0</v>
      </c>
      <c r="E981" s="23" t="s">
        <v>1252</v>
      </c>
      <c r="F981" s="25" t="s">
        <v>37</v>
      </c>
      <c r="G981" s="110" t="s">
        <v>27</v>
      </c>
      <c r="H981" s="27">
        <v>255.7</v>
      </c>
      <c r="I981" s="28">
        <v>15.0</v>
      </c>
      <c r="J981" s="29" t="s">
        <v>154</v>
      </c>
      <c r="K981" s="30">
        <v>0.8</v>
      </c>
      <c r="L981" s="31">
        <f t="shared" si="1"/>
        <v>12</v>
      </c>
      <c r="M981" s="31">
        <f t="shared" si="2"/>
        <v>3</v>
      </c>
      <c r="N981" s="32">
        <f t="shared" si="3"/>
        <v>204.56</v>
      </c>
      <c r="O981" s="32">
        <f t="shared" si="4"/>
        <v>51.14</v>
      </c>
      <c r="P981" s="32">
        <f t="shared" si="5"/>
        <v>51.14</v>
      </c>
      <c r="Q981" s="22">
        <v>0.0</v>
      </c>
      <c r="R981" s="32">
        <f t="shared" si="6"/>
        <v>17.04666667</v>
      </c>
      <c r="S981" s="33" t="s">
        <v>29</v>
      </c>
      <c r="T981" s="33" t="s">
        <v>30</v>
      </c>
      <c r="U981" s="34" t="s">
        <v>300</v>
      </c>
      <c r="V981" s="35"/>
      <c r="W981" s="7"/>
      <c r="X981" s="7"/>
      <c r="Y981" s="7"/>
      <c r="Z981" s="7"/>
      <c r="AA981" s="7"/>
    </row>
    <row r="982" ht="18.75" customHeight="1">
      <c r="A982" s="8" t="s">
        <v>1168</v>
      </c>
      <c r="B982" s="103" t="s">
        <v>1178</v>
      </c>
      <c r="C982" s="9" t="s">
        <v>294</v>
      </c>
      <c r="D982" s="10">
        <v>1864.0</v>
      </c>
      <c r="E982" s="9" t="s">
        <v>1255</v>
      </c>
      <c r="F982" s="11" t="s">
        <v>37</v>
      </c>
      <c r="G982" s="109" t="s">
        <v>27</v>
      </c>
      <c r="H982" s="13">
        <v>255.7</v>
      </c>
      <c r="I982" s="14">
        <v>15.0</v>
      </c>
      <c r="J982" s="15" t="s">
        <v>154</v>
      </c>
      <c r="K982" s="16">
        <v>0.8</v>
      </c>
      <c r="L982" s="17">
        <f t="shared" si="1"/>
        <v>12</v>
      </c>
      <c r="M982" s="17">
        <f t="shared" si="2"/>
        <v>3</v>
      </c>
      <c r="N982" s="18">
        <f t="shared" si="3"/>
        <v>204.56</v>
      </c>
      <c r="O982" s="18">
        <f t="shared" si="4"/>
        <v>51.14</v>
      </c>
      <c r="P982" s="18">
        <f t="shared" si="5"/>
        <v>51.14</v>
      </c>
      <c r="Q982" s="8">
        <v>0.0</v>
      </c>
      <c r="R982" s="18">
        <f t="shared" si="6"/>
        <v>17.04666667</v>
      </c>
      <c r="S982" s="19" t="s">
        <v>29</v>
      </c>
      <c r="T982" s="19" t="s">
        <v>30</v>
      </c>
      <c r="U982" s="20" t="s">
        <v>300</v>
      </c>
      <c r="V982" s="37"/>
      <c r="W982" s="7"/>
      <c r="X982" s="7"/>
      <c r="Y982" s="7"/>
      <c r="Z982" s="7"/>
      <c r="AA982" s="7"/>
    </row>
    <row r="983" ht="18.75" customHeight="1">
      <c r="A983" s="22" t="s">
        <v>1168</v>
      </c>
      <c r="B983" s="23" t="s">
        <v>1067</v>
      </c>
      <c r="C983" s="23" t="s">
        <v>253</v>
      </c>
      <c r="D983" s="24">
        <v>1885.0</v>
      </c>
      <c r="E983" s="23" t="s">
        <v>1256</v>
      </c>
      <c r="F983" s="25" t="s">
        <v>37</v>
      </c>
      <c r="G983" s="40"/>
      <c r="H983" s="27">
        <v>360.5</v>
      </c>
      <c r="I983" s="28">
        <v>10.0</v>
      </c>
      <c r="J983" s="101" t="s">
        <v>54</v>
      </c>
      <c r="K983" s="30">
        <v>0.3</v>
      </c>
      <c r="L983" s="31">
        <f t="shared" si="1"/>
        <v>3</v>
      </c>
      <c r="M983" s="31">
        <f t="shared" si="2"/>
        <v>7</v>
      </c>
      <c r="N983" s="32">
        <f t="shared" si="3"/>
        <v>108.15</v>
      </c>
      <c r="O983" s="32">
        <f t="shared" si="4"/>
        <v>252.35</v>
      </c>
      <c r="P983" s="32">
        <f t="shared" si="5"/>
        <v>252.35</v>
      </c>
      <c r="Q983" s="22">
        <v>0.0</v>
      </c>
      <c r="R983" s="32">
        <f t="shared" si="6"/>
        <v>36.05</v>
      </c>
      <c r="S983" s="33" t="s">
        <v>29</v>
      </c>
      <c r="T983" s="33" t="s">
        <v>30</v>
      </c>
      <c r="U983" s="38" t="s">
        <v>1257</v>
      </c>
      <c r="V983" s="35"/>
      <c r="W983" s="7"/>
      <c r="X983" s="7"/>
      <c r="Y983" s="7"/>
      <c r="Z983" s="7"/>
      <c r="AA983" s="7"/>
    </row>
    <row r="984" ht="18.75" customHeight="1">
      <c r="A984" s="8" t="s">
        <v>1168</v>
      </c>
      <c r="B984" s="9" t="s">
        <v>1067</v>
      </c>
      <c r="C984" s="9" t="s">
        <v>253</v>
      </c>
      <c r="D984" s="10">
        <v>1886.0</v>
      </c>
      <c r="E984" s="9" t="s">
        <v>1256</v>
      </c>
      <c r="F984" s="11" t="s">
        <v>37</v>
      </c>
      <c r="G984" s="39"/>
      <c r="H984" s="13">
        <v>360.5</v>
      </c>
      <c r="I984" s="14">
        <v>10.0</v>
      </c>
      <c r="J984" s="100" t="s">
        <v>54</v>
      </c>
      <c r="K984" s="16">
        <v>0.3</v>
      </c>
      <c r="L984" s="17">
        <f t="shared" si="1"/>
        <v>3</v>
      </c>
      <c r="M984" s="17">
        <f t="shared" si="2"/>
        <v>7</v>
      </c>
      <c r="N984" s="18">
        <f t="shared" si="3"/>
        <v>108.15</v>
      </c>
      <c r="O984" s="18">
        <f t="shared" si="4"/>
        <v>252.35</v>
      </c>
      <c r="P984" s="18">
        <f t="shared" si="5"/>
        <v>252.35</v>
      </c>
      <c r="Q984" s="8">
        <v>0.0</v>
      </c>
      <c r="R984" s="18">
        <f t="shared" si="6"/>
        <v>36.05</v>
      </c>
      <c r="S984" s="19" t="s">
        <v>29</v>
      </c>
      <c r="T984" s="19" t="s">
        <v>30</v>
      </c>
      <c r="U984" s="36" t="s">
        <v>1257</v>
      </c>
      <c r="V984" s="37"/>
      <c r="W984" s="7"/>
      <c r="X984" s="7"/>
      <c r="Y984" s="7"/>
      <c r="Z984" s="7"/>
      <c r="AA984" s="7"/>
    </row>
    <row r="985" ht="18.75" customHeight="1">
      <c r="A985" s="22" t="s">
        <v>1168</v>
      </c>
      <c r="B985" s="23" t="s">
        <v>1067</v>
      </c>
      <c r="C985" s="23" t="s">
        <v>253</v>
      </c>
      <c r="D985" s="24">
        <v>1887.0</v>
      </c>
      <c r="E985" s="23" t="s">
        <v>1256</v>
      </c>
      <c r="F985" s="25" t="s">
        <v>37</v>
      </c>
      <c r="G985" s="40"/>
      <c r="H985" s="27">
        <v>360.5</v>
      </c>
      <c r="I985" s="28">
        <v>10.0</v>
      </c>
      <c r="J985" s="101" t="s">
        <v>54</v>
      </c>
      <c r="K985" s="30">
        <v>0.3</v>
      </c>
      <c r="L985" s="31">
        <f t="shared" si="1"/>
        <v>3</v>
      </c>
      <c r="M985" s="31">
        <f t="shared" si="2"/>
        <v>7</v>
      </c>
      <c r="N985" s="32">
        <f t="shared" si="3"/>
        <v>108.15</v>
      </c>
      <c r="O985" s="32">
        <f t="shared" si="4"/>
        <v>252.35</v>
      </c>
      <c r="P985" s="32">
        <f t="shared" si="5"/>
        <v>252.35</v>
      </c>
      <c r="Q985" s="22">
        <v>0.0</v>
      </c>
      <c r="R985" s="32">
        <f t="shared" si="6"/>
        <v>36.05</v>
      </c>
      <c r="S985" s="33" t="s">
        <v>29</v>
      </c>
      <c r="T985" s="33" t="s">
        <v>30</v>
      </c>
      <c r="U985" s="38" t="s">
        <v>1257</v>
      </c>
      <c r="V985" s="35"/>
      <c r="W985" s="7"/>
      <c r="X985" s="7"/>
      <c r="Y985" s="7"/>
      <c r="Z985" s="7"/>
      <c r="AA985" s="7"/>
    </row>
    <row r="986" ht="18.75" customHeight="1">
      <c r="A986" s="8" t="s">
        <v>1168</v>
      </c>
      <c r="B986" s="103" t="s">
        <v>1178</v>
      </c>
      <c r="C986" s="9" t="s">
        <v>294</v>
      </c>
      <c r="D986" s="10">
        <v>1888.0</v>
      </c>
      <c r="E986" s="9" t="s">
        <v>1258</v>
      </c>
      <c r="F986" s="11" t="s">
        <v>37</v>
      </c>
      <c r="G986" s="12" t="s">
        <v>27</v>
      </c>
      <c r="H986" s="13">
        <v>471.75</v>
      </c>
      <c r="I986" s="14">
        <v>5.0</v>
      </c>
      <c r="J986" s="100" t="s">
        <v>143</v>
      </c>
      <c r="K986" s="16"/>
      <c r="L986" s="17">
        <f t="shared" si="1"/>
        <v>0</v>
      </c>
      <c r="M986" s="17">
        <f t="shared" si="2"/>
        <v>5</v>
      </c>
      <c r="N986" s="18">
        <f t="shared" si="3"/>
        <v>0</v>
      </c>
      <c r="O986" s="18">
        <f t="shared" si="4"/>
        <v>471.75</v>
      </c>
      <c r="P986" s="18">
        <f t="shared" si="5"/>
        <v>471.75</v>
      </c>
      <c r="Q986" s="8">
        <v>0.0</v>
      </c>
      <c r="R986" s="18">
        <f t="shared" si="6"/>
        <v>94.35</v>
      </c>
      <c r="S986" s="19" t="s">
        <v>29</v>
      </c>
      <c r="T986" s="19" t="s">
        <v>30</v>
      </c>
      <c r="U986" s="36" t="s">
        <v>370</v>
      </c>
      <c r="V986" s="37"/>
      <c r="W986" s="7"/>
      <c r="X986" s="7"/>
      <c r="Y986" s="7"/>
      <c r="Z986" s="7"/>
      <c r="AA986" s="7"/>
    </row>
    <row r="987" ht="18.75" customHeight="1">
      <c r="A987" s="22" t="s">
        <v>1168</v>
      </c>
      <c r="B987" s="102" t="s">
        <v>1178</v>
      </c>
      <c r="C987" s="23" t="s">
        <v>294</v>
      </c>
      <c r="D987" s="24">
        <v>1901.0</v>
      </c>
      <c r="E987" s="23" t="s">
        <v>1259</v>
      </c>
      <c r="F987" s="25" t="s">
        <v>26</v>
      </c>
      <c r="G987" s="26" t="s">
        <v>27</v>
      </c>
      <c r="H987" s="27">
        <v>834.05</v>
      </c>
      <c r="I987" s="28">
        <v>10.0</v>
      </c>
      <c r="J987" s="45" t="s">
        <v>63</v>
      </c>
      <c r="K987" s="30">
        <v>0.700000000000005</v>
      </c>
      <c r="L987" s="31">
        <f t="shared" si="1"/>
        <v>7</v>
      </c>
      <c r="M987" s="31">
        <f t="shared" si="2"/>
        <v>3</v>
      </c>
      <c r="N987" s="32">
        <f t="shared" si="3"/>
        <v>583.835</v>
      </c>
      <c r="O987" s="32">
        <f t="shared" si="4"/>
        <v>250.215</v>
      </c>
      <c r="P987" s="32">
        <f t="shared" si="5"/>
        <v>250.215</v>
      </c>
      <c r="Q987" s="22">
        <v>0.0</v>
      </c>
      <c r="R987" s="32">
        <f t="shared" si="6"/>
        <v>83.405</v>
      </c>
      <c r="S987" s="33" t="s">
        <v>29</v>
      </c>
      <c r="T987" s="33" t="s">
        <v>30</v>
      </c>
      <c r="U987" s="38" t="s">
        <v>559</v>
      </c>
      <c r="V987" s="35"/>
      <c r="W987" s="7"/>
      <c r="X987" s="7"/>
      <c r="Y987" s="7"/>
      <c r="Z987" s="7"/>
      <c r="AA987" s="7"/>
    </row>
    <row r="988" ht="18.75" customHeight="1">
      <c r="A988" s="8" t="s">
        <v>1168</v>
      </c>
      <c r="B988" s="9" t="s">
        <v>1201</v>
      </c>
      <c r="C988" s="9" t="s">
        <v>626</v>
      </c>
      <c r="D988" s="10">
        <v>1953.0</v>
      </c>
      <c r="E988" s="9" t="s">
        <v>1260</v>
      </c>
      <c r="F988" s="11" t="s">
        <v>26</v>
      </c>
      <c r="G988" s="12" t="s">
        <v>27</v>
      </c>
      <c r="H988" s="13">
        <v>1436.79</v>
      </c>
      <c r="I988" s="14">
        <v>10.0</v>
      </c>
      <c r="J988" s="48" t="s">
        <v>63</v>
      </c>
      <c r="K988" s="16">
        <v>0.700000000000006</v>
      </c>
      <c r="L988" s="17">
        <f t="shared" si="1"/>
        <v>7</v>
      </c>
      <c r="M988" s="17">
        <f t="shared" si="2"/>
        <v>3</v>
      </c>
      <c r="N988" s="18">
        <f t="shared" si="3"/>
        <v>1005.753</v>
      </c>
      <c r="O988" s="18">
        <f t="shared" si="4"/>
        <v>431.037</v>
      </c>
      <c r="P988" s="18">
        <f t="shared" si="5"/>
        <v>431.037</v>
      </c>
      <c r="Q988" s="8">
        <v>0.0</v>
      </c>
      <c r="R988" s="18">
        <f t="shared" si="6"/>
        <v>143.679</v>
      </c>
      <c r="S988" s="19" t="s">
        <v>29</v>
      </c>
      <c r="T988" s="19" t="s">
        <v>30</v>
      </c>
      <c r="U988" s="36" t="s">
        <v>1261</v>
      </c>
      <c r="V988" s="37"/>
      <c r="W988" s="7"/>
      <c r="X988" s="7"/>
      <c r="Y988" s="7"/>
      <c r="Z988" s="7"/>
      <c r="AA988" s="7"/>
    </row>
    <row r="989" ht="18.75" customHeight="1">
      <c r="A989" s="22" t="s">
        <v>1168</v>
      </c>
      <c r="B989" s="23" t="s">
        <v>1201</v>
      </c>
      <c r="C989" s="23" t="s">
        <v>626</v>
      </c>
      <c r="D989" s="24">
        <v>1979.0</v>
      </c>
      <c r="E989" s="23" t="s">
        <v>1262</v>
      </c>
      <c r="F989" s="25" t="s">
        <v>202</v>
      </c>
      <c r="G989" s="40"/>
      <c r="H989" s="27">
        <v>2469.9</v>
      </c>
      <c r="I989" s="28">
        <v>5.0</v>
      </c>
      <c r="J989" s="29" t="s">
        <v>38</v>
      </c>
      <c r="K989" s="30">
        <v>0.5</v>
      </c>
      <c r="L989" s="31">
        <f t="shared" si="1"/>
        <v>2.5</v>
      </c>
      <c r="M989" s="31">
        <f t="shared" si="2"/>
        <v>2.5</v>
      </c>
      <c r="N989" s="32">
        <f t="shared" si="3"/>
        <v>1234.95</v>
      </c>
      <c r="O989" s="32">
        <f t="shared" si="4"/>
        <v>1234.95</v>
      </c>
      <c r="P989" s="32">
        <f t="shared" si="5"/>
        <v>1234.95</v>
      </c>
      <c r="Q989" s="22">
        <v>0.0</v>
      </c>
      <c r="R989" s="32">
        <f t="shared" si="6"/>
        <v>493.98</v>
      </c>
      <c r="S989" s="33" t="s">
        <v>29</v>
      </c>
      <c r="T989" s="33" t="s">
        <v>30</v>
      </c>
      <c r="U989" s="38" t="s">
        <v>356</v>
      </c>
      <c r="V989" s="35"/>
      <c r="W989" s="7"/>
      <c r="X989" s="7"/>
      <c r="Y989" s="7"/>
      <c r="Z989" s="7"/>
      <c r="AA989" s="7"/>
    </row>
    <row r="990" ht="18.75" customHeight="1">
      <c r="A990" s="8" t="s">
        <v>1168</v>
      </c>
      <c r="B990" s="103" t="s">
        <v>1178</v>
      </c>
      <c r="C990" s="9" t="s">
        <v>294</v>
      </c>
      <c r="D990" s="10">
        <v>1987.0</v>
      </c>
      <c r="E990" s="9" t="s">
        <v>1263</v>
      </c>
      <c r="F990" s="11" t="s">
        <v>202</v>
      </c>
      <c r="G990" s="39"/>
      <c r="H990" s="13">
        <v>1842.07</v>
      </c>
      <c r="I990" s="14">
        <v>5.0</v>
      </c>
      <c r="J990" s="15" t="s">
        <v>28</v>
      </c>
      <c r="K990" s="16">
        <v>0.4</v>
      </c>
      <c r="L990" s="17">
        <f t="shared" si="1"/>
        <v>2</v>
      </c>
      <c r="M990" s="17">
        <f t="shared" si="2"/>
        <v>3</v>
      </c>
      <c r="N990" s="18">
        <f t="shared" si="3"/>
        <v>736.828</v>
      </c>
      <c r="O990" s="18">
        <f t="shared" si="4"/>
        <v>1105.242</v>
      </c>
      <c r="P990" s="18">
        <f t="shared" si="5"/>
        <v>1105.242</v>
      </c>
      <c r="Q990" s="8">
        <v>0.0</v>
      </c>
      <c r="R990" s="18">
        <f t="shared" si="6"/>
        <v>368.414</v>
      </c>
      <c r="S990" s="19" t="s">
        <v>29</v>
      </c>
      <c r="T990" s="19" t="s">
        <v>30</v>
      </c>
      <c r="U990" s="36" t="s">
        <v>1264</v>
      </c>
      <c r="V990" s="37"/>
      <c r="W990" s="7"/>
      <c r="X990" s="7"/>
      <c r="Y990" s="7"/>
      <c r="Z990" s="7"/>
      <c r="AA990" s="7"/>
    </row>
    <row r="991" ht="18.75" customHeight="1">
      <c r="A991" s="22" t="s">
        <v>1168</v>
      </c>
      <c r="B991" s="23" t="s">
        <v>1089</v>
      </c>
      <c r="C991" s="23" t="s">
        <v>1265</v>
      </c>
      <c r="D991" s="24">
        <v>1988.0</v>
      </c>
      <c r="E991" s="23" t="s">
        <v>1262</v>
      </c>
      <c r="F991" s="25" t="s">
        <v>202</v>
      </c>
      <c r="G991" s="40"/>
      <c r="H991" s="27">
        <v>2469.9</v>
      </c>
      <c r="I991" s="28">
        <v>5.0</v>
      </c>
      <c r="J991" s="41" t="s">
        <v>63</v>
      </c>
      <c r="K991" s="42">
        <v>0.700000000000006</v>
      </c>
      <c r="L991" s="31">
        <f t="shared" si="1"/>
        <v>3.5</v>
      </c>
      <c r="M991" s="31">
        <f t="shared" si="2"/>
        <v>1.5</v>
      </c>
      <c r="N991" s="32">
        <f t="shared" si="3"/>
        <v>1728.93</v>
      </c>
      <c r="O991" s="32">
        <f t="shared" si="4"/>
        <v>740.97</v>
      </c>
      <c r="P991" s="32">
        <f t="shared" si="5"/>
        <v>740.97</v>
      </c>
      <c r="Q991" s="22">
        <v>0.0</v>
      </c>
      <c r="R991" s="32">
        <f t="shared" si="6"/>
        <v>493.98</v>
      </c>
      <c r="S991" s="33" t="s">
        <v>29</v>
      </c>
      <c r="T991" s="33" t="s">
        <v>30</v>
      </c>
      <c r="U991" s="38" t="s">
        <v>356</v>
      </c>
      <c r="V991" s="35"/>
      <c r="W991" s="7"/>
      <c r="X991" s="7"/>
      <c r="Y991" s="7"/>
      <c r="Z991" s="7"/>
      <c r="AA991" s="7"/>
    </row>
    <row r="992" ht="18.75" customHeight="1">
      <c r="A992" s="8" t="s">
        <v>1168</v>
      </c>
      <c r="B992" s="103" t="s">
        <v>1178</v>
      </c>
      <c r="C992" s="9" t="s">
        <v>1082</v>
      </c>
      <c r="D992" s="10">
        <v>1991.0</v>
      </c>
      <c r="E992" s="9" t="s">
        <v>1262</v>
      </c>
      <c r="F992" s="11" t="s">
        <v>202</v>
      </c>
      <c r="G992" s="39"/>
      <c r="H992" s="13">
        <v>2469.9</v>
      </c>
      <c r="I992" s="14">
        <v>5.0</v>
      </c>
      <c r="J992" s="48" t="s">
        <v>63</v>
      </c>
      <c r="K992" s="59">
        <v>0.700000000000006</v>
      </c>
      <c r="L992" s="17">
        <f t="shared" si="1"/>
        <v>3.5</v>
      </c>
      <c r="M992" s="17">
        <f t="shared" si="2"/>
        <v>1.5</v>
      </c>
      <c r="N992" s="18">
        <f t="shared" si="3"/>
        <v>1728.93</v>
      </c>
      <c r="O992" s="18">
        <f t="shared" si="4"/>
        <v>740.97</v>
      </c>
      <c r="P992" s="18">
        <f t="shared" si="5"/>
        <v>740.97</v>
      </c>
      <c r="Q992" s="8">
        <v>0.0</v>
      </c>
      <c r="R992" s="18">
        <f t="shared" si="6"/>
        <v>493.98</v>
      </c>
      <c r="S992" s="19" t="s">
        <v>29</v>
      </c>
      <c r="T992" s="19" t="s">
        <v>30</v>
      </c>
      <c r="U992" s="36" t="s">
        <v>356</v>
      </c>
      <c r="V992" s="37"/>
      <c r="W992" s="7"/>
      <c r="X992" s="7"/>
      <c r="Y992" s="7"/>
      <c r="Z992" s="7"/>
      <c r="AA992" s="7"/>
    </row>
    <row r="993" ht="18.75" customHeight="1">
      <c r="A993" s="22" t="s">
        <v>1168</v>
      </c>
      <c r="B993" s="23" t="s">
        <v>1219</v>
      </c>
      <c r="C993" s="23" t="s">
        <v>287</v>
      </c>
      <c r="D993" s="24">
        <v>1993.0</v>
      </c>
      <c r="E993" s="23" t="s">
        <v>1262</v>
      </c>
      <c r="F993" s="25" t="s">
        <v>202</v>
      </c>
      <c r="G993" s="40"/>
      <c r="H993" s="27">
        <v>2469.9</v>
      </c>
      <c r="I993" s="28">
        <v>5.0</v>
      </c>
      <c r="J993" s="45" t="s">
        <v>63</v>
      </c>
      <c r="K993" s="30">
        <v>0.700000000000006</v>
      </c>
      <c r="L993" s="31">
        <f t="shared" si="1"/>
        <v>3.5</v>
      </c>
      <c r="M993" s="31">
        <f t="shared" si="2"/>
        <v>1.5</v>
      </c>
      <c r="N993" s="32">
        <f t="shared" si="3"/>
        <v>1728.93</v>
      </c>
      <c r="O993" s="32">
        <f t="shared" si="4"/>
        <v>740.97</v>
      </c>
      <c r="P993" s="32">
        <f t="shared" si="5"/>
        <v>740.97</v>
      </c>
      <c r="Q993" s="22">
        <v>0.0</v>
      </c>
      <c r="R993" s="32">
        <f t="shared" si="6"/>
        <v>493.98</v>
      </c>
      <c r="S993" s="33" t="s">
        <v>29</v>
      </c>
      <c r="T993" s="33" t="s">
        <v>30</v>
      </c>
      <c r="U993" s="38" t="s">
        <v>356</v>
      </c>
      <c r="V993" s="35"/>
      <c r="W993" s="7"/>
      <c r="X993" s="7"/>
      <c r="Y993" s="7"/>
      <c r="Z993" s="7"/>
      <c r="AA993" s="7"/>
    </row>
    <row r="994" ht="18.75" customHeight="1">
      <c r="A994" s="8" t="s">
        <v>1168</v>
      </c>
      <c r="B994" s="103" t="s">
        <v>1178</v>
      </c>
      <c r="C994" s="9" t="s">
        <v>294</v>
      </c>
      <c r="D994" s="10">
        <v>1995.0</v>
      </c>
      <c r="E994" s="9" t="s">
        <v>1266</v>
      </c>
      <c r="F994" s="11" t="s">
        <v>26</v>
      </c>
      <c r="G994" s="12" t="s">
        <v>27</v>
      </c>
      <c r="H994" s="13">
        <v>129.9</v>
      </c>
      <c r="I994" s="14">
        <v>5.0</v>
      </c>
      <c r="J994" s="100" t="s">
        <v>143</v>
      </c>
      <c r="K994" s="16">
        <v>0.3</v>
      </c>
      <c r="L994" s="17">
        <f t="shared" si="1"/>
        <v>1.5</v>
      </c>
      <c r="M994" s="17">
        <f t="shared" si="2"/>
        <v>3.5</v>
      </c>
      <c r="N994" s="18">
        <f t="shared" si="3"/>
        <v>38.97</v>
      </c>
      <c r="O994" s="18">
        <f t="shared" si="4"/>
        <v>90.93</v>
      </c>
      <c r="P994" s="18">
        <f t="shared" si="5"/>
        <v>90.93</v>
      </c>
      <c r="Q994" s="8">
        <v>0.0</v>
      </c>
      <c r="R994" s="18">
        <f t="shared" si="6"/>
        <v>25.98</v>
      </c>
      <c r="S994" s="19" t="s">
        <v>29</v>
      </c>
      <c r="T994" s="19" t="s">
        <v>30</v>
      </c>
      <c r="U994" s="20" t="s">
        <v>372</v>
      </c>
      <c r="V994" s="37"/>
      <c r="W994" s="7"/>
      <c r="X994" s="7"/>
      <c r="Y994" s="7"/>
      <c r="Z994" s="7"/>
      <c r="AA994" s="7"/>
    </row>
    <row r="995" ht="18.75" customHeight="1">
      <c r="A995" s="22" t="s">
        <v>1168</v>
      </c>
      <c r="B995" s="102" t="s">
        <v>1178</v>
      </c>
      <c r="C995" s="23" t="s">
        <v>294</v>
      </c>
      <c r="D995" s="24">
        <v>1996.0</v>
      </c>
      <c r="E995" s="23" t="s">
        <v>1266</v>
      </c>
      <c r="F995" s="25" t="s">
        <v>26</v>
      </c>
      <c r="G995" s="26" t="s">
        <v>27</v>
      </c>
      <c r="H995" s="27">
        <v>129.9</v>
      </c>
      <c r="I995" s="28">
        <v>5.0</v>
      </c>
      <c r="J995" s="101" t="s">
        <v>143</v>
      </c>
      <c r="K995" s="30">
        <v>0.3</v>
      </c>
      <c r="L995" s="31">
        <f t="shared" si="1"/>
        <v>1.5</v>
      </c>
      <c r="M995" s="31">
        <f t="shared" si="2"/>
        <v>3.5</v>
      </c>
      <c r="N995" s="32">
        <f t="shared" si="3"/>
        <v>38.97</v>
      </c>
      <c r="O995" s="32">
        <f t="shared" si="4"/>
        <v>90.93</v>
      </c>
      <c r="P995" s="32">
        <f t="shared" si="5"/>
        <v>90.93</v>
      </c>
      <c r="Q995" s="22">
        <v>0.0</v>
      </c>
      <c r="R995" s="32">
        <f t="shared" si="6"/>
        <v>25.98</v>
      </c>
      <c r="S995" s="33" t="s">
        <v>29</v>
      </c>
      <c r="T995" s="33" t="s">
        <v>30</v>
      </c>
      <c r="U995" s="34" t="s">
        <v>372</v>
      </c>
      <c r="V995" s="35"/>
      <c r="W995" s="7"/>
      <c r="X995" s="7"/>
      <c r="Y995" s="7"/>
      <c r="Z995" s="7"/>
      <c r="AA995" s="7"/>
    </row>
    <row r="996" ht="18.75" customHeight="1">
      <c r="A996" s="8" t="s">
        <v>1168</v>
      </c>
      <c r="B996" s="103" t="s">
        <v>1178</v>
      </c>
      <c r="C996" s="9" t="s">
        <v>294</v>
      </c>
      <c r="D996" s="10">
        <v>1997.0</v>
      </c>
      <c r="E996" s="9" t="s">
        <v>1266</v>
      </c>
      <c r="F996" s="11" t="s">
        <v>26</v>
      </c>
      <c r="G996" s="12" t="s">
        <v>27</v>
      </c>
      <c r="H996" s="13">
        <v>129.9</v>
      </c>
      <c r="I996" s="14">
        <v>5.0</v>
      </c>
      <c r="J996" s="100" t="s">
        <v>143</v>
      </c>
      <c r="K996" s="16">
        <v>0.3</v>
      </c>
      <c r="L996" s="17">
        <f t="shared" si="1"/>
        <v>1.5</v>
      </c>
      <c r="M996" s="17">
        <f t="shared" si="2"/>
        <v>3.5</v>
      </c>
      <c r="N996" s="18">
        <f t="shared" si="3"/>
        <v>38.97</v>
      </c>
      <c r="O996" s="18">
        <f t="shared" si="4"/>
        <v>90.93</v>
      </c>
      <c r="P996" s="18">
        <f t="shared" si="5"/>
        <v>90.93</v>
      </c>
      <c r="Q996" s="8">
        <v>0.0</v>
      </c>
      <c r="R996" s="18">
        <f t="shared" si="6"/>
        <v>25.98</v>
      </c>
      <c r="S996" s="19" t="s">
        <v>29</v>
      </c>
      <c r="T996" s="19" t="s">
        <v>30</v>
      </c>
      <c r="U996" s="20" t="s">
        <v>372</v>
      </c>
      <c r="V996" s="37"/>
      <c r="W996" s="7"/>
      <c r="X996" s="7"/>
      <c r="Y996" s="7"/>
      <c r="Z996" s="7"/>
      <c r="AA996" s="7"/>
    </row>
    <row r="997" ht="18.75" customHeight="1">
      <c r="A997" s="22" t="s">
        <v>1168</v>
      </c>
      <c r="B997" s="102" t="s">
        <v>1178</v>
      </c>
      <c r="C997" s="23" t="s">
        <v>294</v>
      </c>
      <c r="D997" s="24">
        <v>2002.0</v>
      </c>
      <c r="E997" s="23" t="s">
        <v>1267</v>
      </c>
      <c r="F997" s="25" t="s">
        <v>37</v>
      </c>
      <c r="G997" s="26" t="s">
        <v>27</v>
      </c>
      <c r="H997" s="27">
        <v>471.75</v>
      </c>
      <c r="I997" s="28">
        <v>5.0</v>
      </c>
      <c r="J997" s="101" t="s">
        <v>143</v>
      </c>
      <c r="K997" s="30"/>
      <c r="L997" s="31">
        <f t="shared" si="1"/>
        <v>0</v>
      </c>
      <c r="M997" s="31">
        <f t="shared" si="2"/>
        <v>5</v>
      </c>
      <c r="N997" s="32">
        <f t="shared" si="3"/>
        <v>0</v>
      </c>
      <c r="O997" s="32">
        <f t="shared" si="4"/>
        <v>471.75</v>
      </c>
      <c r="P997" s="32">
        <f t="shared" si="5"/>
        <v>471.75</v>
      </c>
      <c r="Q997" s="22">
        <v>0.0</v>
      </c>
      <c r="R997" s="32">
        <f t="shared" si="6"/>
        <v>94.35</v>
      </c>
      <c r="S997" s="33" t="s">
        <v>29</v>
      </c>
      <c r="T997" s="33" t="s">
        <v>30</v>
      </c>
      <c r="U997" s="38" t="s">
        <v>370</v>
      </c>
      <c r="V997" s="35"/>
      <c r="W997" s="7"/>
      <c r="X997" s="7"/>
      <c r="Y997" s="7"/>
      <c r="Z997" s="7"/>
      <c r="AA997" s="7"/>
    </row>
    <row r="998" ht="18.75" customHeight="1">
      <c r="A998" s="8" t="s">
        <v>1168</v>
      </c>
      <c r="B998" s="9" t="s">
        <v>1187</v>
      </c>
      <c r="C998" s="9" t="s">
        <v>1093</v>
      </c>
      <c r="D998" s="10">
        <v>2012.0</v>
      </c>
      <c r="E998" s="9" t="s">
        <v>1268</v>
      </c>
      <c r="F998" s="11" t="s">
        <v>26</v>
      </c>
      <c r="G998" s="39"/>
      <c r="H998" s="13">
        <v>175.0</v>
      </c>
      <c r="I998" s="14">
        <v>10.0</v>
      </c>
      <c r="J998" s="100" t="s">
        <v>54</v>
      </c>
      <c r="K998" s="16">
        <v>0.3</v>
      </c>
      <c r="L998" s="17">
        <f t="shared" si="1"/>
        <v>3</v>
      </c>
      <c r="M998" s="17">
        <f t="shared" si="2"/>
        <v>7</v>
      </c>
      <c r="N998" s="18">
        <f t="shared" si="3"/>
        <v>52.5</v>
      </c>
      <c r="O998" s="18">
        <f t="shared" si="4"/>
        <v>122.5</v>
      </c>
      <c r="P998" s="18">
        <f t="shared" si="5"/>
        <v>122.5</v>
      </c>
      <c r="Q998" s="8">
        <v>0.0</v>
      </c>
      <c r="R998" s="18">
        <f t="shared" si="6"/>
        <v>17.5</v>
      </c>
      <c r="S998" s="19" t="s">
        <v>29</v>
      </c>
      <c r="T998" s="19" t="s">
        <v>30</v>
      </c>
      <c r="U998" s="36" t="s">
        <v>1269</v>
      </c>
      <c r="V998" s="37"/>
      <c r="W998" s="7"/>
      <c r="X998" s="7"/>
      <c r="Y998" s="7"/>
      <c r="Z998" s="7"/>
      <c r="AA998" s="7"/>
    </row>
    <row r="999" ht="18.75" customHeight="1">
      <c r="A999" s="22" t="s">
        <v>1168</v>
      </c>
      <c r="B999" s="23" t="s">
        <v>1187</v>
      </c>
      <c r="C999" s="23" t="s">
        <v>1093</v>
      </c>
      <c r="D999" s="24">
        <v>2013.0</v>
      </c>
      <c r="E999" s="23" t="s">
        <v>1268</v>
      </c>
      <c r="F999" s="25" t="s">
        <v>26</v>
      </c>
      <c r="G999" s="40"/>
      <c r="H999" s="27">
        <v>175.0</v>
      </c>
      <c r="I999" s="28">
        <v>10.0</v>
      </c>
      <c r="J999" s="101" t="s">
        <v>54</v>
      </c>
      <c r="K999" s="30">
        <v>0.3</v>
      </c>
      <c r="L999" s="31">
        <f t="shared" si="1"/>
        <v>3</v>
      </c>
      <c r="M999" s="31">
        <f t="shared" si="2"/>
        <v>7</v>
      </c>
      <c r="N999" s="32">
        <f t="shared" si="3"/>
        <v>52.5</v>
      </c>
      <c r="O999" s="32">
        <f t="shared" si="4"/>
        <v>122.5</v>
      </c>
      <c r="P999" s="32">
        <f t="shared" si="5"/>
        <v>122.5</v>
      </c>
      <c r="Q999" s="22">
        <v>0.0</v>
      </c>
      <c r="R999" s="32">
        <f t="shared" si="6"/>
        <v>17.5</v>
      </c>
      <c r="S999" s="33" t="s">
        <v>29</v>
      </c>
      <c r="T999" s="33" t="s">
        <v>30</v>
      </c>
      <c r="U999" s="38" t="s">
        <v>1269</v>
      </c>
      <c r="V999" s="35"/>
      <c r="W999" s="7"/>
      <c r="X999" s="7"/>
      <c r="Y999" s="7"/>
      <c r="Z999" s="7"/>
      <c r="AA999" s="7"/>
    </row>
    <row r="1000" ht="18.75" customHeight="1">
      <c r="A1000" s="8" t="s">
        <v>1168</v>
      </c>
      <c r="B1000" s="103" t="s">
        <v>1178</v>
      </c>
      <c r="C1000" s="9" t="s">
        <v>294</v>
      </c>
      <c r="D1000" s="10">
        <v>2014.0</v>
      </c>
      <c r="E1000" s="9" t="s">
        <v>1270</v>
      </c>
      <c r="F1000" s="11" t="s">
        <v>26</v>
      </c>
      <c r="G1000" s="12" t="s">
        <v>27</v>
      </c>
      <c r="H1000" s="13">
        <v>834.05</v>
      </c>
      <c r="I1000" s="14">
        <v>10.0</v>
      </c>
      <c r="J1000" s="48" t="s">
        <v>63</v>
      </c>
      <c r="K1000" s="16">
        <v>0.700000000000006</v>
      </c>
      <c r="L1000" s="17">
        <f t="shared" si="1"/>
        <v>7</v>
      </c>
      <c r="M1000" s="17">
        <f t="shared" si="2"/>
        <v>3</v>
      </c>
      <c r="N1000" s="18">
        <f t="shared" si="3"/>
        <v>583.835</v>
      </c>
      <c r="O1000" s="18">
        <f t="shared" si="4"/>
        <v>250.215</v>
      </c>
      <c r="P1000" s="18">
        <f t="shared" si="5"/>
        <v>250.215</v>
      </c>
      <c r="Q1000" s="8">
        <v>0.0</v>
      </c>
      <c r="R1000" s="18">
        <f t="shared" si="6"/>
        <v>83.405</v>
      </c>
      <c r="S1000" s="19" t="s">
        <v>29</v>
      </c>
      <c r="T1000" s="19" t="s">
        <v>30</v>
      </c>
      <c r="U1000" s="36" t="s">
        <v>559</v>
      </c>
      <c r="V1000" s="37"/>
      <c r="W1000" s="7"/>
      <c r="X1000" s="7"/>
      <c r="Y1000" s="7"/>
      <c r="Z1000" s="7"/>
      <c r="AA1000" s="7"/>
    </row>
    <row r="1001" ht="18.75" customHeight="1">
      <c r="A1001" s="22" t="s">
        <v>1168</v>
      </c>
      <c r="B1001" s="102" t="s">
        <v>1178</v>
      </c>
      <c r="C1001" s="23" t="s">
        <v>294</v>
      </c>
      <c r="D1001" s="24">
        <v>2015.0</v>
      </c>
      <c r="E1001" s="23" t="s">
        <v>1270</v>
      </c>
      <c r="F1001" s="25" t="s">
        <v>26</v>
      </c>
      <c r="G1001" s="26" t="s">
        <v>27</v>
      </c>
      <c r="H1001" s="27">
        <v>834.05</v>
      </c>
      <c r="I1001" s="28">
        <v>10.0</v>
      </c>
      <c r="J1001" s="45" t="s">
        <v>63</v>
      </c>
      <c r="K1001" s="30">
        <v>0.700000000000006</v>
      </c>
      <c r="L1001" s="31">
        <f t="shared" si="1"/>
        <v>7</v>
      </c>
      <c r="M1001" s="31">
        <f t="shared" si="2"/>
        <v>3</v>
      </c>
      <c r="N1001" s="32">
        <f t="shared" si="3"/>
        <v>583.835</v>
      </c>
      <c r="O1001" s="32">
        <f t="shared" si="4"/>
        <v>250.215</v>
      </c>
      <c r="P1001" s="32">
        <f t="shared" si="5"/>
        <v>250.215</v>
      </c>
      <c r="Q1001" s="22">
        <v>0.0</v>
      </c>
      <c r="R1001" s="32">
        <f t="shared" si="6"/>
        <v>83.405</v>
      </c>
      <c r="S1001" s="33" t="s">
        <v>29</v>
      </c>
      <c r="T1001" s="33" t="s">
        <v>30</v>
      </c>
      <c r="U1001" s="38" t="s">
        <v>559</v>
      </c>
      <c r="V1001" s="35"/>
      <c r="W1001" s="7"/>
      <c r="X1001" s="7"/>
      <c r="Y1001" s="7"/>
      <c r="Z1001" s="7"/>
      <c r="AA1001" s="7"/>
    </row>
    <row r="1002" ht="18.75" customHeight="1">
      <c r="A1002" s="8" t="s">
        <v>1168</v>
      </c>
      <c r="B1002" s="9" t="s">
        <v>1187</v>
      </c>
      <c r="C1002" s="9" t="s">
        <v>1093</v>
      </c>
      <c r="D1002" s="10">
        <v>2022.0</v>
      </c>
      <c r="E1002" s="46" t="s">
        <v>1271</v>
      </c>
      <c r="F1002" s="11" t="s">
        <v>37</v>
      </c>
      <c r="G1002" s="39"/>
      <c r="H1002" s="43">
        <v>798.0</v>
      </c>
      <c r="I1002" s="14">
        <v>10.0</v>
      </c>
      <c r="J1002" s="15" t="s">
        <v>154</v>
      </c>
      <c r="K1002" s="16">
        <v>0.8</v>
      </c>
      <c r="L1002" s="17">
        <f t="shared" si="1"/>
        <v>8</v>
      </c>
      <c r="M1002" s="17">
        <f t="shared" si="2"/>
        <v>2</v>
      </c>
      <c r="N1002" s="18">
        <f t="shared" si="3"/>
        <v>638.4</v>
      </c>
      <c r="O1002" s="18">
        <f t="shared" si="4"/>
        <v>159.6</v>
      </c>
      <c r="P1002" s="18">
        <f t="shared" si="5"/>
        <v>159.6</v>
      </c>
      <c r="Q1002" s="8">
        <v>0.0</v>
      </c>
      <c r="R1002" s="18">
        <f t="shared" si="6"/>
        <v>79.8</v>
      </c>
      <c r="S1002" s="19" t="s">
        <v>29</v>
      </c>
      <c r="T1002" s="19" t="s">
        <v>30</v>
      </c>
      <c r="U1002" s="47" t="s">
        <v>111</v>
      </c>
      <c r="V1002" s="37"/>
      <c r="W1002" s="7"/>
      <c r="X1002" s="7"/>
      <c r="Y1002" s="7"/>
      <c r="Z1002" s="7"/>
      <c r="AA1002" s="7"/>
    </row>
    <row r="1003" ht="18.75" customHeight="1">
      <c r="A1003" s="22" t="s">
        <v>1168</v>
      </c>
      <c r="B1003" s="23" t="s">
        <v>1089</v>
      </c>
      <c r="C1003" s="23" t="s">
        <v>1173</v>
      </c>
      <c r="D1003" s="24">
        <v>2063.0</v>
      </c>
      <c r="E1003" s="23" t="s">
        <v>1272</v>
      </c>
      <c r="F1003" s="25" t="s">
        <v>26</v>
      </c>
      <c r="G1003" s="40"/>
      <c r="H1003" s="27">
        <v>3685.03</v>
      </c>
      <c r="I1003" s="28">
        <v>5.0</v>
      </c>
      <c r="J1003" s="29" t="s">
        <v>38</v>
      </c>
      <c r="K1003" s="30">
        <v>0.5</v>
      </c>
      <c r="L1003" s="31">
        <f t="shared" si="1"/>
        <v>2.5</v>
      </c>
      <c r="M1003" s="31">
        <f t="shared" si="2"/>
        <v>2.5</v>
      </c>
      <c r="N1003" s="32">
        <f t="shared" si="3"/>
        <v>1842.515</v>
      </c>
      <c r="O1003" s="32">
        <f t="shared" si="4"/>
        <v>1842.515</v>
      </c>
      <c r="P1003" s="32">
        <f t="shared" si="5"/>
        <v>1842.515</v>
      </c>
      <c r="Q1003" s="22">
        <v>0.0</v>
      </c>
      <c r="R1003" s="32">
        <f t="shared" si="6"/>
        <v>737.006</v>
      </c>
      <c r="S1003" s="33" t="s">
        <v>29</v>
      </c>
      <c r="T1003" s="33" t="s">
        <v>30</v>
      </c>
      <c r="U1003" s="38" t="s">
        <v>1273</v>
      </c>
      <c r="V1003" s="35"/>
      <c r="W1003" s="7"/>
      <c r="X1003" s="7"/>
      <c r="Y1003" s="7"/>
      <c r="Z1003" s="7"/>
      <c r="AA1003" s="7"/>
    </row>
    <row r="1004" ht="18.75" customHeight="1">
      <c r="A1004" s="8" t="s">
        <v>1168</v>
      </c>
      <c r="B1004" s="103" t="s">
        <v>1178</v>
      </c>
      <c r="C1004" s="9" t="s">
        <v>294</v>
      </c>
      <c r="D1004" s="10">
        <v>2072.0</v>
      </c>
      <c r="E1004" s="9" t="s">
        <v>1270</v>
      </c>
      <c r="F1004" s="11" t="s">
        <v>26</v>
      </c>
      <c r="G1004" s="12" t="s">
        <v>27</v>
      </c>
      <c r="H1004" s="13">
        <v>834.05</v>
      </c>
      <c r="I1004" s="14">
        <v>10.0</v>
      </c>
      <c r="J1004" s="48" t="s">
        <v>63</v>
      </c>
      <c r="K1004" s="16">
        <v>0.700000000000006</v>
      </c>
      <c r="L1004" s="17">
        <f t="shared" si="1"/>
        <v>7</v>
      </c>
      <c r="M1004" s="17">
        <f t="shared" si="2"/>
        <v>3</v>
      </c>
      <c r="N1004" s="18">
        <f t="shared" si="3"/>
        <v>583.835</v>
      </c>
      <c r="O1004" s="18">
        <f t="shared" si="4"/>
        <v>250.215</v>
      </c>
      <c r="P1004" s="18">
        <f t="shared" si="5"/>
        <v>250.215</v>
      </c>
      <c r="Q1004" s="8">
        <v>0.0</v>
      </c>
      <c r="R1004" s="18">
        <f t="shared" si="6"/>
        <v>83.405</v>
      </c>
      <c r="S1004" s="19" t="s">
        <v>29</v>
      </c>
      <c r="T1004" s="19" t="s">
        <v>30</v>
      </c>
      <c r="U1004" s="36" t="s">
        <v>559</v>
      </c>
      <c r="V1004" s="37"/>
      <c r="W1004" s="7"/>
      <c r="X1004" s="7"/>
      <c r="Y1004" s="7"/>
      <c r="Z1004" s="7"/>
      <c r="AA1004" s="7"/>
    </row>
    <row r="1005" ht="18.75" customHeight="1">
      <c r="A1005" s="22" t="s">
        <v>1168</v>
      </c>
      <c r="B1005" s="23" t="s">
        <v>1187</v>
      </c>
      <c r="C1005" s="23" t="s">
        <v>1093</v>
      </c>
      <c r="D1005" s="24">
        <v>2081.0</v>
      </c>
      <c r="E1005" s="23" t="s">
        <v>1274</v>
      </c>
      <c r="F1005" s="25" t="s">
        <v>128</v>
      </c>
      <c r="G1005" s="26" t="s">
        <v>27</v>
      </c>
      <c r="H1005" s="27">
        <v>1669.0</v>
      </c>
      <c r="I1005" s="28">
        <v>5.0</v>
      </c>
      <c r="J1005" s="29" t="s">
        <v>38</v>
      </c>
      <c r="K1005" s="30">
        <v>0.5</v>
      </c>
      <c r="L1005" s="31">
        <f t="shared" si="1"/>
        <v>2.5</v>
      </c>
      <c r="M1005" s="31">
        <f t="shared" si="2"/>
        <v>2.5</v>
      </c>
      <c r="N1005" s="32">
        <f t="shared" si="3"/>
        <v>834.5</v>
      </c>
      <c r="O1005" s="32">
        <f t="shared" si="4"/>
        <v>834.5</v>
      </c>
      <c r="P1005" s="32">
        <f t="shared" si="5"/>
        <v>834.5</v>
      </c>
      <c r="Q1005" s="22">
        <v>0.0</v>
      </c>
      <c r="R1005" s="32">
        <f t="shared" si="6"/>
        <v>333.8</v>
      </c>
      <c r="S1005" s="33" t="s">
        <v>29</v>
      </c>
      <c r="T1005" s="33" t="s">
        <v>30</v>
      </c>
      <c r="U1005" s="34" t="s">
        <v>129</v>
      </c>
      <c r="V1005" s="35"/>
      <c r="W1005" s="7"/>
      <c r="X1005" s="7"/>
      <c r="Y1005" s="7"/>
      <c r="Z1005" s="7"/>
      <c r="AA1005" s="7"/>
    </row>
    <row r="1006" ht="18.75" customHeight="1">
      <c r="A1006" s="8" t="s">
        <v>1168</v>
      </c>
      <c r="B1006" s="9" t="s">
        <v>1228</v>
      </c>
      <c r="C1006" s="9" t="s">
        <v>1085</v>
      </c>
      <c r="D1006" s="10">
        <v>2083.0</v>
      </c>
      <c r="E1006" s="9" t="s">
        <v>1275</v>
      </c>
      <c r="F1006" s="11" t="s">
        <v>202</v>
      </c>
      <c r="G1006" s="39"/>
      <c r="H1006" s="13">
        <v>1842.07</v>
      </c>
      <c r="I1006" s="14">
        <v>5.0</v>
      </c>
      <c r="J1006" s="15" t="s">
        <v>154</v>
      </c>
      <c r="K1006" s="16">
        <v>0.8</v>
      </c>
      <c r="L1006" s="17">
        <f t="shared" si="1"/>
        <v>4</v>
      </c>
      <c r="M1006" s="17">
        <f t="shared" si="2"/>
        <v>1</v>
      </c>
      <c r="N1006" s="18">
        <f t="shared" si="3"/>
        <v>1473.656</v>
      </c>
      <c r="O1006" s="18">
        <f t="shared" si="4"/>
        <v>368.414</v>
      </c>
      <c r="P1006" s="18">
        <f t="shared" si="5"/>
        <v>368.414</v>
      </c>
      <c r="Q1006" s="8">
        <v>0.0</v>
      </c>
      <c r="R1006" s="18">
        <f t="shared" si="6"/>
        <v>368.414</v>
      </c>
      <c r="S1006" s="19" t="s">
        <v>29</v>
      </c>
      <c r="T1006" s="19" t="s">
        <v>30</v>
      </c>
      <c r="U1006" s="36" t="s">
        <v>1264</v>
      </c>
      <c r="V1006" s="37"/>
      <c r="W1006" s="7"/>
      <c r="X1006" s="7"/>
      <c r="Y1006" s="7"/>
      <c r="Z1006" s="7"/>
      <c r="AA1006" s="7"/>
    </row>
    <row r="1007" ht="18.75" customHeight="1">
      <c r="A1007" s="22" t="s">
        <v>1168</v>
      </c>
      <c r="B1007" s="23" t="s">
        <v>1187</v>
      </c>
      <c r="C1007" s="23" t="s">
        <v>1093</v>
      </c>
      <c r="D1007" s="24">
        <v>2084.0</v>
      </c>
      <c r="E1007" s="23" t="s">
        <v>1276</v>
      </c>
      <c r="F1007" s="25" t="s">
        <v>37</v>
      </c>
      <c r="G1007" s="26"/>
      <c r="H1007" s="27">
        <v>553.64</v>
      </c>
      <c r="I1007" s="28">
        <v>10.0</v>
      </c>
      <c r="J1007" s="29" t="s">
        <v>28</v>
      </c>
      <c r="K1007" s="30">
        <v>0.4</v>
      </c>
      <c r="L1007" s="31">
        <f t="shared" si="1"/>
        <v>4</v>
      </c>
      <c r="M1007" s="31">
        <f t="shared" si="2"/>
        <v>6</v>
      </c>
      <c r="N1007" s="32">
        <f t="shared" si="3"/>
        <v>221.456</v>
      </c>
      <c r="O1007" s="32">
        <f t="shared" si="4"/>
        <v>332.184</v>
      </c>
      <c r="P1007" s="32">
        <f t="shared" si="5"/>
        <v>332.184</v>
      </c>
      <c r="Q1007" s="22">
        <v>0.0</v>
      </c>
      <c r="R1007" s="32">
        <f t="shared" si="6"/>
        <v>55.364</v>
      </c>
      <c r="S1007" s="33" t="s">
        <v>29</v>
      </c>
      <c r="T1007" s="33" t="s">
        <v>30</v>
      </c>
      <c r="U1007" s="38" t="s">
        <v>1194</v>
      </c>
      <c r="V1007" s="35"/>
      <c r="W1007" s="7"/>
      <c r="X1007" s="7"/>
      <c r="Y1007" s="7"/>
      <c r="Z1007" s="7"/>
      <c r="AA1007" s="7"/>
    </row>
    <row r="1008" ht="18.75" customHeight="1">
      <c r="A1008" s="8" t="s">
        <v>1168</v>
      </c>
      <c r="B1008" s="9" t="s">
        <v>1187</v>
      </c>
      <c r="C1008" s="9" t="s">
        <v>1093</v>
      </c>
      <c r="D1008" s="10">
        <v>2087.0</v>
      </c>
      <c r="E1008" s="9" t="s">
        <v>1277</v>
      </c>
      <c r="F1008" s="11" t="s">
        <v>37</v>
      </c>
      <c r="G1008" s="39"/>
      <c r="H1008" s="13">
        <v>1514.43</v>
      </c>
      <c r="I1008" s="14">
        <v>10.0</v>
      </c>
      <c r="J1008" s="100" t="s">
        <v>54</v>
      </c>
      <c r="K1008" s="16">
        <v>0.3</v>
      </c>
      <c r="L1008" s="17">
        <f t="shared" si="1"/>
        <v>3</v>
      </c>
      <c r="M1008" s="17">
        <f t="shared" si="2"/>
        <v>7</v>
      </c>
      <c r="N1008" s="18">
        <f t="shared" si="3"/>
        <v>454.329</v>
      </c>
      <c r="O1008" s="18">
        <f t="shared" si="4"/>
        <v>1060.101</v>
      </c>
      <c r="P1008" s="18">
        <f t="shared" si="5"/>
        <v>1060.101</v>
      </c>
      <c r="Q1008" s="8">
        <v>0.0</v>
      </c>
      <c r="R1008" s="18">
        <f t="shared" si="6"/>
        <v>151.443</v>
      </c>
      <c r="S1008" s="19" t="s">
        <v>29</v>
      </c>
      <c r="T1008" s="19" t="s">
        <v>30</v>
      </c>
      <c r="U1008" s="36" t="s">
        <v>1278</v>
      </c>
      <c r="V1008" s="37"/>
      <c r="W1008" s="7"/>
      <c r="X1008" s="7"/>
      <c r="Y1008" s="7"/>
      <c r="Z1008" s="7"/>
      <c r="AA1008" s="7"/>
    </row>
    <row r="1009" ht="18.75" customHeight="1">
      <c r="A1009" s="22" t="s">
        <v>1168</v>
      </c>
      <c r="B1009" s="102" t="s">
        <v>1178</v>
      </c>
      <c r="C1009" s="23" t="s">
        <v>294</v>
      </c>
      <c r="D1009" s="24">
        <v>2112.0</v>
      </c>
      <c r="E1009" s="23" t="s">
        <v>1279</v>
      </c>
      <c r="F1009" s="25" t="s">
        <v>26</v>
      </c>
      <c r="G1009" s="26" t="s">
        <v>27</v>
      </c>
      <c r="H1009" s="27">
        <v>65.35</v>
      </c>
      <c r="I1009" s="28">
        <v>5.0</v>
      </c>
      <c r="J1009" s="29" t="s">
        <v>28</v>
      </c>
      <c r="K1009" s="30">
        <v>0.4</v>
      </c>
      <c r="L1009" s="31">
        <f t="shared" si="1"/>
        <v>2</v>
      </c>
      <c r="M1009" s="31">
        <f t="shared" si="2"/>
        <v>3</v>
      </c>
      <c r="N1009" s="32">
        <f t="shared" si="3"/>
        <v>26.14</v>
      </c>
      <c r="O1009" s="32">
        <f t="shared" si="4"/>
        <v>39.21</v>
      </c>
      <c r="P1009" s="32">
        <f t="shared" si="5"/>
        <v>39.21</v>
      </c>
      <c r="Q1009" s="22">
        <v>0.0</v>
      </c>
      <c r="R1009" s="32">
        <f t="shared" si="6"/>
        <v>13.07</v>
      </c>
      <c r="S1009" s="33" t="s">
        <v>29</v>
      </c>
      <c r="T1009" s="33" t="s">
        <v>30</v>
      </c>
      <c r="U1009" s="34" t="s">
        <v>374</v>
      </c>
      <c r="V1009" s="35"/>
      <c r="W1009" s="7"/>
      <c r="X1009" s="7"/>
      <c r="Y1009" s="7"/>
      <c r="Z1009" s="7"/>
      <c r="AA1009" s="7"/>
    </row>
    <row r="1010" ht="18.75" customHeight="1">
      <c r="A1010" s="8" t="s">
        <v>1168</v>
      </c>
      <c r="B1010" s="103" t="s">
        <v>1178</v>
      </c>
      <c r="C1010" s="9" t="s">
        <v>294</v>
      </c>
      <c r="D1010" s="10">
        <v>2113.0</v>
      </c>
      <c r="E1010" s="9" t="s">
        <v>1279</v>
      </c>
      <c r="F1010" s="11" t="s">
        <v>26</v>
      </c>
      <c r="G1010" s="12" t="s">
        <v>27</v>
      </c>
      <c r="H1010" s="13">
        <v>65.35</v>
      </c>
      <c r="I1010" s="14">
        <v>5.0</v>
      </c>
      <c r="J1010" s="15" t="s">
        <v>28</v>
      </c>
      <c r="K1010" s="16">
        <v>0.4</v>
      </c>
      <c r="L1010" s="17">
        <f t="shared" si="1"/>
        <v>2</v>
      </c>
      <c r="M1010" s="17">
        <f t="shared" si="2"/>
        <v>3</v>
      </c>
      <c r="N1010" s="18">
        <f t="shared" si="3"/>
        <v>26.14</v>
      </c>
      <c r="O1010" s="18">
        <f t="shared" si="4"/>
        <v>39.21</v>
      </c>
      <c r="P1010" s="18">
        <f t="shared" si="5"/>
        <v>39.21</v>
      </c>
      <c r="Q1010" s="8">
        <v>0.0</v>
      </c>
      <c r="R1010" s="18">
        <f t="shared" si="6"/>
        <v>13.07</v>
      </c>
      <c r="S1010" s="19" t="s">
        <v>29</v>
      </c>
      <c r="T1010" s="19" t="s">
        <v>30</v>
      </c>
      <c r="U1010" s="20" t="s">
        <v>374</v>
      </c>
      <c r="V1010" s="37"/>
      <c r="W1010" s="7"/>
      <c r="X1010" s="7"/>
      <c r="Y1010" s="7"/>
      <c r="Z1010" s="7"/>
      <c r="AA1010" s="7"/>
    </row>
    <row r="1011" ht="18.75" customHeight="1">
      <c r="A1011" s="22" t="s">
        <v>1168</v>
      </c>
      <c r="B1011" s="102" t="s">
        <v>1178</v>
      </c>
      <c r="C1011" s="23" t="s">
        <v>294</v>
      </c>
      <c r="D1011" s="24">
        <v>2114.0</v>
      </c>
      <c r="E1011" s="23" t="s">
        <v>1280</v>
      </c>
      <c r="F1011" s="25" t="s">
        <v>26</v>
      </c>
      <c r="G1011" s="26" t="s">
        <v>27</v>
      </c>
      <c r="H1011" s="27">
        <v>129.9</v>
      </c>
      <c r="I1011" s="28">
        <v>5.0</v>
      </c>
      <c r="J1011" s="101" t="s">
        <v>143</v>
      </c>
      <c r="K1011" s="30">
        <v>0.3</v>
      </c>
      <c r="L1011" s="31">
        <f t="shared" si="1"/>
        <v>1.5</v>
      </c>
      <c r="M1011" s="31">
        <f t="shared" si="2"/>
        <v>3.5</v>
      </c>
      <c r="N1011" s="32">
        <f t="shared" si="3"/>
        <v>38.97</v>
      </c>
      <c r="O1011" s="32">
        <f t="shared" si="4"/>
        <v>90.93</v>
      </c>
      <c r="P1011" s="32">
        <f t="shared" si="5"/>
        <v>90.93</v>
      </c>
      <c r="Q1011" s="22">
        <v>0.0</v>
      </c>
      <c r="R1011" s="32">
        <f t="shared" si="6"/>
        <v>25.98</v>
      </c>
      <c r="S1011" s="33" t="s">
        <v>29</v>
      </c>
      <c r="T1011" s="33" t="s">
        <v>30</v>
      </c>
      <c r="U1011" s="34" t="s">
        <v>372</v>
      </c>
      <c r="V1011" s="35"/>
      <c r="W1011" s="7"/>
      <c r="X1011" s="7"/>
      <c r="Y1011" s="7"/>
      <c r="Z1011" s="7"/>
      <c r="AA1011" s="7"/>
    </row>
    <row r="1012" ht="18.75" customHeight="1">
      <c r="A1012" s="8" t="s">
        <v>1168</v>
      </c>
      <c r="B1012" s="103" t="s">
        <v>1178</v>
      </c>
      <c r="C1012" s="9" t="s">
        <v>294</v>
      </c>
      <c r="D1012" s="10">
        <v>2133.0</v>
      </c>
      <c r="E1012" s="9" t="s">
        <v>1281</v>
      </c>
      <c r="F1012" s="11" t="s">
        <v>26</v>
      </c>
      <c r="G1012" s="12" t="s">
        <v>27</v>
      </c>
      <c r="H1012" s="13">
        <v>471.75</v>
      </c>
      <c r="I1012" s="14">
        <v>10.0</v>
      </c>
      <c r="J1012" s="15" t="s">
        <v>38</v>
      </c>
      <c r="K1012" s="16">
        <v>0.5</v>
      </c>
      <c r="L1012" s="17">
        <f t="shared" si="1"/>
        <v>5</v>
      </c>
      <c r="M1012" s="17">
        <f t="shared" si="2"/>
        <v>5</v>
      </c>
      <c r="N1012" s="18">
        <f t="shared" si="3"/>
        <v>235.875</v>
      </c>
      <c r="O1012" s="18">
        <f t="shared" si="4"/>
        <v>235.875</v>
      </c>
      <c r="P1012" s="18">
        <f t="shared" si="5"/>
        <v>235.875</v>
      </c>
      <c r="Q1012" s="8">
        <v>0.0</v>
      </c>
      <c r="R1012" s="18">
        <f t="shared" si="6"/>
        <v>47.175</v>
      </c>
      <c r="S1012" s="19" t="s">
        <v>29</v>
      </c>
      <c r="T1012" s="19" t="s">
        <v>30</v>
      </c>
      <c r="U1012" s="36" t="s">
        <v>370</v>
      </c>
      <c r="V1012" s="37"/>
      <c r="W1012" s="7"/>
      <c r="X1012" s="7"/>
      <c r="Y1012" s="7"/>
      <c r="Z1012" s="7"/>
      <c r="AA1012" s="7"/>
    </row>
    <row r="1013" ht="18.75" customHeight="1">
      <c r="A1013" s="22" t="s">
        <v>1168</v>
      </c>
      <c r="B1013" s="102" t="s">
        <v>1178</v>
      </c>
      <c r="C1013" s="23" t="s">
        <v>294</v>
      </c>
      <c r="D1013" s="24">
        <v>2134.0</v>
      </c>
      <c r="E1013" s="23" t="s">
        <v>1282</v>
      </c>
      <c r="F1013" s="25" t="s">
        <v>26</v>
      </c>
      <c r="G1013" s="26" t="s">
        <v>27</v>
      </c>
      <c r="H1013" s="27">
        <v>834.05</v>
      </c>
      <c r="I1013" s="28">
        <v>10.0</v>
      </c>
      <c r="J1013" s="45" t="s">
        <v>63</v>
      </c>
      <c r="K1013" s="30">
        <v>0.700000000000006</v>
      </c>
      <c r="L1013" s="31">
        <f t="shared" si="1"/>
        <v>7</v>
      </c>
      <c r="M1013" s="31">
        <f t="shared" si="2"/>
        <v>3</v>
      </c>
      <c r="N1013" s="32">
        <f t="shared" si="3"/>
        <v>583.835</v>
      </c>
      <c r="O1013" s="32">
        <f t="shared" si="4"/>
        <v>250.215</v>
      </c>
      <c r="P1013" s="32">
        <f t="shared" si="5"/>
        <v>250.215</v>
      </c>
      <c r="Q1013" s="22">
        <v>0.0</v>
      </c>
      <c r="R1013" s="32">
        <f t="shared" si="6"/>
        <v>83.405</v>
      </c>
      <c r="S1013" s="33" t="s">
        <v>29</v>
      </c>
      <c r="T1013" s="33" t="s">
        <v>30</v>
      </c>
      <c r="U1013" s="38" t="s">
        <v>559</v>
      </c>
      <c r="V1013" s="35"/>
      <c r="W1013" s="7"/>
      <c r="X1013" s="7"/>
      <c r="Y1013" s="7"/>
      <c r="Z1013" s="7"/>
      <c r="AA1013" s="7"/>
    </row>
    <row r="1014" ht="18.75" customHeight="1">
      <c r="A1014" s="8" t="s">
        <v>1168</v>
      </c>
      <c r="B1014" s="103" t="s">
        <v>1178</v>
      </c>
      <c r="C1014" s="9" t="s">
        <v>294</v>
      </c>
      <c r="D1014" s="10">
        <v>2135.0</v>
      </c>
      <c r="E1014" s="9" t="s">
        <v>1282</v>
      </c>
      <c r="F1014" s="11" t="s">
        <v>26</v>
      </c>
      <c r="G1014" s="12" t="s">
        <v>27</v>
      </c>
      <c r="H1014" s="13">
        <v>834.05</v>
      </c>
      <c r="I1014" s="14">
        <v>10.0</v>
      </c>
      <c r="J1014" s="48" t="s">
        <v>63</v>
      </c>
      <c r="K1014" s="16">
        <v>0.700000000000006</v>
      </c>
      <c r="L1014" s="17">
        <f t="shared" si="1"/>
        <v>7</v>
      </c>
      <c r="M1014" s="17">
        <f t="shared" si="2"/>
        <v>3</v>
      </c>
      <c r="N1014" s="18">
        <f t="shared" si="3"/>
        <v>583.835</v>
      </c>
      <c r="O1014" s="18">
        <f t="shared" si="4"/>
        <v>250.215</v>
      </c>
      <c r="P1014" s="18">
        <f t="shared" si="5"/>
        <v>250.215</v>
      </c>
      <c r="Q1014" s="8">
        <v>0.0</v>
      </c>
      <c r="R1014" s="18">
        <f t="shared" si="6"/>
        <v>83.405</v>
      </c>
      <c r="S1014" s="19" t="s">
        <v>29</v>
      </c>
      <c r="T1014" s="19" t="s">
        <v>30</v>
      </c>
      <c r="U1014" s="36" t="s">
        <v>559</v>
      </c>
      <c r="V1014" s="37"/>
      <c r="W1014" s="7"/>
      <c r="X1014" s="7"/>
      <c r="Y1014" s="7"/>
      <c r="Z1014" s="7"/>
      <c r="AA1014" s="7"/>
    </row>
    <row r="1015" ht="18.75" customHeight="1">
      <c r="A1015" s="22" t="s">
        <v>1168</v>
      </c>
      <c r="B1015" s="102" t="s">
        <v>1178</v>
      </c>
      <c r="C1015" s="23" t="s">
        <v>294</v>
      </c>
      <c r="D1015" s="24">
        <v>2136.0</v>
      </c>
      <c r="E1015" s="23" t="s">
        <v>1283</v>
      </c>
      <c r="F1015" s="25" t="s">
        <v>26</v>
      </c>
      <c r="G1015" s="26" t="s">
        <v>27</v>
      </c>
      <c r="H1015" s="27">
        <v>834.05</v>
      </c>
      <c r="I1015" s="28">
        <v>10.0</v>
      </c>
      <c r="J1015" s="41" t="s">
        <v>63</v>
      </c>
      <c r="K1015" s="30">
        <v>0.700000000000006</v>
      </c>
      <c r="L1015" s="31">
        <f t="shared" si="1"/>
        <v>7</v>
      </c>
      <c r="M1015" s="31">
        <f t="shared" si="2"/>
        <v>3</v>
      </c>
      <c r="N1015" s="32">
        <f t="shared" si="3"/>
        <v>583.835</v>
      </c>
      <c r="O1015" s="32">
        <f t="shared" si="4"/>
        <v>250.215</v>
      </c>
      <c r="P1015" s="32">
        <f t="shared" si="5"/>
        <v>250.215</v>
      </c>
      <c r="Q1015" s="22">
        <v>0.0</v>
      </c>
      <c r="R1015" s="32">
        <f t="shared" si="6"/>
        <v>83.405</v>
      </c>
      <c r="S1015" s="33" t="s">
        <v>29</v>
      </c>
      <c r="T1015" s="33" t="s">
        <v>30</v>
      </c>
      <c r="U1015" s="38" t="s">
        <v>559</v>
      </c>
      <c r="V1015" s="35"/>
      <c r="W1015" s="7"/>
      <c r="X1015" s="7"/>
      <c r="Y1015" s="7"/>
      <c r="Z1015" s="7"/>
      <c r="AA1015" s="7"/>
    </row>
    <row r="1016" ht="18.75" customHeight="1">
      <c r="A1016" s="8" t="s">
        <v>1168</v>
      </c>
      <c r="B1016" s="103" t="s">
        <v>1178</v>
      </c>
      <c r="C1016" s="9" t="s">
        <v>294</v>
      </c>
      <c r="D1016" s="10">
        <v>2146.0</v>
      </c>
      <c r="E1016" s="9" t="s">
        <v>1284</v>
      </c>
      <c r="F1016" s="11" t="s">
        <v>37</v>
      </c>
      <c r="G1016" s="12" t="s">
        <v>27</v>
      </c>
      <c r="H1016" s="13">
        <v>471.75</v>
      </c>
      <c r="I1016" s="14">
        <v>5.0</v>
      </c>
      <c r="J1016" s="100" t="s">
        <v>143</v>
      </c>
      <c r="K1016" s="16"/>
      <c r="L1016" s="17">
        <f t="shared" si="1"/>
        <v>0</v>
      </c>
      <c r="M1016" s="17">
        <f t="shared" si="2"/>
        <v>5</v>
      </c>
      <c r="N1016" s="18">
        <f t="shared" si="3"/>
        <v>0</v>
      </c>
      <c r="O1016" s="18">
        <f t="shared" si="4"/>
        <v>471.75</v>
      </c>
      <c r="P1016" s="18">
        <f t="shared" si="5"/>
        <v>471.75</v>
      </c>
      <c r="Q1016" s="8">
        <v>0.0</v>
      </c>
      <c r="R1016" s="18">
        <f t="shared" si="6"/>
        <v>94.35</v>
      </c>
      <c r="S1016" s="19" t="s">
        <v>29</v>
      </c>
      <c r="T1016" s="19" t="s">
        <v>30</v>
      </c>
      <c r="U1016" s="36" t="s">
        <v>370</v>
      </c>
      <c r="V1016" s="37"/>
      <c r="W1016" s="7"/>
      <c r="X1016" s="7"/>
      <c r="Y1016" s="7"/>
      <c r="Z1016" s="7"/>
      <c r="AA1016" s="7"/>
    </row>
    <row r="1017" ht="18.75" customHeight="1">
      <c r="A1017" s="22" t="s">
        <v>1168</v>
      </c>
      <c r="B1017" s="23" t="s">
        <v>1211</v>
      </c>
      <c r="C1017" s="23" t="s">
        <v>1212</v>
      </c>
      <c r="D1017" s="24">
        <v>2162.0</v>
      </c>
      <c r="E1017" s="23" t="s">
        <v>1285</v>
      </c>
      <c r="F1017" s="25" t="s">
        <v>26</v>
      </c>
      <c r="G1017" s="26" t="s">
        <v>27</v>
      </c>
      <c r="H1017" s="27">
        <v>1586.97</v>
      </c>
      <c r="I1017" s="28">
        <v>10.0</v>
      </c>
      <c r="J1017" s="101" t="s">
        <v>54</v>
      </c>
      <c r="K1017" s="30">
        <v>0.3</v>
      </c>
      <c r="L1017" s="31">
        <f t="shared" si="1"/>
        <v>3</v>
      </c>
      <c r="M1017" s="31">
        <f t="shared" si="2"/>
        <v>7</v>
      </c>
      <c r="N1017" s="32">
        <f t="shared" si="3"/>
        <v>476.091</v>
      </c>
      <c r="O1017" s="32">
        <f t="shared" si="4"/>
        <v>1110.879</v>
      </c>
      <c r="P1017" s="32">
        <f t="shared" si="5"/>
        <v>1110.879</v>
      </c>
      <c r="Q1017" s="22">
        <v>0.0</v>
      </c>
      <c r="R1017" s="32">
        <f t="shared" si="6"/>
        <v>158.697</v>
      </c>
      <c r="S1017" s="33" t="s">
        <v>29</v>
      </c>
      <c r="T1017" s="33" t="s">
        <v>30</v>
      </c>
      <c r="U1017" s="34" t="s">
        <v>575</v>
      </c>
      <c r="V1017" s="35"/>
      <c r="W1017" s="7"/>
      <c r="X1017" s="7"/>
      <c r="Y1017" s="7"/>
      <c r="Z1017" s="7"/>
      <c r="AA1017" s="7"/>
    </row>
    <row r="1018" ht="18.75" customHeight="1">
      <c r="A1018" s="8" t="s">
        <v>1168</v>
      </c>
      <c r="B1018" s="9" t="s">
        <v>1228</v>
      </c>
      <c r="C1018" s="9" t="s">
        <v>1085</v>
      </c>
      <c r="D1018" s="10">
        <v>2220.0</v>
      </c>
      <c r="E1018" s="9" t="s">
        <v>1286</v>
      </c>
      <c r="F1018" s="11" t="s">
        <v>202</v>
      </c>
      <c r="G1018" s="39"/>
      <c r="H1018" s="13">
        <v>2879.1</v>
      </c>
      <c r="I1018" s="14">
        <v>5.0</v>
      </c>
      <c r="J1018" s="15" t="s">
        <v>154</v>
      </c>
      <c r="K1018" s="16">
        <v>0.8</v>
      </c>
      <c r="L1018" s="17">
        <f t="shared" si="1"/>
        <v>4</v>
      </c>
      <c r="M1018" s="17">
        <f t="shared" si="2"/>
        <v>1</v>
      </c>
      <c r="N1018" s="18">
        <f t="shared" si="3"/>
        <v>2303.28</v>
      </c>
      <c r="O1018" s="18">
        <f t="shared" si="4"/>
        <v>575.82</v>
      </c>
      <c r="P1018" s="18">
        <f t="shared" si="5"/>
        <v>575.82</v>
      </c>
      <c r="Q1018" s="8">
        <v>0.0</v>
      </c>
      <c r="R1018" s="18">
        <f t="shared" si="6"/>
        <v>575.82</v>
      </c>
      <c r="S1018" s="19" t="s">
        <v>29</v>
      </c>
      <c r="T1018" s="19" t="s">
        <v>30</v>
      </c>
      <c r="U1018" s="36" t="s">
        <v>1287</v>
      </c>
      <c r="V1018" s="37"/>
      <c r="W1018" s="7"/>
      <c r="X1018" s="7"/>
      <c r="Y1018" s="7"/>
      <c r="Z1018" s="7"/>
      <c r="AA1018" s="7"/>
    </row>
    <row r="1019" ht="18.75" customHeight="1">
      <c r="A1019" s="22" t="s">
        <v>1168</v>
      </c>
      <c r="B1019" s="102" t="s">
        <v>1178</v>
      </c>
      <c r="C1019" s="23" t="s">
        <v>294</v>
      </c>
      <c r="D1019" s="24">
        <v>2221.0</v>
      </c>
      <c r="E1019" s="23" t="s">
        <v>1288</v>
      </c>
      <c r="F1019" s="25" t="s">
        <v>26</v>
      </c>
      <c r="G1019" s="26" t="s">
        <v>27</v>
      </c>
      <c r="H1019" s="27">
        <v>834.05</v>
      </c>
      <c r="I1019" s="28">
        <v>10.0</v>
      </c>
      <c r="J1019" s="45" t="s">
        <v>63</v>
      </c>
      <c r="K1019" s="42">
        <v>0.700000000000006</v>
      </c>
      <c r="L1019" s="31">
        <f t="shared" si="1"/>
        <v>7</v>
      </c>
      <c r="M1019" s="31">
        <f t="shared" si="2"/>
        <v>3</v>
      </c>
      <c r="N1019" s="32">
        <f t="shared" si="3"/>
        <v>583.835</v>
      </c>
      <c r="O1019" s="32">
        <f t="shared" si="4"/>
        <v>250.215</v>
      </c>
      <c r="P1019" s="32">
        <f t="shared" si="5"/>
        <v>250.215</v>
      </c>
      <c r="Q1019" s="22">
        <v>0.0</v>
      </c>
      <c r="R1019" s="32">
        <f t="shared" si="6"/>
        <v>83.405</v>
      </c>
      <c r="S1019" s="33" t="s">
        <v>29</v>
      </c>
      <c r="T1019" s="33" t="s">
        <v>30</v>
      </c>
      <c r="U1019" s="38" t="s">
        <v>559</v>
      </c>
      <c r="V1019" s="35"/>
      <c r="W1019" s="7"/>
      <c r="X1019" s="7"/>
      <c r="Y1019" s="7"/>
      <c r="Z1019" s="7"/>
      <c r="AA1019" s="7"/>
    </row>
    <row r="1020" ht="18.75" customHeight="1">
      <c r="A1020" s="8" t="s">
        <v>1168</v>
      </c>
      <c r="B1020" s="9" t="s">
        <v>1201</v>
      </c>
      <c r="C1020" s="9" t="s">
        <v>626</v>
      </c>
      <c r="D1020" s="10">
        <v>2222.0</v>
      </c>
      <c r="E1020" s="9" t="s">
        <v>1289</v>
      </c>
      <c r="F1020" s="11" t="s">
        <v>202</v>
      </c>
      <c r="G1020" s="39"/>
      <c r="H1020" s="13">
        <v>2469.9</v>
      </c>
      <c r="I1020" s="14">
        <v>5.0</v>
      </c>
      <c r="J1020" s="15" t="s">
        <v>38</v>
      </c>
      <c r="K1020" s="16">
        <v>0.5</v>
      </c>
      <c r="L1020" s="17">
        <f t="shared" si="1"/>
        <v>2.5</v>
      </c>
      <c r="M1020" s="17">
        <f t="shared" si="2"/>
        <v>2.5</v>
      </c>
      <c r="N1020" s="18">
        <f t="shared" si="3"/>
        <v>1234.95</v>
      </c>
      <c r="O1020" s="18">
        <f t="shared" si="4"/>
        <v>1234.95</v>
      </c>
      <c r="P1020" s="18">
        <f t="shared" si="5"/>
        <v>1234.95</v>
      </c>
      <c r="Q1020" s="8">
        <v>0.0</v>
      </c>
      <c r="R1020" s="18">
        <f t="shared" si="6"/>
        <v>493.98</v>
      </c>
      <c r="S1020" s="19" t="s">
        <v>29</v>
      </c>
      <c r="T1020" s="19" t="s">
        <v>30</v>
      </c>
      <c r="U1020" s="36" t="s">
        <v>356</v>
      </c>
      <c r="V1020" s="37"/>
      <c r="W1020" s="7"/>
      <c r="X1020" s="7"/>
      <c r="Y1020" s="7"/>
      <c r="Z1020" s="7"/>
      <c r="AA1020" s="7"/>
    </row>
    <row r="1021" ht="18.75" customHeight="1">
      <c r="A1021" s="22" t="s">
        <v>1168</v>
      </c>
      <c r="B1021" s="23" t="s">
        <v>1228</v>
      </c>
      <c r="C1021" s="23" t="s">
        <v>1085</v>
      </c>
      <c r="D1021" s="24">
        <v>2232.0</v>
      </c>
      <c r="E1021" s="23" t="s">
        <v>1290</v>
      </c>
      <c r="F1021" s="25" t="s">
        <v>202</v>
      </c>
      <c r="G1021" s="40"/>
      <c r="H1021" s="27">
        <v>2949.0</v>
      </c>
      <c r="I1021" s="28">
        <v>5.0</v>
      </c>
      <c r="J1021" s="29" t="s">
        <v>154</v>
      </c>
      <c r="K1021" s="30">
        <v>0.8</v>
      </c>
      <c r="L1021" s="31">
        <f t="shared" si="1"/>
        <v>4</v>
      </c>
      <c r="M1021" s="31">
        <f t="shared" si="2"/>
        <v>1</v>
      </c>
      <c r="N1021" s="32">
        <f t="shared" si="3"/>
        <v>2359.2</v>
      </c>
      <c r="O1021" s="32">
        <f t="shared" si="4"/>
        <v>589.8</v>
      </c>
      <c r="P1021" s="32">
        <f t="shared" si="5"/>
        <v>589.8</v>
      </c>
      <c r="Q1021" s="22">
        <v>0.0</v>
      </c>
      <c r="R1021" s="32">
        <f t="shared" si="6"/>
        <v>589.8</v>
      </c>
      <c r="S1021" s="33" t="s">
        <v>29</v>
      </c>
      <c r="T1021" s="33" t="s">
        <v>30</v>
      </c>
      <c r="U1021" s="38" t="s">
        <v>1225</v>
      </c>
      <c r="V1021" s="35"/>
      <c r="W1021" s="7"/>
      <c r="X1021" s="7"/>
      <c r="Y1021" s="7"/>
      <c r="Z1021" s="7"/>
      <c r="AA1021" s="7"/>
    </row>
    <row r="1022" ht="18.75" customHeight="1">
      <c r="A1022" s="8" t="s">
        <v>1168</v>
      </c>
      <c r="B1022" s="103" t="s">
        <v>1178</v>
      </c>
      <c r="C1022" s="9" t="s">
        <v>294</v>
      </c>
      <c r="D1022" s="10">
        <v>2233.0</v>
      </c>
      <c r="E1022" s="9" t="s">
        <v>1291</v>
      </c>
      <c r="F1022" s="11" t="s">
        <v>37</v>
      </c>
      <c r="G1022" s="12" t="s">
        <v>27</v>
      </c>
      <c r="H1022" s="13">
        <v>65.35</v>
      </c>
      <c r="I1022" s="14">
        <v>5.0</v>
      </c>
      <c r="J1022" s="15" t="s">
        <v>28</v>
      </c>
      <c r="K1022" s="16">
        <v>0.4</v>
      </c>
      <c r="L1022" s="17">
        <f t="shared" si="1"/>
        <v>2</v>
      </c>
      <c r="M1022" s="17">
        <f t="shared" si="2"/>
        <v>3</v>
      </c>
      <c r="N1022" s="18">
        <f t="shared" si="3"/>
        <v>26.14</v>
      </c>
      <c r="O1022" s="18">
        <f t="shared" si="4"/>
        <v>39.21</v>
      </c>
      <c r="P1022" s="18">
        <f t="shared" si="5"/>
        <v>39.21</v>
      </c>
      <c r="Q1022" s="8">
        <v>0.0</v>
      </c>
      <c r="R1022" s="18">
        <f t="shared" si="6"/>
        <v>13.07</v>
      </c>
      <c r="S1022" s="19" t="s">
        <v>29</v>
      </c>
      <c r="T1022" s="19" t="s">
        <v>30</v>
      </c>
      <c r="U1022" s="20" t="s">
        <v>374</v>
      </c>
      <c r="V1022" s="37"/>
      <c r="W1022" s="7"/>
      <c r="X1022" s="7"/>
      <c r="Y1022" s="7"/>
      <c r="Z1022" s="7"/>
      <c r="AA1022" s="7"/>
    </row>
    <row r="1023" ht="18.75" customHeight="1">
      <c r="A1023" s="22" t="s">
        <v>1168</v>
      </c>
      <c r="B1023" s="102" t="s">
        <v>1178</v>
      </c>
      <c r="C1023" s="23" t="s">
        <v>294</v>
      </c>
      <c r="D1023" s="24">
        <v>2235.0</v>
      </c>
      <c r="E1023" s="23" t="s">
        <v>1292</v>
      </c>
      <c r="F1023" s="25" t="s">
        <v>37</v>
      </c>
      <c r="G1023" s="26" t="s">
        <v>27</v>
      </c>
      <c r="H1023" s="27">
        <v>65.35</v>
      </c>
      <c r="I1023" s="28">
        <v>5.0</v>
      </c>
      <c r="J1023" s="29" t="s">
        <v>28</v>
      </c>
      <c r="K1023" s="30">
        <v>0.4</v>
      </c>
      <c r="L1023" s="31">
        <f t="shared" si="1"/>
        <v>2</v>
      </c>
      <c r="M1023" s="31">
        <f t="shared" si="2"/>
        <v>3</v>
      </c>
      <c r="N1023" s="32">
        <f t="shared" si="3"/>
        <v>26.14</v>
      </c>
      <c r="O1023" s="32">
        <f t="shared" si="4"/>
        <v>39.21</v>
      </c>
      <c r="P1023" s="32">
        <f t="shared" si="5"/>
        <v>39.21</v>
      </c>
      <c r="Q1023" s="22">
        <v>0.0</v>
      </c>
      <c r="R1023" s="32">
        <f t="shared" si="6"/>
        <v>13.07</v>
      </c>
      <c r="S1023" s="33" t="s">
        <v>29</v>
      </c>
      <c r="T1023" s="33" t="s">
        <v>30</v>
      </c>
      <c r="U1023" s="34" t="s">
        <v>374</v>
      </c>
      <c r="V1023" s="35"/>
      <c r="W1023" s="7"/>
      <c r="X1023" s="7"/>
      <c r="Y1023" s="7"/>
      <c r="Z1023" s="7"/>
      <c r="AA1023" s="7"/>
    </row>
    <row r="1024" ht="18.75" customHeight="1">
      <c r="A1024" s="8" t="s">
        <v>1168</v>
      </c>
      <c r="B1024" s="103" t="s">
        <v>1178</v>
      </c>
      <c r="C1024" s="9" t="s">
        <v>294</v>
      </c>
      <c r="D1024" s="10">
        <v>2236.0</v>
      </c>
      <c r="E1024" s="9" t="s">
        <v>1292</v>
      </c>
      <c r="F1024" s="11" t="s">
        <v>37</v>
      </c>
      <c r="G1024" s="12" t="s">
        <v>27</v>
      </c>
      <c r="H1024" s="13">
        <v>65.35</v>
      </c>
      <c r="I1024" s="14">
        <v>5.0</v>
      </c>
      <c r="J1024" s="15" t="s">
        <v>28</v>
      </c>
      <c r="K1024" s="16">
        <v>0.4</v>
      </c>
      <c r="L1024" s="17">
        <f t="shared" si="1"/>
        <v>2</v>
      </c>
      <c r="M1024" s="17">
        <f t="shared" si="2"/>
        <v>3</v>
      </c>
      <c r="N1024" s="18">
        <f t="shared" si="3"/>
        <v>26.14</v>
      </c>
      <c r="O1024" s="18">
        <f t="shared" si="4"/>
        <v>39.21</v>
      </c>
      <c r="P1024" s="18">
        <f t="shared" si="5"/>
        <v>39.21</v>
      </c>
      <c r="Q1024" s="8">
        <v>0.0</v>
      </c>
      <c r="R1024" s="18">
        <f t="shared" si="6"/>
        <v>13.07</v>
      </c>
      <c r="S1024" s="19" t="s">
        <v>29</v>
      </c>
      <c r="T1024" s="19" t="s">
        <v>30</v>
      </c>
      <c r="U1024" s="20" t="s">
        <v>374</v>
      </c>
      <c r="V1024" s="37"/>
      <c r="W1024" s="7"/>
      <c r="X1024" s="7"/>
      <c r="Y1024" s="7"/>
      <c r="Z1024" s="7"/>
      <c r="AA1024" s="7"/>
    </row>
    <row r="1025" ht="18.75" customHeight="1">
      <c r="A1025" s="22" t="s">
        <v>1168</v>
      </c>
      <c r="B1025" s="102" t="s">
        <v>1178</v>
      </c>
      <c r="C1025" s="23" t="s">
        <v>294</v>
      </c>
      <c r="D1025" s="24">
        <v>2237.0</v>
      </c>
      <c r="E1025" s="23" t="s">
        <v>1293</v>
      </c>
      <c r="F1025" s="25" t="s">
        <v>26</v>
      </c>
      <c r="G1025" s="26" t="s">
        <v>27</v>
      </c>
      <c r="H1025" s="27">
        <v>65.35</v>
      </c>
      <c r="I1025" s="28">
        <v>5.0</v>
      </c>
      <c r="J1025" s="29" t="s">
        <v>28</v>
      </c>
      <c r="K1025" s="30">
        <v>0.4</v>
      </c>
      <c r="L1025" s="31">
        <f t="shared" si="1"/>
        <v>2</v>
      </c>
      <c r="M1025" s="31">
        <f t="shared" si="2"/>
        <v>3</v>
      </c>
      <c r="N1025" s="32">
        <f t="shared" si="3"/>
        <v>26.14</v>
      </c>
      <c r="O1025" s="32">
        <f t="shared" si="4"/>
        <v>39.21</v>
      </c>
      <c r="P1025" s="32">
        <f t="shared" si="5"/>
        <v>39.21</v>
      </c>
      <c r="Q1025" s="22">
        <v>0.0</v>
      </c>
      <c r="R1025" s="32">
        <f t="shared" si="6"/>
        <v>13.07</v>
      </c>
      <c r="S1025" s="33" t="s">
        <v>29</v>
      </c>
      <c r="T1025" s="33" t="s">
        <v>30</v>
      </c>
      <c r="U1025" s="34" t="s">
        <v>374</v>
      </c>
      <c r="V1025" s="35"/>
      <c r="W1025" s="7"/>
      <c r="X1025" s="7"/>
      <c r="Y1025" s="7"/>
      <c r="Z1025" s="7"/>
      <c r="AA1025" s="7"/>
    </row>
    <row r="1026" ht="18.75" customHeight="1">
      <c r="A1026" s="8" t="s">
        <v>1168</v>
      </c>
      <c r="B1026" s="103" t="s">
        <v>1178</v>
      </c>
      <c r="C1026" s="9" t="s">
        <v>294</v>
      </c>
      <c r="D1026" s="10">
        <v>2238.0</v>
      </c>
      <c r="E1026" s="9" t="s">
        <v>1293</v>
      </c>
      <c r="F1026" s="11" t="s">
        <v>26</v>
      </c>
      <c r="G1026" s="12" t="s">
        <v>27</v>
      </c>
      <c r="H1026" s="13">
        <v>65.35</v>
      </c>
      <c r="I1026" s="14">
        <v>5.0</v>
      </c>
      <c r="J1026" s="15" t="s">
        <v>28</v>
      </c>
      <c r="K1026" s="16">
        <v>0.4</v>
      </c>
      <c r="L1026" s="17">
        <f t="shared" si="1"/>
        <v>2</v>
      </c>
      <c r="M1026" s="17">
        <f t="shared" si="2"/>
        <v>3</v>
      </c>
      <c r="N1026" s="18">
        <f t="shared" si="3"/>
        <v>26.14</v>
      </c>
      <c r="O1026" s="18">
        <f t="shared" si="4"/>
        <v>39.21</v>
      </c>
      <c r="P1026" s="18">
        <f t="shared" si="5"/>
        <v>39.21</v>
      </c>
      <c r="Q1026" s="8">
        <v>0.0</v>
      </c>
      <c r="R1026" s="18">
        <f t="shared" si="6"/>
        <v>13.07</v>
      </c>
      <c r="S1026" s="19" t="s">
        <v>29</v>
      </c>
      <c r="T1026" s="19" t="s">
        <v>30</v>
      </c>
      <c r="U1026" s="20" t="s">
        <v>374</v>
      </c>
      <c r="V1026" s="37"/>
      <c r="W1026" s="7"/>
      <c r="X1026" s="7"/>
      <c r="Y1026" s="7"/>
      <c r="Z1026" s="7"/>
      <c r="AA1026" s="7"/>
    </row>
    <row r="1027" ht="18.75" customHeight="1">
      <c r="A1027" s="22" t="s">
        <v>1168</v>
      </c>
      <c r="B1027" s="102" t="s">
        <v>1178</v>
      </c>
      <c r="C1027" s="23" t="s">
        <v>294</v>
      </c>
      <c r="D1027" s="24">
        <v>2239.0</v>
      </c>
      <c r="E1027" s="23" t="s">
        <v>1294</v>
      </c>
      <c r="F1027" s="25" t="s">
        <v>26</v>
      </c>
      <c r="G1027" s="26" t="s">
        <v>27</v>
      </c>
      <c r="H1027" s="27">
        <v>65.35</v>
      </c>
      <c r="I1027" s="28">
        <v>5.0</v>
      </c>
      <c r="J1027" s="29" t="s">
        <v>28</v>
      </c>
      <c r="K1027" s="30">
        <v>0.4</v>
      </c>
      <c r="L1027" s="31">
        <f t="shared" si="1"/>
        <v>2</v>
      </c>
      <c r="M1027" s="31">
        <f t="shared" si="2"/>
        <v>3</v>
      </c>
      <c r="N1027" s="32">
        <f t="shared" si="3"/>
        <v>26.14</v>
      </c>
      <c r="O1027" s="32">
        <f t="shared" si="4"/>
        <v>39.21</v>
      </c>
      <c r="P1027" s="32">
        <f t="shared" si="5"/>
        <v>39.21</v>
      </c>
      <c r="Q1027" s="22">
        <v>0.0</v>
      </c>
      <c r="R1027" s="32">
        <f t="shared" si="6"/>
        <v>13.07</v>
      </c>
      <c r="S1027" s="33" t="s">
        <v>29</v>
      </c>
      <c r="T1027" s="33" t="s">
        <v>30</v>
      </c>
      <c r="U1027" s="34" t="s">
        <v>374</v>
      </c>
      <c r="V1027" s="35"/>
      <c r="W1027" s="7"/>
      <c r="X1027" s="7"/>
      <c r="Y1027" s="7"/>
      <c r="Z1027" s="7"/>
      <c r="AA1027" s="7"/>
    </row>
    <row r="1028" ht="18.75" customHeight="1">
      <c r="A1028" s="8" t="s">
        <v>1168</v>
      </c>
      <c r="B1028" s="103" t="s">
        <v>1178</v>
      </c>
      <c r="C1028" s="9" t="s">
        <v>294</v>
      </c>
      <c r="D1028" s="10">
        <v>2240.0</v>
      </c>
      <c r="E1028" s="9" t="s">
        <v>1294</v>
      </c>
      <c r="F1028" s="11" t="s">
        <v>26</v>
      </c>
      <c r="G1028" s="12" t="s">
        <v>27</v>
      </c>
      <c r="H1028" s="13">
        <v>65.35</v>
      </c>
      <c r="I1028" s="14">
        <v>5.0</v>
      </c>
      <c r="J1028" s="15" t="s">
        <v>28</v>
      </c>
      <c r="K1028" s="16">
        <v>0.4</v>
      </c>
      <c r="L1028" s="17">
        <f t="shared" si="1"/>
        <v>2</v>
      </c>
      <c r="M1028" s="17">
        <f t="shared" si="2"/>
        <v>3</v>
      </c>
      <c r="N1028" s="18">
        <f t="shared" si="3"/>
        <v>26.14</v>
      </c>
      <c r="O1028" s="18">
        <f t="shared" si="4"/>
        <v>39.21</v>
      </c>
      <c r="P1028" s="18">
        <f t="shared" si="5"/>
        <v>39.21</v>
      </c>
      <c r="Q1028" s="8">
        <v>0.0</v>
      </c>
      <c r="R1028" s="18">
        <f t="shared" si="6"/>
        <v>13.07</v>
      </c>
      <c r="S1028" s="19" t="s">
        <v>29</v>
      </c>
      <c r="T1028" s="19" t="s">
        <v>30</v>
      </c>
      <c r="U1028" s="20" t="s">
        <v>374</v>
      </c>
      <c r="V1028" s="37"/>
      <c r="W1028" s="7"/>
      <c r="X1028" s="7"/>
      <c r="Y1028" s="7"/>
      <c r="Z1028" s="7"/>
      <c r="AA1028" s="7"/>
    </row>
    <row r="1029" ht="18.75" customHeight="1">
      <c r="A1029" s="22" t="s">
        <v>1168</v>
      </c>
      <c r="B1029" s="23" t="s">
        <v>1184</v>
      </c>
      <c r="C1029" s="23" t="s">
        <v>844</v>
      </c>
      <c r="D1029" s="24">
        <v>2279.0</v>
      </c>
      <c r="E1029" s="23" t="s">
        <v>1295</v>
      </c>
      <c r="F1029" s="25" t="s">
        <v>37</v>
      </c>
      <c r="G1029" s="40"/>
      <c r="H1029" s="27">
        <v>969.0</v>
      </c>
      <c r="I1029" s="28">
        <v>10.0</v>
      </c>
      <c r="J1029" s="101" t="s">
        <v>54</v>
      </c>
      <c r="K1029" s="30">
        <v>0.3</v>
      </c>
      <c r="L1029" s="31">
        <f t="shared" si="1"/>
        <v>3</v>
      </c>
      <c r="M1029" s="31">
        <f t="shared" si="2"/>
        <v>7</v>
      </c>
      <c r="N1029" s="32">
        <f t="shared" si="3"/>
        <v>290.7</v>
      </c>
      <c r="O1029" s="32">
        <f t="shared" si="4"/>
        <v>678.3</v>
      </c>
      <c r="P1029" s="32">
        <f t="shared" si="5"/>
        <v>678.3</v>
      </c>
      <c r="Q1029" s="22">
        <v>0.0</v>
      </c>
      <c r="R1029" s="32">
        <f t="shared" si="6"/>
        <v>96.9</v>
      </c>
      <c r="S1029" s="33" t="s">
        <v>29</v>
      </c>
      <c r="T1029" s="33" t="s">
        <v>30</v>
      </c>
      <c r="U1029" s="38" t="s">
        <v>707</v>
      </c>
      <c r="V1029" s="35"/>
      <c r="W1029" s="7"/>
      <c r="X1029" s="7"/>
      <c r="Y1029" s="7"/>
      <c r="Z1029" s="7"/>
      <c r="AA1029" s="7"/>
    </row>
    <row r="1030" ht="18.75" customHeight="1">
      <c r="A1030" s="8" t="s">
        <v>1168</v>
      </c>
      <c r="B1030" s="9" t="s">
        <v>1228</v>
      </c>
      <c r="C1030" s="9" t="s">
        <v>1085</v>
      </c>
      <c r="D1030" s="10">
        <v>2283.0</v>
      </c>
      <c r="E1030" s="9" t="s">
        <v>1296</v>
      </c>
      <c r="F1030" s="11" t="s">
        <v>26</v>
      </c>
      <c r="G1030" s="39"/>
      <c r="H1030" s="13">
        <v>1089.0</v>
      </c>
      <c r="I1030" s="14">
        <v>5.0</v>
      </c>
      <c r="J1030" s="15" t="s">
        <v>38</v>
      </c>
      <c r="K1030" s="16">
        <v>0.5</v>
      </c>
      <c r="L1030" s="17">
        <f t="shared" si="1"/>
        <v>2.5</v>
      </c>
      <c r="M1030" s="17">
        <f t="shared" si="2"/>
        <v>2.5</v>
      </c>
      <c r="N1030" s="18">
        <f t="shared" si="3"/>
        <v>544.5</v>
      </c>
      <c r="O1030" s="18">
        <f t="shared" si="4"/>
        <v>544.5</v>
      </c>
      <c r="P1030" s="18">
        <f t="shared" si="5"/>
        <v>544.5</v>
      </c>
      <c r="Q1030" s="8">
        <v>0.0</v>
      </c>
      <c r="R1030" s="18">
        <f t="shared" si="6"/>
        <v>217.8</v>
      </c>
      <c r="S1030" s="19" t="s">
        <v>29</v>
      </c>
      <c r="T1030" s="19" t="s">
        <v>30</v>
      </c>
      <c r="U1030" s="36" t="s">
        <v>1297</v>
      </c>
      <c r="V1030" s="37"/>
      <c r="W1030" s="7"/>
      <c r="X1030" s="7"/>
      <c r="Y1030" s="7"/>
      <c r="Z1030" s="7"/>
      <c r="AA1030" s="7"/>
    </row>
    <row r="1031" ht="18.75" customHeight="1">
      <c r="A1031" s="22" t="s">
        <v>1168</v>
      </c>
      <c r="B1031" s="102" t="s">
        <v>1178</v>
      </c>
      <c r="C1031" s="23" t="s">
        <v>294</v>
      </c>
      <c r="D1031" s="24">
        <v>2284.0</v>
      </c>
      <c r="E1031" s="23" t="s">
        <v>1298</v>
      </c>
      <c r="F1031" s="25" t="s">
        <v>26</v>
      </c>
      <c r="G1031" s="26" t="s">
        <v>27</v>
      </c>
      <c r="H1031" s="27">
        <v>834.05</v>
      </c>
      <c r="I1031" s="28">
        <v>10.0</v>
      </c>
      <c r="J1031" s="45" t="s">
        <v>63</v>
      </c>
      <c r="K1031" s="30">
        <v>0.700000000000006</v>
      </c>
      <c r="L1031" s="31">
        <f t="shared" si="1"/>
        <v>7</v>
      </c>
      <c r="M1031" s="31">
        <f t="shared" si="2"/>
        <v>3</v>
      </c>
      <c r="N1031" s="32">
        <f t="shared" si="3"/>
        <v>583.835</v>
      </c>
      <c r="O1031" s="32">
        <f t="shared" si="4"/>
        <v>250.215</v>
      </c>
      <c r="P1031" s="32">
        <f t="shared" si="5"/>
        <v>250.215</v>
      </c>
      <c r="Q1031" s="22">
        <v>0.0</v>
      </c>
      <c r="R1031" s="32">
        <f t="shared" si="6"/>
        <v>83.405</v>
      </c>
      <c r="S1031" s="33" t="s">
        <v>29</v>
      </c>
      <c r="T1031" s="33" t="s">
        <v>30</v>
      </c>
      <c r="U1031" s="38" t="s">
        <v>559</v>
      </c>
      <c r="V1031" s="35"/>
      <c r="W1031" s="7"/>
      <c r="X1031" s="7"/>
      <c r="Y1031" s="7"/>
      <c r="Z1031" s="7"/>
      <c r="AA1031" s="7"/>
    </row>
    <row r="1032" ht="18.75" customHeight="1">
      <c r="A1032" s="8" t="s">
        <v>1168</v>
      </c>
      <c r="B1032" s="9" t="s">
        <v>1067</v>
      </c>
      <c r="C1032" s="9" t="s">
        <v>253</v>
      </c>
      <c r="D1032" s="10">
        <v>2286.0</v>
      </c>
      <c r="E1032" s="9" t="s">
        <v>1299</v>
      </c>
      <c r="F1032" s="11" t="s">
        <v>26</v>
      </c>
      <c r="G1032" s="39"/>
      <c r="H1032" s="13">
        <v>2954.84</v>
      </c>
      <c r="I1032" s="14">
        <v>10.0</v>
      </c>
      <c r="J1032" s="100" t="s">
        <v>54</v>
      </c>
      <c r="K1032" s="16">
        <v>0.3</v>
      </c>
      <c r="L1032" s="17">
        <f t="shared" si="1"/>
        <v>3</v>
      </c>
      <c r="M1032" s="17">
        <f t="shared" si="2"/>
        <v>7</v>
      </c>
      <c r="N1032" s="18">
        <f t="shared" si="3"/>
        <v>886.452</v>
      </c>
      <c r="O1032" s="18">
        <f t="shared" si="4"/>
        <v>2068.388</v>
      </c>
      <c r="P1032" s="18">
        <f t="shared" si="5"/>
        <v>2068.388</v>
      </c>
      <c r="Q1032" s="8">
        <v>0.0</v>
      </c>
      <c r="R1032" s="18">
        <f t="shared" si="6"/>
        <v>295.484</v>
      </c>
      <c r="S1032" s="19" t="s">
        <v>29</v>
      </c>
      <c r="T1032" s="19" t="s">
        <v>30</v>
      </c>
      <c r="U1032" s="36" t="s">
        <v>1300</v>
      </c>
      <c r="V1032" s="37"/>
      <c r="W1032" s="7"/>
      <c r="X1032" s="7"/>
      <c r="Y1032" s="7"/>
      <c r="Z1032" s="7"/>
      <c r="AA1032" s="7"/>
    </row>
    <row r="1033" ht="18.75" customHeight="1">
      <c r="A1033" s="22" t="s">
        <v>1168</v>
      </c>
      <c r="B1033" s="102" t="s">
        <v>1178</v>
      </c>
      <c r="C1033" s="23" t="s">
        <v>294</v>
      </c>
      <c r="D1033" s="24">
        <v>2293.0</v>
      </c>
      <c r="E1033" s="23" t="s">
        <v>1301</v>
      </c>
      <c r="F1033" s="25" t="s">
        <v>26</v>
      </c>
      <c r="G1033" s="26" t="s">
        <v>27</v>
      </c>
      <c r="H1033" s="27">
        <v>65.35</v>
      </c>
      <c r="I1033" s="28">
        <v>5.0</v>
      </c>
      <c r="J1033" s="101" t="s">
        <v>54</v>
      </c>
      <c r="K1033" s="30">
        <v>0.3</v>
      </c>
      <c r="L1033" s="31">
        <f t="shared" si="1"/>
        <v>1.5</v>
      </c>
      <c r="M1033" s="31">
        <f t="shared" si="2"/>
        <v>3.5</v>
      </c>
      <c r="N1033" s="32">
        <f t="shared" si="3"/>
        <v>19.605</v>
      </c>
      <c r="O1033" s="32">
        <f t="shared" si="4"/>
        <v>45.745</v>
      </c>
      <c r="P1033" s="32">
        <f t="shared" si="5"/>
        <v>45.745</v>
      </c>
      <c r="Q1033" s="22">
        <v>0.0</v>
      </c>
      <c r="R1033" s="32">
        <f t="shared" si="6"/>
        <v>13.07</v>
      </c>
      <c r="S1033" s="33" t="s">
        <v>29</v>
      </c>
      <c r="T1033" s="33" t="s">
        <v>30</v>
      </c>
      <c r="U1033" s="34" t="s">
        <v>374</v>
      </c>
      <c r="V1033" s="35"/>
      <c r="W1033" s="7"/>
      <c r="X1033" s="7"/>
      <c r="Y1033" s="7"/>
      <c r="Z1033" s="7"/>
      <c r="AA1033" s="7"/>
    </row>
    <row r="1034" ht="18.75" customHeight="1">
      <c r="A1034" s="8" t="s">
        <v>1168</v>
      </c>
      <c r="B1034" s="103" t="s">
        <v>1178</v>
      </c>
      <c r="C1034" s="9" t="s">
        <v>294</v>
      </c>
      <c r="D1034" s="10">
        <v>2294.0</v>
      </c>
      <c r="E1034" s="9" t="s">
        <v>1302</v>
      </c>
      <c r="F1034" s="11" t="s">
        <v>26</v>
      </c>
      <c r="G1034" s="12" t="s">
        <v>27</v>
      </c>
      <c r="H1034" s="13">
        <v>65.35</v>
      </c>
      <c r="I1034" s="14">
        <v>5.0</v>
      </c>
      <c r="J1034" s="100" t="s">
        <v>54</v>
      </c>
      <c r="K1034" s="16">
        <v>0.3</v>
      </c>
      <c r="L1034" s="17">
        <f t="shared" si="1"/>
        <v>1.5</v>
      </c>
      <c r="M1034" s="17">
        <f t="shared" si="2"/>
        <v>3.5</v>
      </c>
      <c r="N1034" s="18">
        <f t="shared" si="3"/>
        <v>19.605</v>
      </c>
      <c r="O1034" s="18">
        <f t="shared" si="4"/>
        <v>45.745</v>
      </c>
      <c r="P1034" s="18">
        <f t="shared" si="5"/>
        <v>45.745</v>
      </c>
      <c r="Q1034" s="8">
        <v>0.0</v>
      </c>
      <c r="R1034" s="18">
        <f t="shared" si="6"/>
        <v>13.07</v>
      </c>
      <c r="S1034" s="19" t="s">
        <v>29</v>
      </c>
      <c r="T1034" s="19" t="s">
        <v>30</v>
      </c>
      <c r="U1034" s="20" t="s">
        <v>374</v>
      </c>
      <c r="V1034" s="37"/>
      <c r="W1034" s="7"/>
      <c r="X1034" s="7"/>
      <c r="Y1034" s="7"/>
      <c r="Z1034" s="7"/>
      <c r="AA1034" s="7"/>
    </row>
    <row r="1035" ht="18.75" customHeight="1">
      <c r="A1035" s="22" t="s">
        <v>1168</v>
      </c>
      <c r="B1035" s="102" t="s">
        <v>1178</v>
      </c>
      <c r="C1035" s="23" t="s">
        <v>294</v>
      </c>
      <c r="D1035" s="24">
        <v>2297.0</v>
      </c>
      <c r="E1035" s="23" t="s">
        <v>1303</v>
      </c>
      <c r="F1035" s="25" t="s">
        <v>26</v>
      </c>
      <c r="G1035" s="26" t="s">
        <v>27</v>
      </c>
      <c r="H1035" s="27">
        <v>65.35</v>
      </c>
      <c r="I1035" s="28">
        <v>5.0</v>
      </c>
      <c r="J1035" s="29" t="s">
        <v>28</v>
      </c>
      <c r="K1035" s="30">
        <v>0.4</v>
      </c>
      <c r="L1035" s="31">
        <f t="shared" si="1"/>
        <v>2</v>
      </c>
      <c r="M1035" s="31">
        <f t="shared" si="2"/>
        <v>3</v>
      </c>
      <c r="N1035" s="32">
        <f t="shared" si="3"/>
        <v>26.14</v>
      </c>
      <c r="O1035" s="32">
        <f t="shared" si="4"/>
        <v>39.21</v>
      </c>
      <c r="P1035" s="32">
        <f t="shared" si="5"/>
        <v>39.21</v>
      </c>
      <c r="Q1035" s="22">
        <v>0.0</v>
      </c>
      <c r="R1035" s="32">
        <f t="shared" si="6"/>
        <v>13.07</v>
      </c>
      <c r="S1035" s="33" t="s">
        <v>29</v>
      </c>
      <c r="T1035" s="33" t="s">
        <v>30</v>
      </c>
      <c r="U1035" s="34" t="s">
        <v>374</v>
      </c>
      <c r="V1035" s="35"/>
      <c r="W1035" s="7"/>
      <c r="X1035" s="7"/>
      <c r="Y1035" s="7"/>
      <c r="Z1035" s="7"/>
      <c r="AA1035" s="7"/>
    </row>
    <row r="1036" ht="18.75" customHeight="1">
      <c r="A1036" s="8" t="s">
        <v>1168</v>
      </c>
      <c r="B1036" s="103" t="s">
        <v>1178</v>
      </c>
      <c r="C1036" s="9" t="s">
        <v>294</v>
      </c>
      <c r="D1036" s="10">
        <v>2298.0</v>
      </c>
      <c r="E1036" s="9" t="s">
        <v>1303</v>
      </c>
      <c r="F1036" s="11" t="s">
        <v>26</v>
      </c>
      <c r="G1036" s="12" t="s">
        <v>27</v>
      </c>
      <c r="H1036" s="13">
        <v>65.35</v>
      </c>
      <c r="I1036" s="14">
        <v>5.0</v>
      </c>
      <c r="J1036" s="15" t="s">
        <v>28</v>
      </c>
      <c r="K1036" s="16">
        <v>0.4</v>
      </c>
      <c r="L1036" s="17">
        <f t="shared" si="1"/>
        <v>2</v>
      </c>
      <c r="M1036" s="17">
        <f t="shared" si="2"/>
        <v>3</v>
      </c>
      <c r="N1036" s="18">
        <f t="shared" si="3"/>
        <v>26.14</v>
      </c>
      <c r="O1036" s="18">
        <f t="shared" si="4"/>
        <v>39.21</v>
      </c>
      <c r="P1036" s="18">
        <f t="shared" si="5"/>
        <v>39.21</v>
      </c>
      <c r="Q1036" s="8">
        <v>0.0</v>
      </c>
      <c r="R1036" s="18">
        <f t="shared" si="6"/>
        <v>13.07</v>
      </c>
      <c r="S1036" s="19" t="s">
        <v>29</v>
      </c>
      <c r="T1036" s="19" t="s">
        <v>30</v>
      </c>
      <c r="U1036" s="20" t="s">
        <v>374</v>
      </c>
      <c r="V1036" s="37"/>
      <c r="W1036" s="7"/>
      <c r="X1036" s="7"/>
      <c r="Y1036" s="7"/>
      <c r="Z1036" s="7"/>
      <c r="AA1036" s="7"/>
    </row>
    <row r="1037" ht="18.75" customHeight="1">
      <c r="A1037" s="22" t="s">
        <v>1168</v>
      </c>
      <c r="B1037" s="102" t="s">
        <v>1178</v>
      </c>
      <c r="C1037" s="23" t="s">
        <v>294</v>
      </c>
      <c r="D1037" s="24">
        <v>2299.0</v>
      </c>
      <c r="E1037" s="23" t="s">
        <v>1304</v>
      </c>
      <c r="F1037" s="25" t="s">
        <v>26</v>
      </c>
      <c r="G1037" s="26" t="s">
        <v>27</v>
      </c>
      <c r="H1037" s="27">
        <v>65.35</v>
      </c>
      <c r="I1037" s="28">
        <v>5.0</v>
      </c>
      <c r="J1037" s="29" t="s">
        <v>28</v>
      </c>
      <c r="K1037" s="30">
        <v>0.4</v>
      </c>
      <c r="L1037" s="31">
        <f t="shared" si="1"/>
        <v>2</v>
      </c>
      <c r="M1037" s="31">
        <f t="shared" si="2"/>
        <v>3</v>
      </c>
      <c r="N1037" s="32">
        <f t="shared" si="3"/>
        <v>26.14</v>
      </c>
      <c r="O1037" s="32">
        <f t="shared" si="4"/>
        <v>39.21</v>
      </c>
      <c r="P1037" s="32">
        <f t="shared" si="5"/>
        <v>39.21</v>
      </c>
      <c r="Q1037" s="22">
        <v>0.0</v>
      </c>
      <c r="R1037" s="32">
        <f t="shared" si="6"/>
        <v>13.07</v>
      </c>
      <c r="S1037" s="33" t="s">
        <v>29</v>
      </c>
      <c r="T1037" s="33" t="s">
        <v>30</v>
      </c>
      <c r="U1037" s="34" t="s">
        <v>374</v>
      </c>
      <c r="V1037" s="35"/>
      <c r="W1037" s="7"/>
      <c r="X1037" s="7"/>
      <c r="Y1037" s="7"/>
      <c r="Z1037" s="7"/>
      <c r="AA1037" s="7"/>
    </row>
    <row r="1038" ht="18.75" customHeight="1">
      <c r="A1038" s="8" t="s">
        <v>1168</v>
      </c>
      <c r="B1038" s="103" t="s">
        <v>1178</v>
      </c>
      <c r="C1038" s="9" t="s">
        <v>294</v>
      </c>
      <c r="D1038" s="10">
        <v>2300.0</v>
      </c>
      <c r="E1038" s="9" t="s">
        <v>1304</v>
      </c>
      <c r="F1038" s="11" t="s">
        <v>26</v>
      </c>
      <c r="G1038" s="12" t="s">
        <v>27</v>
      </c>
      <c r="H1038" s="13">
        <v>65.35</v>
      </c>
      <c r="I1038" s="14">
        <v>5.0</v>
      </c>
      <c r="J1038" s="15" t="s">
        <v>28</v>
      </c>
      <c r="K1038" s="16">
        <v>0.4</v>
      </c>
      <c r="L1038" s="17">
        <f t="shared" si="1"/>
        <v>2</v>
      </c>
      <c r="M1038" s="17">
        <f t="shared" si="2"/>
        <v>3</v>
      </c>
      <c r="N1038" s="18">
        <f t="shared" si="3"/>
        <v>26.14</v>
      </c>
      <c r="O1038" s="18">
        <f t="shared" si="4"/>
        <v>39.21</v>
      </c>
      <c r="P1038" s="18">
        <f t="shared" si="5"/>
        <v>39.21</v>
      </c>
      <c r="Q1038" s="8">
        <v>0.0</v>
      </c>
      <c r="R1038" s="18">
        <f t="shared" si="6"/>
        <v>13.07</v>
      </c>
      <c r="S1038" s="19" t="s">
        <v>29</v>
      </c>
      <c r="T1038" s="19" t="s">
        <v>30</v>
      </c>
      <c r="U1038" s="20" t="s">
        <v>374</v>
      </c>
      <c r="V1038" s="37"/>
      <c r="W1038" s="7"/>
      <c r="X1038" s="7"/>
      <c r="Y1038" s="7"/>
      <c r="Z1038" s="7"/>
      <c r="AA1038" s="7"/>
    </row>
    <row r="1039" ht="18.75" customHeight="1">
      <c r="A1039" s="22" t="s">
        <v>1168</v>
      </c>
      <c r="B1039" s="102" t="s">
        <v>1178</v>
      </c>
      <c r="C1039" s="23" t="s">
        <v>294</v>
      </c>
      <c r="D1039" s="24">
        <v>2301.0</v>
      </c>
      <c r="E1039" s="23" t="s">
        <v>1305</v>
      </c>
      <c r="F1039" s="25" t="s">
        <v>26</v>
      </c>
      <c r="G1039" s="26" t="s">
        <v>27</v>
      </c>
      <c r="H1039" s="27">
        <v>65.35</v>
      </c>
      <c r="I1039" s="28">
        <v>5.0</v>
      </c>
      <c r="J1039" s="101" t="s">
        <v>54</v>
      </c>
      <c r="K1039" s="30">
        <v>0.3</v>
      </c>
      <c r="L1039" s="31">
        <f t="shared" si="1"/>
        <v>1.5</v>
      </c>
      <c r="M1039" s="31">
        <f t="shared" si="2"/>
        <v>3.5</v>
      </c>
      <c r="N1039" s="32">
        <f t="shared" si="3"/>
        <v>19.605</v>
      </c>
      <c r="O1039" s="32">
        <f t="shared" si="4"/>
        <v>45.745</v>
      </c>
      <c r="P1039" s="32">
        <f t="shared" si="5"/>
        <v>45.745</v>
      </c>
      <c r="Q1039" s="22">
        <v>0.0</v>
      </c>
      <c r="R1039" s="32">
        <f t="shared" si="6"/>
        <v>13.07</v>
      </c>
      <c r="S1039" s="33" t="s">
        <v>29</v>
      </c>
      <c r="T1039" s="33" t="s">
        <v>30</v>
      </c>
      <c r="U1039" s="34" t="s">
        <v>374</v>
      </c>
      <c r="V1039" s="35"/>
      <c r="W1039" s="7"/>
      <c r="X1039" s="7"/>
      <c r="Y1039" s="7"/>
      <c r="Z1039" s="7"/>
      <c r="AA1039" s="7"/>
    </row>
    <row r="1040" ht="18.75" customHeight="1">
      <c r="A1040" s="8" t="s">
        <v>1168</v>
      </c>
      <c r="B1040" s="103" t="s">
        <v>1178</v>
      </c>
      <c r="C1040" s="9" t="s">
        <v>294</v>
      </c>
      <c r="D1040" s="10">
        <v>2302.0</v>
      </c>
      <c r="E1040" s="9" t="s">
        <v>1305</v>
      </c>
      <c r="F1040" s="11" t="s">
        <v>26</v>
      </c>
      <c r="G1040" s="12" t="s">
        <v>27</v>
      </c>
      <c r="H1040" s="13">
        <v>65.35</v>
      </c>
      <c r="I1040" s="14">
        <v>5.0</v>
      </c>
      <c r="J1040" s="100" t="s">
        <v>54</v>
      </c>
      <c r="K1040" s="16">
        <v>0.3</v>
      </c>
      <c r="L1040" s="17">
        <f t="shared" si="1"/>
        <v>1.5</v>
      </c>
      <c r="M1040" s="17">
        <f t="shared" si="2"/>
        <v>3.5</v>
      </c>
      <c r="N1040" s="18">
        <f t="shared" si="3"/>
        <v>19.605</v>
      </c>
      <c r="O1040" s="18">
        <f t="shared" si="4"/>
        <v>45.745</v>
      </c>
      <c r="P1040" s="18">
        <f t="shared" si="5"/>
        <v>45.745</v>
      </c>
      <c r="Q1040" s="8">
        <v>0.0</v>
      </c>
      <c r="R1040" s="18">
        <f t="shared" si="6"/>
        <v>13.07</v>
      </c>
      <c r="S1040" s="19" t="s">
        <v>29</v>
      </c>
      <c r="T1040" s="19" t="s">
        <v>30</v>
      </c>
      <c r="U1040" s="20" t="s">
        <v>374</v>
      </c>
      <c r="V1040" s="37"/>
      <c r="W1040" s="7"/>
      <c r="X1040" s="7"/>
      <c r="Y1040" s="7"/>
      <c r="Z1040" s="7"/>
      <c r="AA1040" s="7"/>
    </row>
    <row r="1041" ht="18.75" customHeight="1">
      <c r="A1041" s="22" t="s">
        <v>1168</v>
      </c>
      <c r="B1041" s="102" t="s">
        <v>1178</v>
      </c>
      <c r="C1041" s="23" t="s">
        <v>294</v>
      </c>
      <c r="D1041" s="24">
        <v>2303.0</v>
      </c>
      <c r="E1041" s="23" t="s">
        <v>1306</v>
      </c>
      <c r="F1041" s="25" t="s">
        <v>26</v>
      </c>
      <c r="G1041" s="26" t="s">
        <v>27</v>
      </c>
      <c r="H1041" s="27">
        <v>65.35</v>
      </c>
      <c r="I1041" s="28">
        <v>5.0</v>
      </c>
      <c r="J1041" s="29" t="s">
        <v>28</v>
      </c>
      <c r="K1041" s="30">
        <v>0.4</v>
      </c>
      <c r="L1041" s="31">
        <f t="shared" si="1"/>
        <v>2</v>
      </c>
      <c r="M1041" s="31">
        <f t="shared" si="2"/>
        <v>3</v>
      </c>
      <c r="N1041" s="32">
        <f t="shared" si="3"/>
        <v>26.14</v>
      </c>
      <c r="O1041" s="32">
        <f t="shared" si="4"/>
        <v>39.21</v>
      </c>
      <c r="P1041" s="32">
        <f t="shared" si="5"/>
        <v>39.21</v>
      </c>
      <c r="Q1041" s="22">
        <v>0.0</v>
      </c>
      <c r="R1041" s="32">
        <f t="shared" si="6"/>
        <v>13.07</v>
      </c>
      <c r="S1041" s="33" t="s">
        <v>29</v>
      </c>
      <c r="T1041" s="33" t="s">
        <v>30</v>
      </c>
      <c r="U1041" s="34" t="s">
        <v>374</v>
      </c>
      <c r="V1041" s="35"/>
      <c r="W1041" s="7"/>
      <c r="X1041" s="7"/>
      <c r="Y1041" s="7"/>
      <c r="Z1041" s="7"/>
      <c r="AA1041" s="7"/>
    </row>
    <row r="1042" ht="18.75" customHeight="1">
      <c r="A1042" s="8" t="s">
        <v>1168</v>
      </c>
      <c r="B1042" s="103" t="s">
        <v>1178</v>
      </c>
      <c r="C1042" s="9" t="s">
        <v>294</v>
      </c>
      <c r="D1042" s="10">
        <v>2304.0</v>
      </c>
      <c r="E1042" s="9" t="s">
        <v>1306</v>
      </c>
      <c r="F1042" s="11" t="s">
        <v>26</v>
      </c>
      <c r="G1042" s="12" t="s">
        <v>27</v>
      </c>
      <c r="H1042" s="13">
        <v>65.35</v>
      </c>
      <c r="I1042" s="14">
        <v>5.0</v>
      </c>
      <c r="J1042" s="15" t="s">
        <v>28</v>
      </c>
      <c r="K1042" s="16">
        <v>0.4</v>
      </c>
      <c r="L1042" s="17">
        <f t="shared" si="1"/>
        <v>2</v>
      </c>
      <c r="M1042" s="17">
        <f t="shared" si="2"/>
        <v>3</v>
      </c>
      <c r="N1042" s="18">
        <f t="shared" si="3"/>
        <v>26.14</v>
      </c>
      <c r="O1042" s="18">
        <f t="shared" si="4"/>
        <v>39.21</v>
      </c>
      <c r="P1042" s="18">
        <f t="shared" si="5"/>
        <v>39.21</v>
      </c>
      <c r="Q1042" s="8">
        <v>0.0</v>
      </c>
      <c r="R1042" s="18">
        <f t="shared" si="6"/>
        <v>13.07</v>
      </c>
      <c r="S1042" s="19" t="s">
        <v>29</v>
      </c>
      <c r="T1042" s="19" t="s">
        <v>30</v>
      </c>
      <c r="U1042" s="20" t="s">
        <v>374</v>
      </c>
      <c r="V1042" s="37"/>
      <c r="W1042" s="7"/>
      <c r="X1042" s="7"/>
      <c r="Y1042" s="7"/>
      <c r="Z1042" s="7"/>
      <c r="AA1042" s="7"/>
    </row>
    <row r="1043" ht="18.75" customHeight="1">
      <c r="A1043" s="22" t="s">
        <v>1168</v>
      </c>
      <c r="B1043" s="102" t="s">
        <v>1178</v>
      </c>
      <c r="C1043" s="23" t="s">
        <v>294</v>
      </c>
      <c r="D1043" s="24">
        <v>2305.0</v>
      </c>
      <c r="E1043" s="23" t="s">
        <v>1307</v>
      </c>
      <c r="F1043" s="25" t="s">
        <v>26</v>
      </c>
      <c r="G1043" s="26" t="s">
        <v>27</v>
      </c>
      <c r="H1043" s="27">
        <v>471.75</v>
      </c>
      <c r="I1043" s="28">
        <v>5.0</v>
      </c>
      <c r="J1043" s="101" t="s">
        <v>143</v>
      </c>
      <c r="K1043" s="30"/>
      <c r="L1043" s="31">
        <f t="shared" si="1"/>
        <v>0</v>
      </c>
      <c r="M1043" s="31">
        <f t="shared" si="2"/>
        <v>5</v>
      </c>
      <c r="N1043" s="32">
        <f t="shared" si="3"/>
        <v>0</v>
      </c>
      <c r="O1043" s="32">
        <f t="shared" si="4"/>
        <v>471.75</v>
      </c>
      <c r="P1043" s="32">
        <f t="shared" si="5"/>
        <v>471.75</v>
      </c>
      <c r="Q1043" s="22">
        <v>0.0</v>
      </c>
      <c r="R1043" s="32">
        <f t="shared" si="6"/>
        <v>94.35</v>
      </c>
      <c r="S1043" s="33" t="s">
        <v>29</v>
      </c>
      <c r="T1043" s="33" t="s">
        <v>30</v>
      </c>
      <c r="U1043" s="38" t="s">
        <v>370</v>
      </c>
      <c r="V1043" s="35"/>
      <c r="W1043" s="7"/>
      <c r="X1043" s="7"/>
      <c r="Y1043" s="7"/>
      <c r="Z1043" s="7"/>
      <c r="AA1043" s="7"/>
    </row>
    <row r="1044" ht="18.75" customHeight="1">
      <c r="A1044" s="8" t="s">
        <v>1168</v>
      </c>
      <c r="B1044" s="103" t="s">
        <v>1178</v>
      </c>
      <c r="C1044" s="9" t="s">
        <v>294</v>
      </c>
      <c r="D1044" s="10">
        <v>2308.0</v>
      </c>
      <c r="E1044" s="9" t="s">
        <v>1308</v>
      </c>
      <c r="F1044" s="11" t="s">
        <v>37</v>
      </c>
      <c r="G1044" s="39"/>
      <c r="H1044" s="13">
        <v>349.99</v>
      </c>
      <c r="I1044" s="14">
        <v>10.0</v>
      </c>
      <c r="J1044" s="15" t="s">
        <v>38</v>
      </c>
      <c r="K1044" s="16">
        <v>0.5</v>
      </c>
      <c r="L1044" s="17">
        <f t="shared" si="1"/>
        <v>5</v>
      </c>
      <c r="M1044" s="17">
        <f t="shared" si="2"/>
        <v>5</v>
      </c>
      <c r="N1044" s="18">
        <f t="shared" si="3"/>
        <v>174.995</v>
      </c>
      <c r="O1044" s="18">
        <f t="shared" si="4"/>
        <v>174.995</v>
      </c>
      <c r="P1044" s="18">
        <f t="shared" si="5"/>
        <v>174.995</v>
      </c>
      <c r="Q1044" s="8">
        <v>0.0</v>
      </c>
      <c r="R1044" s="18">
        <f t="shared" si="6"/>
        <v>34.999</v>
      </c>
      <c r="S1044" s="19" t="s">
        <v>29</v>
      </c>
      <c r="T1044" s="19" t="s">
        <v>30</v>
      </c>
      <c r="U1044" s="36" t="s">
        <v>1309</v>
      </c>
      <c r="V1044" s="37"/>
      <c r="W1044" s="7"/>
      <c r="X1044" s="7"/>
      <c r="Y1044" s="7"/>
      <c r="Z1044" s="7"/>
      <c r="AA1044" s="7"/>
    </row>
    <row r="1045" ht="18.75" customHeight="1">
      <c r="A1045" s="22" t="s">
        <v>1168</v>
      </c>
      <c r="B1045" s="102" t="s">
        <v>1178</v>
      </c>
      <c r="C1045" s="23" t="s">
        <v>294</v>
      </c>
      <c r="D1045" s="24">
        <v>2311.0</v>
      </c>
      <c r="E1045" s="23" t="s">
        <v>1310</v>
      </c>
      <c r="F1045" s="25" t="s">
        <v>26</v>
      </c>
      <c r="G1045" s="26" t="s">
        <v>27</v>
      </c>
      <c r="H1045" s="27">
        <v>65.35</v>
      </c>
      <c r="I1045" s="28">
        <v>5.0</v>
      </c>
      <c r="J1045" s="29" t="s">
        <v>28</v>
      </c>
      <c r="K1045" s="30">
        <v>0.4</v>
      </c>
      <c r="L1045" s="31">
        <f t="shared" si="1"/>
        <v>2</v>
      </c>
      <c r="M1045" s="31">
        <f t="shared" si="2"/>
        <v>3</v>
      </c>
      <c r="N1045" s="32">
        <f t="shared" si="3"/>
        <v>26.14</v>
      </c>
      <c r="O1045" s="32">
        <f t="shared" si="4"/>
        <v>39.21</v>
      </c>
      <c r="P1045" s="32">
        <f t="shared" si="5"/>
        <v>39.21</v>
      </c>
      <c r="Q1045" s="22">
        <v>0.0</v>
      </c>
      <c r="R1045" s="32">
        <f t="shared" si="6"/>
        <v>13.07</v>
      </c>
      <c r="S1045" s="33" t="s">
        <v>29</v>
      </c>
      <c r="T1045" s="33" t="s">
        <v>30</v>
      </c>
      <c r="U1045" s="34" t="s">
        <v>374</v>
      </c>
      <c r="V1045" s="35"/>
      <c r="W1045" s="7"/>
      <c r="X1045" s="7"/>
      <c r="Y1045" s="7"/>
      <c r="Z1045" s="7"/>
      <c r="AA1045" s="7"/>
    </row>
    <row r="1046" ht="18.75" customHeight="1">
      <c r="A1046" s="8" t="s">
        <v>1168</v>
      </c>
      <c r="B1046" s="103" t="s">
        <v>1178</v>
      </c>
      <c r="C1046" s="9" t="s">
        <v>294</v>
      </c>
      <c r="D1046" s="10">
        <v>2312.0</v>
      </c>
      <c r="E1046" s="9" t="s">
        <v>1310</v>
      </c>
      <c r="F1046" s="11" t="s">
        <v>26</v>
      </c>
      <c r="G1046" s="12" t="s">
        <v>27</v>
      </c>
      <c r="H1046" s="13">
        <v>65.35</v>
      </c>
      <c r="I1046" s="14">
        <v>5.0</v>
      </c>
      <c r="J1046" s="15" t="s">
        <v>28</v>
      </c>
      <c r="K1046" s="16">
        <v>0.4</v>
      </c>
      <c r="L1046" s="17">
        <f t="shared" si="1"/>
        <v>2</v>
      </c>
      <c r="M1046" s="17">
        <f t="shared" si="2"/>
        <v>3</v>
      </c>
      <c r="N1046" s="18">
        <f t="shared" si="3"/>
        <v>26.14</v>
      </c>
      <c r="O1046" s="18">
        <f t="shared" si="4"/>
        <v>39.21</v>
      </c>
      <c r="P1046" s="18">
        <f t="shared" si="5"/>
        <v>39.21</v>
      </c>
      <c r="Q1046" s="8">
        <v>0.0</v>
      </c>
      <c r="R1046" s="18">
        <f t="shared" si="6"/>
        <v>13.07</v>
      </c>
      <c r="S1046" s="19" t="s">
        <v>29</v>
      </c>
      <c r="T1046" s="19" t="s">
        <v>30</v>
      </c>
      <c r="U1046" s="20" t="s">
        <v>374</v>
      </c>
      <c r="V1046" s="37"/>
      <c r="W1046" s="7"/>
      <c r="X1046" s="7"/>
      <c r="Y1046" s="7"/>
      <c r="Z1046" s="7"/>
      <c r="AA1046" s="7"/>
    </row>
    <row r="1047" ht="18.75" customHeight="1">
      <c r="A1047" s="22" t="s">
        <v>1168</v>
      </c>
      <c r="B1047" s="102" t="s">
        <v>1178</v>
      </c>
      <c r="C1047" s="23" t="s">
        <v>294</v>
      </c>
      <c r="D1047" s="24">
        <v>2313.0</v>
      </c>
      <c r="E1047" s="23" t="s">
        <v>1311</v>
      </c>
      <c r="F1047" s="25" t="s">
        <v>26</v>
      </c>
      <c r="G1047" s="26" t="s">
        <v>27</v>
      </c>
      <c r="H1047" s="27">
        <v>65.35</v>
      </c>
      <c r="I1047" s="28">
        <v>5.0</v>
      </c>
      <c r="J1047" s="29" t="s">
        <v>28</v>
      </c>
      <c r="K1047" s="30">
        <v>0.4</v>
      </c>
      <c r="L1047" s="31">
        <f t="shared" si="1"/>
        <v>2</v>
      </c>
      <c r="M1047" s="31">
        <f t="shared" si="2"/>
        <v>3</v>
      </c>
      <c r="N1047" s="32">
        <f t="shared" si="3"/>
        <v>26.14</v>
      </c>
      <c r="O1047" s="32">
        <f t="shared" si="4"/>
        <v>39.21</v>
      </c>
      <c r="P1047" s="32">
        <f t="shared" si="5"/>
        <v>39.21</v>
      </c>
      <c r="Q1047" s="22">
        <v>0.0</v>
      </c>
      <c r="R1047" s="32">
        <f t="shared" si="6"/>
        <v>13.07</v>
      </c>
      <c r="S1047" s="33" t="s">
        <v>29</v>
      </c>
      <c r="T1047" s="33" t="s">
        <v>30</v>
      </c>
      <c r="U1047" s="34" t="s">
        <v>374</v>
      </c>
      <c r="V1047" s="35"/>
      <c r="W1047" s="7"/>
      <c r="X1047" s="7"/>
      <c r="Y1047" s="7"/>
      <c r="Z1047" s="7"/>
      <c r="AA1047" s="7"/>
    </row>
    <row r="1048" ht="18.75" customHeight="1">
      <c r="A1048" s="8" t="s">
        <v>1168</v>
      </c>
      <c r="B1048" s="103" t="s">
        <v>1178</v>
      </c>
      <c r="C1048" s="9" t="s">
        <v>294</v>
      </c>
      <c r="D1048" s="10">
        <v>2314.0</v>
      </c>
      <c r="E1048" s="9" t="s">
        <v>1311</v>
      </c>
      <c r="F1048" s="11" t="s">
        <v>26</v>
      </c>
      <c r="G1048" s="12" t="s">
        <v>27</v>
      </c>
      <c r="H1048" s="13">
        <v>65.35</v>
      </c>
      <c r="I1048" s="14">
        <v>5.0</v>
      </c>
      <c r="J1048" s="15" t="s">
        <v>28</v>
      </c>
      <c r="K1048" s="16">
        <v>0.4</v>
      </c>
      <c r="L1048" s="17">
        <f t="shared" si="1"/>
        <v>2</v>
      </c>
      <c r="M1048" s="17">
        <f t="shared" si="2"/>
        <v>3</v>
      </c>
      <c r="N1048" s="18">
        <f t="shared" si="3"/>
        <v>26.14</v>
      </c>
      <c r="O1048" s="18">
        <f t="shared" si="4"/>
        <v>39.21</v>
      </c>
      <c r="P1048" s="18">
        <f t="shared" si="5"/>
        <v>39.21</v>
      </c>
      <c r="Q1048" s="8">
        <v>0.0</v>
      </c>
      <c r="R1048" s="18">
        <f t="shared" si="6"/>
        <v>13.07</v>
      </c>
      <c r="S1048" s="19" t="s">
        <v>29</v>
      </c>
      <c r="T1048" s="19" t="s">
        <v>30</v>
      </c>
      <c r="U1048" s="20" t="s">
        <v>374</v>
      </c>
      <c r="V1048" s="37"/>
      <c r="W1048" s="7"/>
      <c r="X1048" s="7"/>
      <c r="Y1048" s="7"/>
      <c r="Z1048" s="7"/>
      <c r="AA1048" s="7"/>
    </row>
    <row r="1049" ht="18.75" customHeight="1">
      <c r="A1049" s="22" t="s">
        <v>1168</v>
      </c>
      <c r="B1049" s="102" t="s">
        <v>1178</v>
      </c>
      <c r="C1049" s="23" t="s">
        <v>294</v>
      </c>
      <c r="D1049" s="24">
        <v>2315.0</v>
      </c>
      <c r="E1049" s="23" t="s">
        <v>1312</v>
      </c>
      <c r="F1049" s="25" t="s">
        <v>26</v>
      </c>
      <c r="G1049" s="26" t="s">
        <v>27</v>
      </c>
      <c r="H1049" s="27">
        <v>65.35</v>
      </c>
      <c r="I1049" s="28">
        <v>5.0</v>
      </c>
      <c r="J1049" s="101" t="s">
        <v>54</v>
      </c>
      <c r="K1049" s="30">
        <v>0.3</v>
      </c>
      <c r="L1049" s="31">
        <f t="shared" si="1"/>
        <v>1.5</v>
      </c>
      <c r="M1049" s="31">
        <f t="shared" si="2"/>
        <v>3.5</v>
      </c>
      <c r="N1049" s="32">
        <f t="shared" si="3"/>
        <v>19.605</v>
      </c>
      <c r="O1049" s="32">
        <f t="shared" si="4"/>
        <v>45.745</v>
      </c>
      <c r="P1049" s="32">
        <f t="shared" si="5"/>
        <v>45.745</v>
      </c>
      <c r="Q1049" s="22">
        <v>0.0</v>
      </c>
      <c r="R1049" s="32">
        <f t="shared" si="6"/>
        <v>13.07</v>
      </c>
      <c r="S1049" s="33" t="s">
        <v>29</v>
      </c>
      <c r="T1049" s="33" t="s">
        <v>30</v>
      </c>
      <c r="U1049" s="34" t="s">
        <v>374</v>
      </c>
      <c r="V1049" s="35"/>
      <c r="W1049" s="7"/>
      <c r="X1049" s="7"/>
      <c r="Y1049" s="7"/>
      <c r="Z1049" s="7"/>
      <c r="AA1049" s="7"/>
    </row>
    <row r="1050" ht="18.75" customHeight="1">
      <c r="A1050" s="8" t="s">
        <v>1168</v>
      </c>
      <c r="B1050" s="103" t="s">
        <v>1178</v>
      </c>
      <c r="C1050" s="9" t="s">
        <v>294</v>
      </c>
      <c r="D1050" s="10">
        <v>2316.0</v>
      </c>
      <c r="E1050" s="9" t="s">
        <v>1312</v>
      </c>
      <c r="F1050" s="11" t="s">
        <v>26</v>
      </c>
      <c r="G1050" s="12" t="s">
        <v>27</v>
      </c>
      <c r="H1050" s="13">
        <v>65.35</v>
      </c>
      <c r="I1050" s="14">
        <v>5.0</v>
      </c>
      <c r="J1050" s="100" t="s">
        <v>54</v>
      </c>
      <c r="K1050" s="16">
        <v>0.3</v>
      </c>
      <c r="L1050" s="17">
        <f t="shared" si="1"/>
        <v>1.5</v>
      </c>
      <c r="M1050" s="17">
        <f t="shared" si="2"/>
        <v>3.5</v>
      </c>
      <c r="N1050" s="18">
        <f t="shared" si="3"/>
        <v>19.605</v>
      </c>
      <c r="O1050" s="18">
        <f t="shared" si="4"/>
        <v>45.745</v>
      </c>
      <c r="P1050" s="18">
        <f t="shared" si="5"/>
        <v>45.745</v>
      </c>
      <c r="Q1050" s="8">
        <v>0.0</v>
      </c>
      <c r="R1050" s="18">
        <f t="shared" si="6"/>
        <v>13.07</v>
      </c>
      <c r="S1050" s="19" t="s">
        <v>29</v>
      </c>
      <c r="T1050" s="19" t="s">
        <v>30</v>
      </c>
      <c r="U1050" s="20" t="s">
        <v>374</v>
      </c>
      <c r="V1050" s="37"/>
      <c r="W1050" s="7"/>
      <c r="X1050" s="7"/>
      <c r="Y1050" s="7"/>
      <c r="Z1050" s="7"/>
      <c r="AA1050" s="7"/>
    </row>
    <row r="1051" ht="18.75" customHeight="1">
      <c r="A1051" s="22" t="s">
        <v>1168</v>
      </c>
      <c r="B1051" s="102" t="s">
        <v>1178</v>
      </c>
      <c r="C1051" s="23" t="s">
        <v>294</v>
      </c>
      <c r="D1051" s="24">
        <v>2318.0</v>
      </c>
      <c r="E1051" s="23" t="s">
        <v>1313</v>
      </c>
      <c r="F1051" s="25" t="s">
        <v>26</v>
      </c>
      <c r="G1051" s="26" t="s">
        <v>27</v>
      </c>
      <c r="H1051" s="27">
        <v>65.35</v>
      </c>
      <c r="I1051" s="28">
        <v>5.0</v>
      </c>
      <c r="J1051" s="29" t="s">
        <v>28</v>
      </c>
      <c r="K1051" s="30">
        <v>0.4</v>
      </c>
      <c r="L1051" s="31">
        <f t="shared" si="1"/>
        <v>2</v>
      </c>
      <c r="M1051" s="31">
        <f t="shared" si="2"/>
        <v>3</v>
      </c>
      <c r="N1051" s="32">
        <f t="shared" si="3"/>
        <v>26.14</v>
      </c>
      <c r="O1051" s="32">
        <f t="shared" si="4"/>
        <v>39.21</v>
      </c>
      <c r="P1051" s="32">
        <f t="shared" si="5"/>
        <v>39.21</v>
      </c>
      <c r="Q1051" s="22">
        <v>0.0</v>
      </c>
      <c r="R1051" s="32">
        <f t="shared" si="6"/>
        <v>13.07</v>
      </c>
      <c r="S1051" s="33" t="s">
        <v>29</v>
      </c>
      <c r="T1051" s="33" t="s">
        <v>30</v>
      </c>
      <c r="U1051" s="34" t="s">
        <v>374</v>
      </c>
      <c r="V1051" s="35"/>
      <c r="W1051" s="7"/>
      <c r="X1051" s="7"/>
      <c r="Y1051" s="7"/>
      <c r="Z1051" s="7"/>
      <c r="AA1051" s="7"/>
    </row>
    <row r="1052" ht="18.75" customHeight="1">
      <c r="A1052" s="8" t="s">
        <v>1168</v>
      </c>
      <c r="B1052" s="103" t="s">
        <v>1178</v>
      </c>
      <c r="C1052" s="9" t="s">
        <v>294</v>
      </c>
      <c r="D1052" s="10">
        <v>2319.0</v>
      </c>
      <c r="E1052" s="9" t="s">
        <v>1313</v>
      </c>
      <c r="F1052" s="11" t="s">
        <v>26</v>
      </c>
      <c r="G1052" s="12" t="s">
        <v>27</v>
      </c>
      <c r="H1052" s="13">
        <v>65.35</v>
      </c>
      <c r="I1052" s="14">
        <v>5.0</v>
      </c>
      <c r="J1052" s="15" t="s">
        <v>28</v>
      </c>
      <c r="K1052" s="16">
        <v>0.4</v>
      </c>
      <c r="L1052" s="17">
        <f t="shared" si="1"/>
        <v>2</v>
      </c>
      <c r="M1052" s="17">
        <f t="shared" si="2"/>
        <v>3</v>
      </c>
      <c r="N1052" s="18">
        <f t="shared" si="3"/>
        <v>26.14</v>
      </c>
      <c r="O1052" s="18">
        <f t="shared" si="4"/>
        <v>39.21</v>
      </c>
      <c r="P1052" s="18">
        <f t="shared" si="5"/>
        <v>39.21</v>
      </c>
      <c r="Q1052" s="8">
        <v>0.0</v>
      </c>
      <c r="R1052" s="18">
        <f t="shared" si="6"/>
        <v>13.07</v>
      </c>
      <c r="S1052" s="19" t="s">
        <v>29</v>
      </c>
      <c r="T1052" s="19" t="s">
        <v>30</v>
      </c>
      <c r="U1052" s="20" t="s">
        <v>374</v>
      </c>
      <c r="V1052" s="37"/>
      <c r="W1052" s="7"/>
      <c r="X1052" s="7"/>
      <c r="Y1052" s="7"/>
      <c r="Z1052" s="7"/>
      <c r="AA1052" s="7"/>
    </row>
    <row r="1053" ht="18.75" customHeight="1">
      <c r="A1053" s="22" t="s">
        <v>1168</v>
      </c>
      <c r="B1053" s="102" t="s">
        <v>1178</v>
      </c>
      <c r="C1053" s="23" t="s">
        <v>294</v>
      </c>
      <c r="D1053" s="24">
        <v>2320.0</v>
      </c>
      <c r="E1053" s="23" t="s">
        <v>1314</v>
      </c>
      <c r="F1053" s="25" t="s">
        <v>26</v>
      </c>
      <c r="G1053" s="26" t="s">
        <v>27</v>
      </c>
      <c r="H1053" s="27">
        <v>65.35</v>
      </c>
      <c r="I1053" s="28">
        <v>5.0</v>
      </c>
      <c r="J1053" s="29" t="s">
        <v>28</v>
      </c>
      <c r="K1053" s="30">
        <v>0.4</v>
      </c>
      <c r="L1053" s="31">
        <f t="shared" si="1"/>
        <v>2</v>
      </c>
      <c r="M1053" s="31">
        <f t="shared" si="2"/>
        <v>3</v>
      </c>
      <c r="N1053" s="32">
        <f t="shared" si="3"/>
        <v>26.14</v>
      </c>
      <c r="O1053" s="32">
        <f t="shared" si="4"/>
        <v>39.21</v>
      </c>
      <c r="P1053" s="32">
        <f t="shared" si="5"/>
        <v>39.21</v>
      </c>
      <c r="Q1053" s="22">
        <v>0.0</v>
      </c>
      <c r="R1053" s="32">
        <f t="shared" si="6"/>
        <v>13.07</v>
      </c>
      <c r="S1053" s="33" t="s">
        <v>29</v>
      </c>
      <c r="T1053" s="33" t="s">
        <v>30</v>
      </c>
      <c r="U1053" s="34" t="s">
        <v>374</v>
      </c>
      <c r="V1053" s="35"/>
      <c r="W1053" s="7"/>
      <c r="X1053" s="7"/>
      <c r="Y1053" s="7"/>
      <c r="Z1053" s="7"/>
      <c r="AA1053" s="7"/>
    </row>
    <row r="1054" ht="18.75" customHeight="1">
      <c r="A1054" s="8" t="s">
        <v>1168</v>
      </c>
      <c r="B1054" s="103" t="s">
        <v>1178</v>
      </c>
      <c r="C1054" s="9" t="s">
        <v>294</v>
      </c>
      <c r="D1054" s="10">
        <v>2321.0</v>
      </c>
      <c r="E1054" s="9" t="s">
        <v>1314</v>
      </c>
      <c r="F1054" s="11" t="s">
        <v>26</v>
      </c>
      <c r="G1054" s="12" t="s">
        <v>27</v>
      </c>
      <c r="H1054" s="13">
        <v>65.35</v>
      </c>
      <c r="I1054" s="14">
        <v>5.0</v>
      </c>
      <c r="J1054" s="15" t="s">
        <v>28</v>
      </c>
      <c r="K1054" s="16">
        <v>0.4</v>
      </c>
      <c r="L1054" s="17">
        <f t="shared" si="1"/>
        <v>2</v>
      </c>
      <c r="M1054" s="17">
        <f t="shared" si="2"/>
        <v>3</v>
      </c>
      <c r="N1054" s="18">
        <f t="shared" si="3"/>
        <v>26.14</v>
      </c>
      <c r="O1054" s="18">
        <f t="shared" si="4"/>
        <v>39.21</v>
      </c>
      <c r="P1054" s="18">
        <f t="shared" si="5"/>
        <v>39.21</v>
      </c>
      <c r="Q1054" s="8">
        <v>0.0</v>
      </c>
      <c r="R1054" s="18">
        <f t="shared" si="6"/>
        <v>13.07</v>
      </c>
      <c r="S1054" s="19" t="s">
        <v>29</v>
      </c>
      <c r="T1054" s="19" t="s">
        <v>30</v>
      </c>
      <c r="U1054" s="20" t="s">
        <v>374</v>
      </c>
      <c r="V1054" s="37"/>
      <c r="W1054" s="7"/>
      <c r="X1054" s="7"/>
      <c r="Y1054" s="7"/>
      <c r="Z1054" s="7"/>
      <c r="AA1054" s="7"/>
    </row>
    <row r="1055" ht="18.75" customHeight="1">
      <c r="A1055" s="22" t="s">
        <v>1168</v>
      </c>
      <c r="B1055" s="23" t="s">
        <v>1180</v>
      </c>
      <c r="C1055" s="23" t="s">
        <v>1181</v>
      </c>
      <c r="D1055" s="24">
        <v>2322.0</v>
      </c>
      <c r="E1055" s="23" t="s">
        <v>1315</v>
      </c>
      <c r="F1055" s="25" t="s">
        <v>26</v>
      </c>
      <c r="G1055" s="26" t="s">
        <v>27</v>
      </c>
      <c r="H1055" s="27">
        <v>1749.0</v>
      </c>
      <c r="I1055" s="28">
        <v>10.0</v>
      </c>
      <c r="J1055" s="45" t="s">
        <v>63</v>
      </c>
      <c r="K1055" s="30">
        <v>0.700000000000006</v>
      </c>
      <c r="L1055" s="31">
        <f t="shared" si="1"/>
        <v>7</v>
      </c>
      <c r="M1055" s="31">
        <f t="shared" si="2"/>
        <v>3</v>
      </c>
      <c r="N1055" s="32">
        <f t="shared" si="3"/>
        <v>1224.3</v>
      </c>
      <c r="O1055" s="32">
        <f t="shared" si="4"/>
        <v>524.7</v>
      </c>
      <c r="P1055" s="32">
        <f t="shared" si="5"/>
        <v>524.7</v>
      </c>
      <c r="Q1055" s="22">
        <v>0.0</v>
      </c>
      <c r="R1055" s="32">
        <f t="shared" si="6"/>
        <v>174.9</v>
      </c>
      <c r="S1055" s="33" t="s">
        <v>29</v>
      </c>
      <c r="T1055" s="33" t="s">
        <v>30</v>
      </c>
      <c r="U1055" s="34" t="s">
        <v>255</v>
      </c>
      <c r="V1055" s="35"/>
      <c r="W1055" s="7"/>
      <c r="X1055" s="7"/>
      <c r="Y1055" s="7"/>
      <c r="Z1055" s="7"/>
      <c r="AA1055" s="7"/>
    </row>
    <row r="1056" ht="18.75" customHeight="1">
      <c r="A1056" s="8" t="s">
        <v>1168</v>
      </c>
      <c r="B1056" s="103" t="s">
        <v>1178</v>
      </c>
      <c r="C1056" s="9" t="s">
        <v>294</v>
      </c>
      <c r="D1056" s="10">
        <v>2323.0</v>
      </c>
      <c r="E1056" s="9" t="s">
        <v>1316</v>
      </c>
      <c r="F1056" s="11" t="s">
        <v>26</v>
      </c>
      <c r="G1056" s="12" t="s">
        <v>27</v>
      </c>
      <c r="H1056" s="13">
        <v>65.35</v>
      </c>
      <c r="I1056" s="14">
        <v>5.0</v>
      </c>
      <c r="J1056" s="15" t="s">
        <v>28</v>
      </c>
      <c r="K1056" s="16">
        <v>0.4</v>
      </c>
      <c r="L1056" s="17">
        <f t="shared" si="1"/>
        <v>2</v>
      </c>
      <c r="M1056" s="17">
        <f t="shared" si="2"/>
        <v>3</v>
      </c>
      <c r="N1056" s="18">
        <f t="shared" si="3"/>
        <v>26.14</v>
      </c>
      <c r="O1056" s="18">
        <f t="shared" si="4"/>
        <v>39.21</v>
      </c>
      <c r="P1056" s="18">
        <f t="shared" si="5"/>
        <v>39.21</v>
      </c>
      <c r="Q1056" s="8">
        <v>0.0</v>
      </c>
      <c r="R1056" s="18">
        <f t="shared" si="6"/>
        <v>13.07</v>
      </c>
      <c r="S1056" s="19" t="s">
        <v>29</v>
      </c>
      <c r="T1056" s="19" t="s">
        <v>30</v>
      </c>
      <c r="U1056" s="20" t="s">
        <v>374</v>
      </c>
      <c r="V1056" s="37"/>
      <c r="W1056" s="7"/>
      <c r="X1056" s="7"/>
      <c r="Y1056" s="7"/>
      <c r="Z1056" s="7"/>
      <c r="AA1056" s="7"/>
    </row>
    <row r="1057" ht="18.75" customHeight="1">
      <c r="A1057" s="22" t="s">
        <v>1168</v>
      </c>
      <c r="B1057" s="102" t="s">
        <v>1178</v>
      </c>
      <c r="C1057" s="23" t="s">
        <v>294</v>
      </c>
      <c r="D1057" s="24">
        <v>2324.0</v>
      </c>
      <c r="E1057" s="23" t="s">
        <v>1316</v>
      </c>
      <c r="F1057" s="25" t="s">
        <v>26</v>
      </c>
      <c r="G1057" s="26" t="s">
        <v>27</v>
      </c>
      <c r="H1057" s="27">
        <v>65.35</v>
      </c>
      <c r="I1057" s="28">
        <v>5.0</v>
      </c>
      <c r="J1057" s="29" t="s">
        <v>28</v>
      </c>
      <c r="K1057" s="30">
        <v>0.4</v>
      </c>
      <c r="L1057" s="31">
        <f t="shared" si="1"/>
        <v>2</v>
      </c>
      <c r="M1057" s="31">
        <f t="shared" si="2"/>
        <v>3</v>
      </c>
      <c r="N1057" s="32">
        <f t="shared" si="3"/>
        <v>26.14</v>
      </c>
      <c r="O1057" s="32">
        <f t="shared" si="4"/>
        <v>39.21</v>
      </c>
      <c r="P1057" s="32">
        <f t="shared" si="5"/>
        <v>39.21</v>
      </c>
      <c r="Q1057" s="22">
        <v>0.0</v>
      </c>
      <c r="R1057" s="32">
        <f t="shared" si="6"/>
        <v>13.07</v>
      </c>
      <c r="S1057" s="33" t="s">
        <v>29</v>
      </c>
      <c r="T1057" s="33" t="s">
        <v>30</v>
      </c>
      <c r="U1057" s="34" t="s">
        <v>374</v>
      </c>
      <c r="V1057" s="35"/>
      <c r="W1057" s="7"/>
      <c r="X1057" s="7"/>
      <c r="Y1057" s="7"/>
      <c r="Z1057" s="7"/>
      <c r="AA1057" s="7"/>
    </row>
    <row r="1058" ht="18.75" customHeight="1">
      <c r="A1058" s="8" t="s">
        <v>1168</v>
      </c>
      <c r="B1058" s="9" t="s">
        <v>1089</v>
      </c>
      <c r="C1058" s="9" t="s">
        <v>1214</v>
      </c>
      <c r="D1058" s="10">
        <v>2325.0</v>
      </c>
      <c r="E1058" s="9" t="s">
        <v>1317</v>
      </c>
      <c r="F1058" s="11" t="s">
        <v>128</v>
      </c>
      <c r="G1058" s="12" t="s">
        <v>27</v>
      </c>
      <c r="H1058" s="13">
        <v>1669.0</v>
      </c>
      <c r="I1058" s="14">
        <v>5.0</v>
      </c>
      <c r="J1058" s="15" t="s">
        <v>38</v>
      </c>
      <c r="K1058" s="16">
        <v>0.5</v>
      </c>
      <c r="L1058" s="17">
        <f t="shared" si="1"/>
        <v>2.5</v>
      </c>
      <c r="M1058" s="17">
        <f t="shared" si="2"/>
        <v>2.5</v>
      </c>
      <c r="N1058" s="18">
        <f t="shared" si="3"/>
        <v>834.5</v>
      </c>
      <c r="O1058" s="18">
        <f t="shared" si="4"/>
        <v>834.5</v>
      </c>
      <c r="P1058" s="18">
        <f t="shared" si="5"/>
        <v>834.5</v>
      </c>
      <c r="Q1058" s="8">
        <v>0.0</v>
      </c>
      <c r="R1058" s="18">
        <f t="shared" si="6"/>
        <v>333.8</v>
      </c>
      <c r="S1058" s="19" t="s">
        <v>29</v>
      </c>
      <c r="T1058" s="19" t="s">
        <v>30</v>
      </c>
      <c r="U1058" s="20" t="s">
        <v>129</v>
      </c>
      <c r="V1058" s="37"/>
      <c r="W1058" s="7"/>
      <c r="X1058" s="7"/>
      <c r="Y1058" s="7"/>
      <c r="Z1058" s="7"/>
      <c r="AA1058" s="7"/>
    </row>
    <row r="1059" ht="18.75" customHeight="1">
      <c r="A1059" s="22" t="s">
        <v>1168</v>
      </c>
      <c r="B1059" s="102" t="s">
        <v>1178</v>
      </c>
      <c r="C1059" s="23" t="s">
        <v>294</v>
      </c>
      <c r="D1059" s="24">
        <v>2327.0</v>
      </c>
      <c r="E1059" s="23" t="s">
        <v>1318</v>
      </c>
      <c r="F1059" s="25" t="s">
        <v>26</v>
      </c>
      <c r="G1059" s="26" t="s">
        <v>27</v>
      </c>
      <c r="H1059" s="27">
        <v>65.35</v>
      </c>
      <c r="I1059" s="28">
        <v>5.0</v>
      </c>
      <c r="J1059" s="29" t="s">
        <v>28</v>
      </c>
      <c r="K1059" s="30">
        <v>0.4</v>
      </c>
      <c r="L1059" s="31">
        <f t="shared" si="1"/>
        <v>2</v>
      </c>
      <c r="M1059" s="31">
        <f t="shared" si="2"/>
        <v>3</v>
      </c>
      <c r="N1059" s="32">
        <f t="shared" si="3"/>
        <v>26.14</v>
      </c>
      <c r="O1059" s="32">
        <f t="shared" si="4"/>
        <v>39.21</v>
      </c>
      <c r="P1059" s="32">
        <f t="shared" si="5"/>
        <v>39.21</v>
      </c>
      <c r="Q1059" s="22">
        <v>0.0</v>
      </c>
      <c r="R1059" s="32">
        <f t="shared" si="6"/>
        <v>13.07</v>
      </c>
      <c r="S1059" s="33" t="s">
        <v>29</v>
      </c>
      <c r="T1059" s="33" t="s">
        <v>30</v>
      </c>
      <c r="U1059" s="34" t="s">
        <v>374</v>
      </c>
      <c r="V1059" s="35"/>
      <c r="W1059" s="7"/>
      <c r="X1059" s="7"/>
      <c r="Y1059" s="7"/>
      <c r="Z1059" s="7"/>
      <c r="AA1059" s="7"/>
    </row>
    <row r="1060" ht="18.75" customHeight="1">
      <c r="A1060" s="8" t="s">
        <v>1168</v>
      </c>
      <c r="B1060" s="103" t="s">
        <v>1178</v>
      </c>
      <c r="C1060" s="9" t="s">
        <v>294</v>
      </c>
      <c r="D1060" s="10">
        <v>2328.0</v>
      </c>
      <c r="E1060" s="9" t="s">
        <v>1318</v>
      </c>
      <c r="F1060" s="11" t="s">
        <v>26</v>
      </c>
      <c r="G1060" s="12" t="s">
        <v>27</v>
      </c>
      <c r="H1060" s="13">
        <v>65.35</v>
      </c>
      <c r="I1060" s="14">
        <v>5.0</v>
      </c>
      <c r="J1060" s="15" t="s">
        <v>28</v>
      </c>
      <c r="K1060" s="16">
        <v>0.4</v>
      </c>
      <c r="L1060" s="17">
        <f t="shared" si="1"/>
        <v>2</v>
      </c>
      <c r="M1060" s="17">
        <f t="shared" si="2"/>
        <v>3</v>
      </c>
      <c r="N1060" s="18">
        <f t="shared" si="3"/>
        <v>26.14</v>
      </c>
      <c r="O1060" s="18">
        <f t="shared" si="4"/>
        <v>39.21</v>
      </c>
      <c r="P1060" s="18">
        <f t="shared" si="5"/>
        <v>39.21</v>
      </c>
      <c r="Q1060" s="8">
        <v>0.0</v>
      </c>
      <c r="R1060" s="18">
        <f t="shared" si="6"/>
        <v>13.07</v>
      </c>
      <c r="S1060" s="19" t="s">
        <v>29</v>
      </c>
      <c r="T1060" s="19" t="s">
        <v>30</v>
      </c>
      <c r="U1060" s="20" t="s">
        <v>374</v>
      </c>
      <c r="V1060" s="37"/>
      <c r="W1060" s="7"/>
      <c r="X1060" s="7"/>
      <c r="Y1060" s="7"/>
      <c r="Z1060" s="7"/>
      <c r="AA1060" s="7"/>
    </row>
    <row r="1061" ht="18.75" customHeight="1">
      <c r="A1061" s="22" t="s">
        <v>1168</v>
      </c>
      <c r="B1061" s="102" t="s">
        <v>1178</v>
      </c>
      <c r="C1061" s="23" t="s">
        <v>294</v>
      </c>
      <c r="D1061" s="24">
        <v>2329.0</v>
      </c>
      <c r="E1061" s="23" t="s">
        <v>1319</v>
      </c>
      <c r="F1061" s="25" t="s">
        <v>26</v>
      </c>
      <c r="G1061" s="26" t="s">
        <v>27</v>
      </c>
      <c r="H1061" s="27">
        <v>65.35</v>
      </c>
      <c r="I1061" s="28">
        <v>5.0</v>
      </c>
      <c r="J1061" s="29" t="s">
        <v>28</v>
      </c>
      <c r="K1061" s="30">
        <v>0.4</v>
      </c>
      <c r="L1061" s="31">
        <f t="shared" si="1"/>
        <v>2</v>
      </c>
      <c r="M1061" s="31">
        <f t="shared" si="2"/>
        <v>3</v>
      </c>
      <c r="N1061" s="32">
        <f t="shared" si="3"/>
        <v>26.14</v>
      </c>
      <c r="O1061" s="32">
        <f t="shared" si="4"/>
        <v>39.21</v>
      </c>
      <c r="P1061" s="32">
        <f t="shared" si="5"/>
        <v>39.21</v>
      </c>
      <c r="Q1061" s="22">
        <v>0.0</v>
      </c>
      <c r="R1061" s="32">
        <f t="shared" si="6"/>
        <v>13.07</v>
      </c>
      <c r="S1061" s="33" t="s">
        <v>29</v>
      </c>
      <c r="T1061" s="33" t="s">
        <v>30</v>
      </c>
      <c r="U1061" s="34" t="s">
        <v>374</v>
      </c>
      <c r="V1061" s="35"/>
      <c r="W1061" s="7"/>
      <c r="X1061" s="7"/>
      <c r="Y1061" s="7"/>
      <c r="Z1061" s="7"/>
      <c r="AA1061" s="7"/>
    </row>
    <row r="1062" ht="18.75" customHeight="1">
      <c r="A1062" s="8" t="s">
        <v>1168</v>
      </c>
      <c r="B1062" s="103" t="s">
        <v>1178</v>
      </c>
      <c r="C1062" s="9" t="s">
        <v>294</v>
      </c>
      <c r="D1062" s="10">
        <v>2330.0</v>
      </c>
      <c r="E1062" s="9" t="s">
        <v>1319</v>
      </c>
      <c r="F1062" s="11" t="s">
        <v>26</v>
      </c>
      <c r="G1062" s="12" t="s">
        <v>27</v>
      </c>
      <c r="H1062" s="13">
        <v>65.35</v>
      </c>
      <c r="I1062" s="14">
        <v>5.0</v>
      </c>
      <c r="J1062" s="15" t="s">
        <v>28</v>
      </c>
      <c r="K1062" s="16">
        <v>0.4</v>
      </c>
      <c r="L1062" s="17">
        <f t="shared" si="1"/>
        <v>2</v>
      </c>
      <c r="M1062" s="17">
        <f t="shared" si="2"/>
        <v>3</v>
      </c>
      <c r="N1062" s="18">
        <f t="shared" si="3"/>
        <v>26.14</v>
      </c>
      <c r="O1062" s="18">
        <f t="shared" si="4"/>
        <v>39.21</v>
      </c>
      <c r="P1062" s="18">
        <f t="shared" si="5"/>
        <v>39.21</v>
      </c>
      <c r="Q1062" s="8">
        <v>0.0</v>
      </c>
      <c r="R1062" s="18">
        <f t="shared" si="6"/>
        <v>13.07</v>
      </c>
      <c r="S1062" s="19" t="s">
        <v>29</v>
      </c>
      <c r="T1062" s="19" t="s">
        <v>30</v>
      </c>
      <c r="U1062" s="20" t="s">
        <v>374</v>
      </c>
      <c r="V1062" s="37"/>
      <c r="W1062" s="7"/>
      <c r="X1062" s="7"/>
      <c r="Y1062" s="7"/>
      <c r="Z1062" s="7"/>
      <c r="AA1062" s="7"/>
    </row>
    <row r="1063" ht="18.75" customHeight="1">
      <c r="A1063" s="22" t="s">
        <v>1168</v>
      </c>
      <c r="B1063" s="102" t="s">
        <v>1178</v>
      </c>
      <c r="C1063" s="23" t="s">
        <v>294</v>
      </c>
      <c r="D1063" s="24">
        <v>2331.0</v>
      </c>
      <c r="E1063" s="23" t="s">
        <v>1320</v>
      </c>
      <c r="F1063" s="25" t="s">
        <v>26</v>
      </c>
      <c r="G1063" s="26" t="s">
        <v>27</v>
      </c>
      <c r="H1063" s="27">
        <v>65.35</v>
      </c>
      <c r="I1063" s="28">
        <v>5.0</v>
      </c>
      <c r="J1063" s="29" t="s">
        <v>28</v>
      </c>
      <c r="K1063" s="30">
        <v>0.4</v>
      </c>
      <c r="L1063" s="31">
        <f t="shared" si="1"/>
        <v>2</v>
      </c>
      <c r="M1063" s="31">
        <f t="shared" si="2"/>
        <v>3</v>
      </c>
      <c r="N1063" s="32">
        <f t="shared" si="3"/>
        <v>26.14</v>
      </c>
      <c r="O1063" s="32">
        <f t="shared" si="4"/>
        <v>39.21</v>
      </c>
      <c r="P1063" s="32">
        <f t="shared" si="5"/>
        <v>39.21</v>
      </c>
      <c r="Q1063" s="22">
        <v>0.0</v>
      </c>
      <c r="R1063" s="32">
        <f t="shared" si="6"/>
        <v>13.07</v>
      </c>
      <c r="S1063" s="33" t="s">
        <v>29</v>
      </c>
      <c r="T1063" s="33" t="s">
        <v>30</v>
      </c>
      <c r="U1063" s="34" t="s">
        <v>374</v>
      </c>
      <c r="V1063" s="35"/>
      <c r="W1063" s="7"/>
      <c r="X1063" s="7"/>
      <c r="Y1063" s="7"/>
      <c r="Z1063" s="7"/>
      <c r="AA1063" s="7"/>
    </row>
    <row r="1064" ht="18.75" customHeight="1">
      <c r="A1064" s="8" t="s">
        <v>1168</v>
      </c>
      <c r="B1064" s="103" t="s">
        <v>1178</v>
      </c>
      <c r="C1064" s="9" t="s">
        <v>294</v>
      </c>
      <c r="D1064" s="10">
        <v>2332.0</v>
      </c>
      <c r="E1064" s="9" t="s">
        <v>1320</v>
      </c>
      <c r="F1064" s="11" t="s">
        <v>26</v>
      </c>
      <c r="G1064" s="12" t="s">
        <v>27</v>
      </c>
      <c r="H1064" s="13">
        <v>65.35</v>
      </c>
      <c r="I1064" s="14">
        <v>5.0</v>
      </c>
      <c r="J1064" s="15" t="s">
        <v>28</v>
      </c>
      <c r="K1064" s="16">
        <v>0.4</v>
      </c>
      <c r="L1064" s="17">
        <f t="shared" si="1"/>
        <v>2</v>
      </c>
      <c r="M1064" s="17">
        <f t="shared" si="2"/>
        <v>3</v>
      </c>
      <c r="N1064" s="18">
        <f t="shared" si="3"/>
        <v>26.14</v>
      </c>
      <c r="O1064" s="18">
        <f t="shared" si="4"/>
        <v>39.21</v>
      </c>
      <c r="P1064" s="18">
        <f t="shared" si="5"/>
        <v>39.21</v>
      </c>
      <c r="Q1064" s="8">
        <v>0.0</v>
      </c>
      <c r="R1064" s="18">
        <f t="shared" si="6"/>
        <v>13.07</v>
      </c>
      <c r="S1064" s="19" t="s">
        <v>29</v>
      </c>
      <c r="T1064" s="19" t="s">
        <v>30</v>
      </c>
      <c r="U1064" s="20" t="s">
        <v>374</v>
      </c>
      <c r="V1064" s="37"/>
      <c r="W1064" s="7"/>
      <c r="X1064" s="7"/>
      <c r="Y1064" s="7"/>
      <c r="Z1064" s="7"/>
      <c r="AA1064" s="7"/>
    </row>
    <row r="1065" ht="18.75" customHeight="1">
      <c r="A1065" s="22" t="s">
        <v>1168</v>
      </c>
      <c r="B1065" s="23" t="s">
        <v>1169</v>
      </c>
      <c r="C1065" s="23" t="s">
        <v>1170</v>
      </c>
      <c r="D1065" s="24">
        <v>2338.0</v>
      </c>
      <c r="E1065" s="23" t="s">
        <v>1321</v>
      </c>
      <c r="F1065" s="25" t="s">
        <v>202</v>
      </c>
      <c r="G1065" s="40"/>
      <c r="H1065" s="27">
        <v>1842.07</v>
      </c>
      <c r="I1065" s="28">
        <v>5.0</v>
      </c>
      <c r="J1065" s="29" t="s">
        <v>28</v>
      </c>
      <c r="K1065" s="30">
        <v>0.4</v>
      </c>
      <c r="L1065" s="31">
        <f t="shared" si="1"/>
        <v>2</v>
      </c>
      <c r="M1065" s="31">
        <f t="shared" si="2"/>
        <v>3</v>
      </c>
      <c r="N1065" s="32">
        <f t="shared" si="3"/>
        <v>736.828</v>
      </c>
      <c r="O1065" s="32">
        <f t="shared" si="4"/>
        <v>1105.242</v>
      </c>
      <c r="P1065" s="32">
        <f t="shared" si="5"/>
        <v>1105.242</v>
      </c>
      <c r="Q1065" s="22">
        <v>0.0</v>
      </c>
      <c r="R1065" s="32">
        <f t="shared" si="6"/>
        <v>368.414</v>
      </c>
      <c r="S1065" s="33" t="s">
        <v>29</v>
      </c>
      <c r="T1065" s="33" t="s">
        <v>30</v>
      </c>
      <c r="U1065" s="38" t="s">
        <v>1264</v>
      </c>
      <c r="V1065" s="35"/>
      <c r="W1065" s="7"/>
      <c r="X1065" s="7"/>
      <c r="Y1065" s="7"/>
      <c r="Z1065" s="7"/>
      <c r="AA1065" s="7"/>
    </row>
    <row r="1066" ht="18.75" customHeight="1">
      <c r="A1066" s="8" t="s">
        <v>1168</v>
      </c>
      <c r="B1066" s="9" t="s">
        <v>1201</v>
      </c>
      <c r="C1066" s="9" t="s">
        <v>626</v>
      </c>
      <c r="D1066" s="10">
        <v>2339.0</v>
      </c>
      <c r="E1066" s="9" t="s">
        <v>1321</v>
      </c>
      <c r="F1066" s="11" t="s">
        <v>202</v>
      </c>
      <c r="G1066" s="39"/>
      <c r="H1066" s="13">
        <v>1842.07</v>
      </c>
      <c r="I1066" s="14">
        <v>5.0</v>
      </c>
      <c r="J1066" s="15" t="s">
        <v>28</v>
      </c>
      <c r="K1066" s="16">
        <v>0.4</v>
      </c>
      <c r="L1066" s="17">
        <f t="shared" si="1"/>
        <v>2</v>
      </c>
      <c r="M1066" s="17">
        <f t="shared" si="2"/>
        <v>3</v>
      </c>
      <c r="N1066" s="18">
        <f t="shared" si="3"/>
        <v>736.828</v>
      </c>
      <c r="O1066" s="18">
        <f t="shared" si="4"/>
        <v>1105.242</v>
      </c>
      <c r="P1066" s="18">
        <f t="shared" si="5"/>
        <v>1105.242</v>
      </c>
      <c r="Q1066" s="8">
        <v>0.0</v>
      </c>
      <c r="R1066" s="18">
        <f t="shared" si="6"/>
        <v>368.414</v>
      </c>
      <c r="S1066" s="19" t="s">
        <v>29</v>
      </c>
      <c r="T1066" s="19" t="s">
        <v>30</v>
      </c>
      <c r="U1066" s="36" t="s">
        <v>1264</v>
      </c>
      <c r="V1066" s="37"/>
      <c r="W1066" s="7"/>
      <c r="X1066" s="7"/>
      <c r="Y1066" s="7"/>
      <c r="Z1066" s="7"/>
      <c r="AA1066" s="7"/>
    </row>
    <row r="1067" ht="18.75" customHeight="1">
      <c r="A1067" s="22" t="s">
        <v>1168</v>
      </c>
      <c r="B1067" s="23" t="s">
        <v>1187</v>
      </c>
      <c r="C1067" s="23" t="s">
        <v>1093</v>
      </c>
      <c r="D1067" s="24">
        <v>2345.0</v>
      </c>
      <c r="E1067" s="23" t="s">
        <v>1322</v>
      </c>
      <c r="F1067" s="25" t="s">
        <v>37</v>
      </c>
      <c r="G1067" s="26" t="s">
        <v>27</v>
      </c>
      <c r="H1067" s="27">
        <v>285.0</v>
      </c>
      <c r="I1067" s="28">
        <v>10.0</v>
      </c>
      <c r="J1067" s="101" t="s">
        <v>54</v>
      </c>
      <c r="K1067" s="30">
        <v>0.3</v>
      </c>
      <c r="L1067" s="31">
        <f t="shared" si="1"/>
        <v>3</v>
      </c>
      <c r="M1067" s="31">
        <f t="shared" si="2"/>
        <v>7</v>
      </c>
      <c r="N1067" s="32">
        <f t="shared" si="3"/>
        <v>85.5</v>
      </c>
      <c r="O1067" s="32">
        <f t="shared" si="4"/>
        <v>199.5</v>
      </c>
      <c r="P1067" s="32">
        <f t="shared" si="5"/>
        <v>199.5</v>
      </c>
      <c r="Q1067" s="22">
        <v>0.0</v>
      </c>
      <c r="R1067" s="32">
        <f t="shared" si="6"/>
        <v>28.5</v>
      </c>
      <c r="S1067" s="33" t="s">
        <v>29</v>
      </c>
      <c r="T1067" s="33" t="s">
        <v>30</v>
      </c>
      <c r="U1067" s="34" t="s">
        <v>527</v>
      </c>
      <c r="V1067" s="35"/>
      <c r="W1067" s="7"/>
      <c r="X1067" s="7"/>
      <c r="Y1067" s="7"/>
      <c r="Z1067" s="7"/>
      <c r="AA1067" s="7"/>
    </row>
    <row r="1068" ht="18.75" customHeight="1">
      <c r="A1068" s="8" t="s">
        <v>1168</v>
      </c>
      <c r="B1068" s="9" t="s">
        <v>1187</v>
      </c>
      <c r="C1068" s="9" t="s">
        <v>1093</v>
      </c>
      <c r="D1068" s="10">
        <v>2348.0</v>
      </c>
      <c r="E1068" s="9" t="s">
        <v>1323</v>
      </c>
      <c r="F1068" s="11" t="s">
        <v>37</v>
      </c>
      <c r="G1068" s="39"/>
      <c r="H1068" s="13">
        <v>295.8</v>
      </c>
      <c r="I1068" s="14">
        <v>10.0</v>
      </c>
      <c r="J1068" s="100" t="s">
        <v>54</v>
      </c>
      <c r="K1068" s="16">
        <v>0.3</v>
      </c>
      <c r="L1068" s="17">
        <f t="shared" si="1"/>
        <v>3</v>
      </c>
      <c r="M1068" s="17">
        <f t="shared" si="2"/>
        <v>7</v>
      </c>
      <c r="N1068" s="18">
        <f t="shared" si="3"/>
        <v>88.74</v>
      </c>
      <c r="O1068" s="18">
        <f t="shared" si="4"/>
        <v>207.06</v>
      </c>
      <c r="P1068" s="18">
        <f t="shared" si="5"/>
        <v>207.06</v>
      </c>
      <c r="Q1068" s="8">
        <v>0.0</v>
      </c>
      <c r="R1068" s="18">
        <f t="shared" si="6"/>
        <v>29.58</v>
      </c>
      <c r="S1068" s="19" t="s">
        <v>29</v>
      </c>
      <c r="T1068" s="19" t="s">
        <v>30</v>
      </c>
      <c r="U1068" s="36" t="s">
        <v>1324</v>
      </c>
      <c r="V1068" s="37"/>
      <c r="W1068" s="7"/>
      <c r="X1068" s="7"/>
      <c r="Y1068" s="7"/>
      <c r="Z1068" s="7"/>
      <c r="AA1068" s="7"/>
    </row>
    <row r="1069" ht="18.75" customHeight="1">
      <c r="A1069" s="22" t="s">
        <v>1168</v>
      </c>
      <c r="B1069" s="102" t="s">
        <v>1178</v>
      </c>
      <c r="C1069" s="23" t="s">
        <v>294</v>
      </c>
      <c r="D1069" s="24">
        <v>2355.0</v>
      </c>
      <c r="E1069" s="23" t="s">
        <v>1325</v>
      </c>
      <c r="F1069" s="25" t="s">
        <v>26</v>
      </c>
      <c r="G1069" s="26" t="s">
        <v>27</v>
      </c>
      <c r="H1069" s="27">
        <v>834.05</v>
      </c>
      <c r="I1069" s="28">
        <v>10.0</v>
      </c>
      <c r="J1069" s="41" t="s">
        <v>63</v>
      </c>
      <c r="K1069" s="42">
        <v>0.700000000000006</v>
      </c>
      <c r="L1069" s="31">
        <f t="shared" si="1"/>
        <v>7</v>
      </c>
      <c r="M1069" s="31">
        <f t="shared" si="2"/>
        <v>3</v>
      </c>
      <c r="N1069" s="32">
        <f t="shared" si="3"/>
        <v>583.835</v>
      </c>
      <c r="O1069" s="32">
        <f t="shared" si="4"/>
        <v>250.215</v>
      </c>
      <c r="P1069" s="32">
        <f t="shared" si="5"/>
        <v>250.215</v>
      </c>
      <c r="Q1069" s="22">
        <v>0.0</v>
      </c>
      <c r="R1069" s="32">
        <f t="shared" si="6"/>
        <v>83.405</v>
      </c>
      <c r="S1069" s="33" t="s">
        <v>29</v>
      </c>
      <c r="T1069" s="33" t="s">
        <v>30</v>
      </c>
      <c r="U1069" s="38" t="s">
        <v>559</v>
      </c>
      <c r="V1069" s="35"/>
      <c r="W1069" s="7"/>
      <c r="X1069" s="7"/>
      <c r="Y1069" s="7"/>
      <c r="Z1069" s="7"/>
      <c r="AA1069" s="7"/>
    </row>
    <row r="1070" ht="18.75" customHeight="1">
      <c r="A1070" s="8" t="s">
        <v>1168</v>
      </c>
      <c r="B1070" s="103" t="s">
        <v>1178</v>
      </c>
      <c r="C1070" s="9" t="s">
        <v>294</v>
      </c>
      <c r="D1070" s="10">
        <v>2356.0</v>
      </c>
      <c r="E1070" s="9" t="s">
        <v>1325</v>
      </c>
      <c r="F1070" s="11" t="s">
        <v>26</v>
      </c>
      <c r="G1070" s="12" t="s">
        <v>27</v>
      </c>
      <c r="H1070" s="13">
        <v>834.05</v>
      </c>
      <c r="I1070" s="14">
        <v>10.0</v>
      </c>
      <c r="J1070" s="48" t="s">
        <v>63</v>
      </c>
      <c r="K1070" s="59">
        <v>0.700000000000006</v>
      </c>
      <c r="L1070" s="17">
        <f t="shared" si="1"/>
        <v>7</v>
      </c>
      <c r="M1070" s="17">
        <f t="shared" si="2"/>
        <v>3</v>
      </c>
      <c r="N1070" s="18">
        <f t="shared" si="3"/>
        <v>583.835</v>
      </c>
      <c r="O1070" s="18">
        <f t="shared" si="4"/>
        <v>250.215</v>
      </c>
      <c r="P1070" s="18">
        <f t="shared" si="5"/>
        <v>250.215</v>
      </c>
      <c r="Q1070" s="8">
        <v>0.0</v>
      </c>
      <c r="R1070" s="18">
        <f t="shared" si="6"/>
        <v>83.405</v>
      </c>
      <c r="S1070" s="19" t="s">
        <v>29</v>
      </c>
      <c r="T1070" s="19" t="s">
        <v>30</v>
      </c>
      <c r="U1070" s="36" t="s">
        <v>559</v>
      </c>
      <c r="V1070" s="37"/>
      <c r="W1070" s="7"/>
      <c r="X1070" s="7"/>
      <c r="Y1070" s="7"/>
      <c r="Z1070" s="7"/>
      <c r="AA1070" s="7"/>
    </row>
    <row r="1071" ht="18.75" customHeight="1">
      <c r="A1071" s="22" t="s">
        <v>1168</v>
      </c>
      <c r="B1071" s="23" t="s">
        <v>1211</v>
      </c>
      <c r="C1071" s="23" t="s">
        <v>1326</v>
      </c>
      <c r="D1071" s="24">
        <v>2357.0</v>
      </c>
      <c r="E1071" s="23" t="s">
        <v>1327</v>
      </c>
      <c r="F1071" s="25" t="s">
        <v>202</v>
      </c>
      <c r="G1071" s="40"/>
      <c r="H1071" s="27">
        <v>52.57</v>
      </c>
      <c r="I1071" s="28">
        <v>5.0</v>
      </c>
      <c r="J1071" s="101" t="s">
        <v>54</v>
      </c>
      <c r="K1071" s="30">
        <v>0.3</v>
      </c>
      <c r="L1071" s="31">
        <f t="shared" si="1"/>
        <v>1.5</v>
      </c>
      <c r="M1071" s="31">
        <f t="shared" si="2"/>
        <v>3.5</v>
      </c>
      <c r="N1071" s="32">
        <f t="shared" si="3"/>
        <v>15.771</v>
      </c>
      <c r="O1071" s="32">
        <f t="shared" si="4"/>
        <v>36.799</v>
      </c>
      <c r="P1071" s="32">
        <f t="shared" si="5"/>
        <v>36.799</v>
      </c>
      <c r="Q1071" s="22">
        <v>0.0</v>
      </c>
      <c r="R1071" s="32">
        <f t="shared" si="6"/>
        <v>10.514</v>
      </c>
      <c r="S1071" s="33" t="s">
        <v>29</v>
      </c>
      <c r="T1071" s="33" t="s">
        <v>30</v>
      </c>
      <c r="U1071" s="38" t="s">
        <v>1328</v>
      </c>
      <c r="V1071" s="35"/>
      <c r="W1071" s="7"/>
      <c r="X1071" s="7"/>
      <c r="Y1071" s="7"/>
      <c r="Z1071" s="7"/>
      <c r="AA1071" s="7"/>
    </row>
    <row r="1072" ht="18.75" customHeight="1">
      <c r="A1072" s="8" t="s">
        <v>1168</v>
      </c>
      <c r="B1072" s="9" t="s">
        <v>1211</v>
      </c>
      <c r="C1072" s="9" t="s">
        <v>1326</v>
      </c>
      <c r="D1072" s="10">
        <v>2358.0</v>
      </c>
      <c r="E1072" s="9" t="s">
        <v>1329</v>
      </c>
      <c r="F1072" s="11" t="s">
        <v>26</v>
      </c>
      <c r="G1072" s="12" t="s">
        <v>27</v>
      </c>
      <c r="H1072" s="13">
        <v>37.9</v>
      </c>
      <c r="I1072" s="14">
        <v>5.0</v>
      </c>
      <c r="J1072" s="15" t="s">
        <v>38</v>
      </c>
      <c r="K1072" s="16">
        <v>0.5</v>
      </c>
      <c r="L1072" s="17">
        <f t="shared" si="1"/>
        <v>2.5</v>
      </c>
      <c r="M1072" s="17">
        <f t="shared" si="2"/>
        <v>2.5</v>
      </c>
      <c r="N1072" s="18">
        <f t="shared" si="3"/>
        <v>18.95</v>
      </c>
      <c r="O1072" s="18">
        <f t="shared" si="4"/>
        <v>18.95</v>
      </c>
      <c r="P1072" s="18">
        <f t="shared" si="5"/>
        <v>18.95</v>
      </c>
      <c r="Q1072" s="8">
        <v>0.0</v>
      </c>
      <c r="R1072" s="18">
        <f t="shared" si="6"/>
        <v>7.58</v>
      </c>
      <c r="S1072" s="19" t="s">
        <v>29</v>
      </c>
      <c r="T1072" s="19" t="s">
        <v>30</v>
      </c>
      <c r="U1072" s="20" t="s">
        <v>302</v>
      </c>
      <c r="V1072" s="37"/>
      <c r="W1072" s="7"/>
      <c r="X1072" s="7"/>
      <c r="Y1072" s="7"/>
      <c r="Z1072" s="7"/>
      <c r="AA1072" s="7"/>
    </row>
    <row r="1073" ht="18.75" customHeight="1">
      <c r="A1073" s="22" t="s">
        <v>1168</v>
      </c>
      <c r="B1073" s="23" t="s">
        <v>1089</v>
      </c>
      <c r="C1073" s="23" t="s">
        <v>1214</v>
      </c>
      <c r="D1073" s="24">
        <v>2373.0</v>
      </c>
      <c r="E1073" s="23" t="s">
        <v>1330</v>
      </c>
      <c r="F1073" s="25" t="s">
        <v>202</v>
      </c>
      <c r="G1073" s="40"/>
      <c r="H1073" s="27">
        <v>1842.07</v>
      </c>
      <c r="I1073" s="28">
        <v>5.0</v>
      </c>
      <c r="J1073" s="29" t="s">
        <v>38</v>
      </c>
      <c r="K1073" s="30">
        <v>0.5</v>
      </c>
      <c r="L1073" s="31">
        <f t="shared" si="1"/>
        <v>2.5</v>
      </c>
      <c r="M1073" s="31">
        <f t="shared" si="2"/>
        <v>2.5</v>
      </c>
      <c r="N1073" s="32">
        <f t="shared" si="3"/>
        <v>921.035</v>
      </c>
      <c r="O1073" s="32">
        <f t="shared" si="4"/>
        <v>921.035</v>
      </c>
      <c r="P1073" s="32">
        <f t="shared" si="5"/>
        <v>921.035</v>
      </c>
      <c r="Q1073" s="22">
        <v>0.0</v>
      </c>
      <c r="R1073" s="32">
        <f t="shared" si="6"/>
        <v>368.414</v>
      </c>
      <c r="S1073" s="33" t="s">
        <v>29</v>
      </c>
      <c r="T1073" s="33" t="s">
        <v>30</v>
      </c>
      <c r="U1073" s="38" t="s">
        <v>1264</v>
      </c>
      <c r="V1073" s="35"/>
      <c r="W1073" s="7"/>
      <c r="X1073" s="7"/>
      <c r="Y1073" s="7"/>
      <c r="Z1073" s="7"/>
      <c r="AA1073" s="7"/>
    </row>
    <row r="1074" ht="18.75" customHeight="1">
      <c r="A1074" s="8" t="s">
        <v>1168</v>
      </c>
      <c r="B1074" s="9" t="s">
        <v>1201</v>
      </c>
      <c r="C1074" s="9" t="s">
        <v>626</v>
      </c>
      <c r="D1074" s="10">
        <v>2383.0</v>
      </c>
      <c r="E1074" s="9" t="s">
        <v>1331</v>
      </c>
      <c r="F1074" s="11" t="s">
        <v>26</v>
      </c>
      <c r="G1074" s="39"/>
      <c r="H1074" s="13">
        <v>349.0</v>
      </c>
      <c r="I1074" s="14">
        <v>5.0</v>
      </c>
      <c r="J1074" s="15" t="s">
        <v>38</v>
      </c>
      <c r="K1074" s="16">
        <v>0.5</v>
      </c>
      <c r="L1074" s="17">
        <f t="shared" si="1"/>
        <v>2.5</v>
      </c>
      <c r="M1074" s="17">
        <f t="shared" si="2"/>
        <v>2.5</v>
      </c>
      <c r="N1074" s="18">
        <f t="shared" si="3"/>
        <v>174.5</v>
      </c>
      <c r="O1074" s="18">
        <f t="shared" si="4"/>
        <v>174.5</v>
      </c>
      <c r="P1074" s="18">
        <f t="shared" si="5"/>
        <v>174.5</v>
      </c>
      <c r="Q1074" s="8">
        <v>0.0</v>
      </c>
      <c r="R1074" s="18">
        <f t="shared" si="6"/>
        <v>69.8</v>
      </c>
      <c r="S1074" s="19" t="s">
        <v>29</v>
      </c>
      <c r="T1074" s="19" t="s">
        <v>30</v>
      </c>
      <c r="U1074" s="36" t="s">
        <v>1332</v>
      </c>
      <c r="V1074" s="37"/>
      <c r="W1074" s="7"/>
      <c r="X1074" s="7"/>
      <c r="Y1074" s="7"/>
      <c r="Z1074" s="7"/>
      <c r="AA1074" s="7"/>
    </row>
    <row r="1075" ht="18.75" customHeight="1">
      <c r="A1075" s="22" t="s">
        <v>1168</v>
      </c>
      <c r="B1075" s="23" t="s">
        <v>1228</v>
      </c>
      <c r="C1075" s="23" t="s">
        <v>1085</v>
      </c>
      <c r="D1075" s="24">
        <v>2384.0</v>
      </c>
      <c r="E1075" s="23" t="s">
        <v>1333</v>
      </c>
      <c r="F1075" s="25" t="s">
        <v>26</v>
      </c>
      <c r="G1075" s="40"/>
      <c r="H1075" s="27">
        <v>159.0</v>
      </c>
      <c r="I1075" s="28">
        <v>5.0</v>
      </c>
      <c r="J1075" s="29" t="s">
        <v>38</v>
      </c>
      <c r="K1075" s="30">
        <v>0.5</v>
      </c>
      <c r="L1075" s="31">
        <f t="shared" si="1"/>
        <v>2.5</v>
      </c>
      <c r="M1075" s="31">
        <f t="shared" si="2"/>
        <v>2.5</v>
      </c>
      <c r="N1075" s="32">
        <f t="shared" si="3"/>
        <v>79.5</v>
      </c>
      <c r="O1075" s="32">
        <f t="shared" si="4"/>
        <v>79.5</v>
      </c>
      <c r="P1075" s="32">
        <f t="shared" si="5"/>
        <v>79.5</v>
      </c>
      <c r="Q1075" s="22">
        <v>0.0</v>
      </c>
      <c r="R1075" s="32">
        <f t="shared" si="6"/>
        <v>31.8</v>
      </c>
      <c r="S1075" s="33" t="s">
        <v>29</v>
      </c>
      <c r="T1075" s="33" t="s">
        <v>30</v>
      </c>
      <c r="U1075" s="38" t="s">
        <v>1334</v>
      </c>
      <c r="V1075" s="35"/>
      <c r="W1075" s="7"/>
      <c r="X1075" s="7"/>
      <c r="Y1075" s="7"/>
      <c r="Z1075" s="7"/>
      <c r="AA1075" s="7"/>
    </row>
    <row r="1076" ht="18.75" customHeight="1">
      <c r="A1076" s="8" t="s">
        <v>1168</v>
      </c>
      <c r="B1076" s="9" t="s">
        <v>1228</v>
      </c>
      <c r="C1076" s="9" t="s">
        <v>1085</v>
      </c>
      <c r="D1076" s="10">
        <v>2385.0</v>
      </c>
      <c r="E1076" s="9" t="s">
        <v>1335</v>
      </c>
      <c r="F1076" s="11" t="s">
        <v>26</v>
      </c>
      <c r="G1076" s="39"/>
      <c r="H1076" s="13">
        <v>29.99</v>
      </c>
      <c r="I1076" s="14">
        <v>5.0</v>
      </c>
      <c r="J1076" s="15" t="s">
        <v>154</v>
      </c>
      <c r="K1076" s="16">
        <v>0.8</v>
      </c>
      <c r="L1076" s="17">
        <f t="shared" si="1"/>
        <v>4</v>
      </c>
      <c r="M1076" s="17">
        <f t="shared" si="2"/>
        <v>1</v>
      </c>
      <c r="N1076" s="18">
        <f t="shared" si="3"/>
        <v>23.992</v>
      </c>
      <c r="O1076" s="18">
        <f t="shared" si="4"/>
        <v>5.998</v>
      </c>
      <c r="P1076" s="18">
        <f t="shared" si="5"/>
        <v>5.998</v>
      </c>
      <c r="Q1076" s="8">
        <v>0.0</v>
      </c>
      <c r="R1076" s="18">
        <f t="shared" si="6"/>
        <v>5.998</v>
      </c>
      <c r="S1076" s="19" t="s">
        <v>29</v>
      </c>
      <c r="T1076" s="19" t="s">
        <v>30</v>
      </c>
      <c r="U1076" s="36" t="s">
        <v>1336</v>
      </c>
      <c r="V1076" s="37"/>
      <c r="W1076" s="7"/>
      <c r="X1076" s="7"/>
      <c r="Y1076" s="7"/>
      <c r="Z1076" s="7"/>
      <c r="AA1076" s="7"/>
    </row>
    <row r="1077" ht="18.75" customHeight="1">
      <c r="A1077" s="22" t="s">
        <v>1168</v>
      </c>
      <c r="B1077" s="23" t="s">
        <v>1187</v>
      </c>
      <c r="C1077" s="23" t="s">
        <v>1093</v>
      </c>
      <c r="D1077" s="24">
        <v>2386.0</v>
      </c>
      <c r="E1077" s="23" t="s">
        <v>1242</v>
      </c>
      <c r="F1077" s="25" t="s">
        <v>37</v>
      </c>
      <c r="G1077" s="40"/>
      <c r="H1077" s="27">
        <v>49.97</v>
      </c>
      <c r="I1077" s="28">
        <v>5.0</v>
      </c>
      <c r="J1077" s="29" t="s">
        <v>28</v>
      </c>
      <c r="K1077" s="30">
        <v>0.4</v>
      </c>
      <c r="L1077" s="31">
        <f t="shared" si="1"/>
        <v>2</v>
      </c>
      <c r="M1077" s="31">
        <f t="shared" si="2"/>
        <v>3</v>
      </c>
      <c r="N1077" s="32">
        <f t="shared" si="3"/>
        <v>19.988</v>
      </c>
      <c r="O1077" s="32">
        <f t="shared" si="4"/>
        <v>29.982</v>
      </c>
      <c r="P1077" s="32">
        <f t="shared" si="5"/>
        <v>29.982</v>
      </c>
      <c r="Q1077" s="22">
        <v>0.0</v>
      </c>
      <c r="R1077" s="32">
        <f t="shared" si="6"/>
        <v>9.994</v>
      </c>
      <c r="S1077" s="33" t="s">
        <v>29</v>
      </c>
      <c r="T1077" s="33" t="s">
        <v>30</v>
      </c>
      <c r="U1077" s="34"/>
      <c r="V1077" s="35"/>
      <c r="W1077" s="7"/>
      <c r="X1077" s="7"/>
      <c r="Y1077" s="7"/>
      <c r="Z1077" s="7"/>
      <c r="AA1077" s="7"/>
    </row>
    <row r="1078" ht="18.75" customHeight="1">
      <c r="A1078" s="8" t="s">
        <v>1168</v>
      </c>
      <c r="B1078" s="9" t="s">
        <v>1187</v>
      </c>
      <c r="C1078" s="9" t="s">
        <v>1093</v>
      </c>
      <c r="D1078" s="10">
        <v>2388.0</v>
      </c>
      <c r="E1078" s="9" t="s">
        <v>1242</v>
      </c>
      <c r="F1078" s="11" t="s">
        <v>37</v>
      </c>
      <c r="G1078" s="39"/>
      <c r="H1078" s="13">
        <v>49.97</v>
      </c>
      <c r="I1078" s="14">
        <v>5.0</v>
      </c>
      <c r="J1078" s="15" t="s">
        <v>28</v>
      </c>
      <c r="K1078" s="16">
        <v>0.4</v>
      </c>
      <c r="L1078" s="17">
        <f t="shared" si="1"/>
        <v>2</v>
      </c>
      <c r="M1078" s="17">
        <f t="shared" si="2"/>
        <v>3</v>
      </c>
      <c r="N1078" s="18">
        <f t="shared" si="3"/>
        <v>19.988</v>
      </c>
      <c r="O1078" s="18">
        <f t="shared" si="4"/>
        <v>29.982</v>
      </c>
      <c r="P1078" s="18">
        <f t="shared" si="5"/>
        <v>29.982</v>
      </c>
      <c r="Q1078" s="8">
        <v>0.0</v>
      </c>
      <c r="R1078" s="18">
        <f t="shared" si="6"/>
        <v>9.994</v>
      </c>
      <c r="S1078" s="19" t="s">
        <v>29</v>
      </c>
      <c r="T1078" s="19" t="s">
        <v>30</v>
      </c>
      <c r="U1078" s="20"/>
      <c r="V1078" s="37"/>
      <c r="W1078" s="7"/>
      <c r="X1078" s="7"/>
      <c r="Y1078" s="7"/>
      <c r="Z1078" s="7"/>
      <c r="AA1078" s="7"/>
    </row>
    <row r="1079" ht="18.75" customHeight="1">
      <c r="A1079" s="22" t="s">
        <v>1168</v>
      </c>
      <c r="B1079" s="23" t="s">
        <v>1211</v>
      </c>
      <c r="C1079" s="23" t="s">
        <v>1326</v>
      </c>
      <c r="D1079" s="24">
        <v>2428.0</v>
      </c>
      <c r="E1079" s="23" t="s">
        <v>1337</v>
      </c>
      <c r="F1079" s="25" t="s">
        <v>26</v>
      </c>
      <c r="G1079" s="26" t="s">
        <v>27</v>
      </c>
      <c r="H1079" s="27">
        <v>37.9</v>
      </c>
      <c r="I1079" s="28">
        <v>5.0</v>
      </c>
      <c r="J1079" s="29" t="s">
        <v>38</v>
      </c>
      <c r="K1079" s="30">
        <v>0.5</v>
      </c>
      <c r="L1079" s="31">
        <f t="shared" si="1"/>
        <v>2.5</v>
      </c>
      <c r="M1079" s="31">
        <f t="shared" si="2"/>
        <v>2.5</v>
      </c>
      <c r="N1079" s="32">
        <f t="shared" si="3"/>
        <v>18.95</v>
      </c>
      <c r="O1079" s="32">
        <f t="shared" si="4"/>
        <v>18.95</v>
      </c>
      <c r="P1079" s="32">
        <f t="shared" si="5"/>
        <v>18.95</v>
      </c>
      <c r="Q1079" s="22">
        <v>0.0</v>
      </c>
      <c r="R1079" s="32">
        <f t="shared" si="6"/>
        <v>7.58</v>
      </c>
      <c r="S1079" s="33" t="s">
        <v>29</v>
      </c>
      <c r="T1079" s="33" t="s">
        <v>30</v>
      </c>
      <c r="U1079" s="34" t="s">
        <v>302</v>
      </c>
      <c r="V1079" s="35"/>
      <c r="W1079" s="7"/>
      <c r="X1079" s="7"/>
      <c r="Y1079" s="7"/>
      <c r="Z1079" s="7"/>
      <c r="AA1079" s="7"/>
    </row>
    <row r="1080" ht="18.75" customHeight="1">
      <c r="A1080" s="8" t="s">
        <v>1168</v>
      </c>
      <c r="B1080" s="9" t="s">
        <v>1211</v>
      </c>
      <c r="C1080" s="9" t="s">
        <v>1326</v>
      </c>
      <c r="D1080" s="10">
        <v>2429.0</v>
      </c>
      <c r="E1080" s="9" t="s">
        <v>1337</v>
      </c>
      <c r="F1080" s="11" t="s">
        <v>26</v>
      </c>
      <c r="G1080" s="12" t="s">
        <v>27</v>
      </c>
      <c r="H1080" s="13">
        <v>37.9</v>
      </c>
      <c r="I1080" s="14">
        <v>5.0</v>
      </c>
      <c r="J1080" s="15" t="s">
        <v>38</v>
      </c>
      <c r="K1080" s="16">
        <v>0.5</v>
      </c>
      <c r="L1080" s="17">
        <f t="shared" si="1"/>
        <v>2.5</v>
      </c>
      <c r="M1080" s="17">
        <f t="shared" si="2"/>
        <v>2.5</v>
      </c>
      <c r="N1080" s="18">
        <f t="shared" si="3"/>
        <v>18.95</v>
      </c>
      <c r="O1080" s="18">
        <f t="shared" si="4"/>
        <v>18.95</v>
      </c>
      <c r="P1080" s="18">
        <f t="shared" si="5"/>
        <v>18.95</v>
      </c>
      <c r="Q1080" s="8">
        <v>0.0</v>
      </c>
      <c r="R1080" s="18">
        <f t="shared" si="6"/>
        <v>7.58</v>
      </c>
      <c r="S1080" s="19" t="s">
        <v>29</v>
      </c>
      <c r="T1080" s="19" t="s">
        <v>30</v>
      </c>
      <c r="U1080" s="20" t="s">
        <v>302</v>
      </c>
      <c r="V1080" s="37"/>
      <c r="W1080" s="7"/>
      <c r="X1080" s="7"/>
      <c r="Y1080" s="7"/>
      <c r="Z1080" s="7"/>
      <c r="AA1080" s="7"/>
    </row>
    <row r="1081" ht="18.75" customHeight="1">
      <c r="A1081" s="22" t="s">
        <v>1168</v>
      </c>
      <c r="B1081" s="102" t="s">
        <v>1178</v>
      </c>
      <c r="C1081" s="23" t="s">
        <v>294</v>
      </c>
      <c r="D1081" s="24">
        <v>2431.0</v>
      </c>
      <c r="E1081" s="23" t="s">
        <v>1338</v>
      </c>
      <c r="F1081" s="25" t="s">
        <v>26</v>
      </c>
      <c r="G1081" s="26" t="s">
        <v>27</v>
      </c>
      <c r="H1081" s="27">
        <v>834.05</v>
      </c>
      <c r="I1081" s="28">
        <v>10.0</v>
      </c>
      <c r="J1081" s="45" t="s">
        <v>63</v>
      </c>
      <c r="K1081" s="30">
        <v>0.700000000000006</v>
      </c>
      <c r="L1081" s="31">
        <f t="shared" si="1"/>
        <v>7</v>
      </c>
      <c r="M1081" s="31">
        <f t="shared" si="2"/>
        <v>3</v>
      </c>
      <c r="N1081" s="32">
        <f t="shared" si="3"/>
        <v>583.835</v>
      </c>
      <c r="O1081" s="32">
        <f t="shared" si="4"/>
        <v>250.215</v>
      </c>
      <c r="P1081" s="32">
        <f t="shared" si="5"/>
        <v>250.215</v>
      </c>
      <c r="Q1081" s="22">
        <v>0.0</v>
      </c>
      <c r="R1081" s="32">
        <f t="shared" si="6"/>
        <v>83.405</v>
      </c>
      <c r="S1081" s="33" t="s">
        <v>29</v>
      </c>
      <c r="T1081" s="33" t="s">
        <v>30</v>
      </c>
      <c r="U1081" s="38" t="s">
        <v>559</v>
      </c>
      <c r="V1081" s="35"/>
      <c r="W1081" s="7"/>
      <c r="X1081" s="7"/>
      <c r="Y1081" s="7"/>
      <c r="Z1081" s="7"/>
      <c r="AA1081" s="7"/>
    </row>
    <row r="1082" ht="18.75" customHeight="1">
      <c r="A1082" s="8" t="s">
        <v>1168</v>
      </c>
      <c r="B1082" s="9" t="s">
        <v>1211</v>
      </c>
      <c r="C1082" s="9" t="s">
        <v>1326</v>
      </c>
      <c r="D1082" s="10">
        <v>2437.0</v>
      </c>
      <c r="E1082" s="9" t="s">
        <v>1339</v>
      </c>
      <c r="F1082" s="11" t="s">
        <v>26</v>
      </c>
      <c r="G1082" s="12" t="s">
        <v>27</v>
      </c>
      <c r="H1082" s="13">
        <v>37.9</v>
      </c>
      <c r="I1082" s="14">
        <v>5.0</v>
      </c>
      <c r="J1082" s="15" t="s">
        <v>38</v>
      </c>
      <c r="K1082" s="16">
        <v>0.5</v>
      </c>
      <c r="L1082" s="17">
        <f t="shared" si="1"/>
        <v>2.5</v>
      </c>
      <c r="M1082" s="17">
        <f t="shared" si="2"/>
        <v>2.5</v>
      </c>
      <c r="N1082" s="18">
        <f t="shared" si="3"/>
        <v>18.95</v>
      </c>
      <c r="O1082" s="18">
        <f t="shared" si="4"/>
        <v>18.95</v>
      </c>
      <c r="P1082" s="18">
        <f t="shared" si="5"/>
        <v>18.95</v>
      </c>
      <c r="Q1082" s="8">
        <v>0.0</v>
      </c>
      <c r="R1082" s="18">
        <f t="shared" si="6"/>
        <v>7.58</v>
      </c>
      <c r="S1082" s="19" t="s">
        <v>29</v>
      </c>
      <c r="T1082" s="19" t="s">
        <v>30</v>
      </c>
      <c r="U1082" s="20" t="s">
        <v>302</v>
      </c>
      <c r="V1082" s="37"/>
      <c r="W1082" s="7"/>
      <c r="X1082" s="7"/>
      <c r="Y1082" s="7"/>
      <c r="Z1082" s="7"/>
      <c r="AA1082" s="7"/>
    </row>
    <row r="1083" ht="18.75" customHeight="1">
      <c r="A1083" s="22" t="s">
        <v>1168</v>
      </c>
      <c r="B1083" s="23" t="s">
        <v>1184</v>
      </c>
      <c r="C1083" s="23" t="s">
        <v>844</v>
      </c>
      <c r="D1083" s="24">
        <v>2459.0</v>
      </c>
      <c r="E1083" s="23" t="s">
        <v>1340</v>
      </c>
      <c r="F1083" s="25" t="s">
        <v>202</v>
      </c>
      <c r="G1083" s="40"/>
      <c r="H1083" s="27">
        <v>575.36</v>
      </c>
      <c r="I1083" s="28">
        <v>5.0</v>
      </c>
      <c r="J1083" s="29" t="s">
        <v>38</v>
      </c>
      <c r="K1083" s="30">
        <v>0.5</v>
      </c>
      <c r="L1083" s="31">
        <f t="shared" si="1"/>
        <v>2.5</v>
      </c>
      <c r="M1083" s="31">
        <f t="shared" si="2"/>
        <v>2.5</v>
      </c>
      <c r="N1083" s="32">
        <f t="shared" si="3"/>
        <v>287.68</v>
      </c>
      <c r="O1083" s="32">
        <f t="shared" si="4"/>
        <v>287.68</v>
      </c>
      <c r="P1083" s="32">
        <f t="shared" si="5"/>
        <v>287.68</v>
      </c>
      <c r="Q1083" s="22">
        <v>0.0</v>
      </c>
      <c r="R1083" s="32">
        <f t="shared" si="6"/>
        <v>115.072</v>
      </c>
      <c r="S1083" s="33" t="s">
        <v>29</v>
      </c>
      <c r="T1083" s="33" t="s">
        <v>30</v>
      </c>
      <c r="U1083" s="38" t="s">
        <v>1341</v>
      </c>
      <c r="V1083" s="35"/>
      <c r="W1083" s="7"/>
      <c r="X1083" s="7"/>
      <c r="Y1083" s="7"/>
      <c r="Z1083" s="7"/>
      <c r="AA1083" s="7"/>
    </row>
    <row r="1084" ht="18.75" customHeight="1">
      <c r="A1084" s="8" t="s">
        <v>1168</v>
      </c>
      <c r="B1084" s="9" t="s">
        <v>1228</v>
      </c>
      <c r="C1084" s="9" t="s">
        <v>1085</v>
      </c>
      <c r="D1084" s="10">
        <v>2460.0</v>
      </c>
      <c r="E1084" s="9" t="s">
        <v>1342</v>
      </c>
      <c r="F1084" s="11" t="s">
        <v>26</v>
      </c>
      <c r="G1084" s="39"/>
      <c r="H1084" s="13">
        <v>1089.0</v>
      </c>
      <c r="I1084" s="14">
        <v>5.0</v>
      </c>
      <c r="J1084" s="15" t="s">
        <v>38</v>
      </c>
      <c r="K1084" s="16">
        <v>0.5</v>
      </c>
      <c r="L1084" s="17">
        <f t="shared" si="1"/>
        <v>2.5</v>
      </c>
      <c r="M1084" s="17">
        <f t="shared" si="2"/>
        <v>2.5</v>
      </c>
      <c r="N1084" s="18">
        <f t="shared" si="3"/>
        <v>544.5</v>
      </c>
      <c r="O1084" s="18">
        <f t="shared" si="4"/>
        <v>544.5</v>
      </c>
      <c r="P1084" s="18">
        <f t="shared" si="5"/>
        <v>544.5</v>
      </c>
      <c r="Q1084" s="8">
        <v>0.0</v>
      </c>
      <c r="R1084" s="18">
        <f t="shared" si="6"/>
        <v>217.8</v>
      </c>
      <c r="S1084" s="19" t="s">
        <v>29</v>
      </c>
      <c r="T1084" s="19" t="s">
        <v>30</v>
      </c>
      <c r="U1084" s="36" t="s">
        <v>1297</v>
      </c>
      <c r="V1084" s="37"/>
      <c r="W1084" s="7"/>
      <c r="X1084" s="7"/>
      <c r="Y1084" s="7"/>
      <c r="Z1084" s="7"/>
      <c r="AA1084" s="7"/>
    </row>
    <row r="1085" ht="18.75" customHeight="1">
      <c r="A1085" s="22" t="s">
        <v>1168</v>
      </c>
      <c r="B1085" s="23" t="s">
        <v>1343</v>
      </c>
      <c r="C1085" s="23" t="s">
        <v>1170</v>
      </c>
      <c r="D1085" s="24">
        <v>2461.0</v>
      </c>
      <c r="E1085" s="23" t="s">
        <v>1340</v>
      </c>
      <c r="F1085" s="25" t="s">
        <v>202</v>
      </c>
      <c r="G1085" s="40"/>
      <c r="H1085" s="27">
        <v>575.36</v>
      </c>
      <c r="I1085" s="28">
        <v>5.0</v>
      </c>
      <c r="J1085" s="101" t="s">
        <v>54</v>
      </c>
      <c r="K1085" s="30">
        <v>0.3</v>
      </c>
      <c r="L1085" s="31">
        <f t="shared" si="1"/>
        <v>1.5</v>
      </c>
      <c r="M1085" s="31">
        <f t="shared" si="2"/>
        <v>3.5</v>
      </c>
      <c r="N1085" s="32">
        <f t="shared" si="3"/>
        <v>172.608</v>
      </c>
      <c r="O1085" s="32">
        <f t="shared" si="4"/>
        <v>402.752</v>
      </c>
      <c r="P1085" s="32">
        <f t="shared" si="5"/>
        <v>402.752</v>
      </c>
      <c r="Q1085" s="22">
        <v>0.0</v>
      </c>
      <c r="R1085" s="32">
        <f t="shared" si="6"/>
        <v>115.072</v>
      </c>
      <c r="S1085" s="33" t="s">
        <v>29</v>
      </c>
      <c r="T1085" s="33" t="s">
        <v>30</v>
      </c>
      <c r="U1085" s="38" t="s">
        <v>1341</v>
      </c>
      <c r="V1085" s="35"/>
      <c r="W1085" s="7"/>
      <c r="X1085" s="7"/>
      <c r="Y1085" s="7"/>
      <c r="Z1085" s="7"/>
      <c r="AA1085" s="7"/>
    </row>
    <row r="1086" ht="18.75" customHeight="1">
      <c r="A1086" s="8" t="s">
        <v>1168</v>
      </c>
      <c r="B1086" s="9" t="s">
        <v>1191</v>
      </c>
      <c r="C1086" s="9" t="s">
        <v>1192</v>
      </c>
      <c r="D1086" s="10">
        <v>2463.0</v>
      </c>
      <c r="E1086" s="9" t="s">
        <v>1344</v>
      </c>
      <c r="F1086" s="11" t="s">
        <v>202</v>
      </c>
      <c r="G1086" s="39"/>
      <c r="H1086" s="13">
        <v>575.36</v>
      </c>
      <c r="I1086" s="14">
        <v>5.0</v>
      </c>
      <c r="J1086" s="100" t="s">
        <v>54</v>
      </c>
      <c r="K1086" s="16">
        <v>0.3</v>
      </c>
      <c r="L1086" s="17">
        <f t="shared" si="1"/>
        <v>1.5</v>
      </c>
      <c r="M1086" s="17">
        <f t="shared" si="2"/>
        <v>3.5</v>
      </c>
      <c r="N1086" s="18">
        <f t="shared" si="3"/>
        <v>172.608</v>
      </c>
      <c r="O1086" s="18">
        <f t="shared" si="4"/>
        <v>402.752</v>
      </c>
      <c r="P1086" s="18">
        <f t="shared" si="5"/>
        <v>402.752</v>
      </c>
      <c r="Q1086" s="8">
        <v>0.0</v>
      </c>
      <c r="R1086" s="18">
        <f t="shared" si="6"/>
        <v>115.072</v>
      </c>
      <c r="S1086" s="19" t="s">
        <v>29</v>
      </c>
      <c r="T1086" s="19" t="s">
        <v>30</v>
      </c>
      <c r="U1086" s="36" t="s">
        <v>1341</v>
      </c>
      <c r="V1086" s="37"/>
      <c r="W1086" s="7"/>
      <c r="X1086" s="7"/>
      <c r="Y1086" s="7"/>
      <c r="Z1086" s="7"/>
      <c r="AA1086" s="7"/>
    </row>
    <row r="1087" ht="18.75" customHeight="1">
      <c r="A1087" s="22" t="s">
        <v>1168</v>
      </c>
      <c r="B1087" s="23" t="s">
        <v>1169</v>
      </c>
      <c r="C1087" s="23" t="s">
        <v>1170</v>
      </c>
      <c r="D1087" s="24">
        <v>2464.0</v>
      </c>
      <c r="E1087" s="23" t="s">
        <v>1340</v>
      </c>
      <c r="F1087" s="25" t="s">
        <v>202</v>
      </c>
      <c r="G1087" s="40"/>
      <c r="H1087" s="27">
        <v>575.36</v>
      </c>
      <c r="I1087" s="28">
        <v>5.0</v>
      </c>
      <c r="J1087" s="101" t="s">
        <v>54</v>
      </c>
      <c r="K1087" s="30">
        <v>0.3</v>
      </c>
      <c r="L1087" s="31">
        <f t="shared" si="1"/>
        <v>1.5</v>
      </c>
      <c r="M1087" s="31">
        <f t="shared" si="2"/>
        <v>3.5</v>
      </c>
      <c r="N1087" s="32">
        <f t="shared" si="3"/>
        <v>172.608</v>
      </c>
      <c r="O1087" s="32">
        <f t="shared" si="4"/>
        <v>402.752</v>
      </c>
      <c r="P1087" s="32">
        <f t="shared" si="5"/>
        <v>402.752</v>
      </c>
      <c r="Q1087" s="22">
        <v>0.0</v>
      </c>
      <c r="R1087" s="32">
        <f t="shared" si="6"/>
        <v>115.072</v>
      </c>
      <c r="S1087" s="33" t="s">
        <v>29</v>
      </c>
      <c r="T1087" s="33" t="s">
        <v>30</v>
      </c>
      <c r="U1087" s="38" t="s">
        <v>1341</v>
      </c>
      <c r="V1087" s="35"/>
      <c r="W1087" s="7"/>
      <c r="X1087" s="7"/>
      <c r="Y1087" s="7"/>
      <c r="Z1087" s="7"/>
      <c r="AA1087" s="7"/>
    </row>
    <row r="1088" ht="18.75" customHeight="1">
      <c r="A1088" s="8" t="s">
        <v>1168</v>
      </c>
      <c r="B1088" s="103" t="s">
        <v>1178</v>
      </c>
      <c r="C1088" s="9" t="s">
        <v>1206</v>
      </c>
      <c r="D1088" s="10">
        <v>2465.0</v>
      </c>
      <c r="E1088" s="9" t="s">
        <v>1340</v>
      </c>
      <c r="F1088" s="11" t="s">
        <v>202</v>
      </c>
      <c r="G1088" s="39"/>
      <c r="H1088" s="13">
        <v>575.36</v>
      </c>
      <c r="I1088" s="14">
        <v>5.0</v>
      </c>
      <c r="J1088" s="100" t="s">
        <v>54</v>
      </c>
      <c r="K1088" s="16">
        <v>0.3</v>
      </c>
      <c r="L1088" s="17">
        <f t="shared" si="1"/>
        <v>1.5</v>
      </c>
      <c r="M1088" s="17">
        <f t="shared" si="2"/>
        <v>3.5</v>
      </c>
      <c r="N1088" s="18">
        <f t="shared" si="3"/>
        <v>172.608</v>
      </c>
      <c r="O1088" s="18">
        <f t="shared" si="4"/>
        <v>402.752</v>
      </c>
      <c r="P1088" s="18">
        <f t="shared" si="5"/>
        <v>402.752</v>
      </c>
      <c r="Q1088" s="8">
        <v>0.0</v>
      </c>
      <c r="R1088" s="18">
        <f t="shared" si="6"/>
        <v>115.072</v>
      </c>
      <c r="S1088" s="19" t="s">
        <v>29</v>
      </c>
      <c r="T1088" s="19" t="s">
        <v>30</v>
      </c>
      <c r="U1088" s="36" t="s">
        <v>1341</v>
      </c>
      <c r="V1088" s="37"/>
      <c r="W1088" s="7"/>
      <c r="X1088" s="7"/>
      <c r="Y1088" s="7"/>
      <c r="Z1088" s="7"/>
      <c r="AA1088" s="7"/>
    </row>
    <row r="1089" ht="18.75" customHeight="1">
      <c r="A1089" s="22" t="s">
        <v>1168</v>
      </c>
      <c r="B1089" s="23" t="s">
        <v>1184</v>
      </c>
      <c r="C1089" s="23" t="s">
        <v>844</v>
      </c>
      <c r="D1089" s="24">
        <v>2470.0</v>
      </c>
      <c r="E1089" s="23" t="s">
        <v>1342</v>
      </c>
      <c r="F1089" s="25" t="s">
        <v>26</v>
      </c>
      <c r="G1089" s="40"/>
      <c r="H1089" s="27">
        <v>1089.0</v>
      </c>
      <c r="I1089" s="28">
        <v>5.0</v>
      </c>
      <c r="J1089" s="29" t="s">
        <v>38</v>
      </c>
      <c r="K1089" s="30">
        <v>0.5</v>
      </c>
      <c r="L1089" s="31">
        <f t="shared" si="1"/>
        <v>2.5</v>
      </c>
      <c r="M1089" s="31">
        <f t="shared" si="2"/>
        <v>2.5</v>
      </c>
      <c r="N1089" s="32">
        <f t="shared" si="3"/>
        <v>544.5</v>
      </c>
      <c r="O1089" s="32">
        <f t="shared" si="4"/>
        <v>544.5</v>
      </c>
      <c r="P1089" s="32">
        <f t="shared" si="5"/>
        <v>544.5</v>
      </c>
      <c r="Q1089" s="22">
        <v>0.0</v>
      </c>
      <c r="R1089" s="32">
        <f t="shared" si="6"/>
        <v>217.8</v>
      </c>
      <c r="S1089" s="33" t="s">
        <v>29</v>
      </c>
      <c r="T1089" s="33" t="s">
        <v>30</v>
      </c>
      <c r="U1089" s="38" t="s">
        <v>1297</v>
      </c>
      <c r="V1089" s="35"/>
      <c r="W1089" s="7"/>
      <c r="X1089" s="7"/>
      <c r="Y1089" s="7"/>
      <c r="Z1089" s="7"/>
      <c r="AA1089" s="7"/>
    </row>
    <row r="1090" ht="18.75" customHeight="1">
      <c r="A1090" s="8" t="s">
        <v>1168</v>
      </c>
      <c r="B1090" s="103" t="s">
        <v>1178</v>
      </c>
      <c r="C1090" s="9" t="s">
        <v>294</v>
      </c>
      <c r="D1090" s="10">
        <v>2471.0</v>
      </c>
      <c r="E1090" s="9" t="s">
        <v>1342</v>
      </c>
      <c r="F1090" s="11" t="s">
        <v>26</v>
      </c>
      <c r="G1090" s="39"/>
      <c r="H1090" s="13">
        <v>1089.0</v>
      </c>
      <c r="I1090" s="14">
        <v>5.0</v>
      </c>
      <c r="J1090" s="15" t="s">
        <v>38</v>
      </c>
      <c r="K1090" s="16">
        <v>0.5</v>
      </c>
      <c r="L1090" s="17">
        <f t="shared" si="1"/>
        <v>2.5</v>
      </c>
      <c r="M1090" s="17">
        <f t="shared" si="2"/>
        <v>2.5</v>
      </c>
      <c r="N1090" s="18">
        <f t="shared" si="3"/>
        <v>544.5</v>
      </c>
      <c r="O1090" s="18">
        <f t="shared" si="4"/>
        <v>544.5</v>
      </c>
      <c r="P1090" s="18">
        <f t="shared" si="5"/>
        <v>544.5</v>
      </c>
      <c r="Q1090" s="8">
        <v>0.0</v>
      </c>
      <c r="R1090" s="18">
        <f t="shared" si="6"/>
        <v>217.8</v>
      </c>
      <c r="S1090" s="19" t="s">
        <v>29</v>
      </c>
      <c r="T1090" s="19" t="s">
        <v>30</v>
      </c>
      <c r="U1090" s="36" t="s">
        <v>1297</v>
      </c>
      <c r="V1090" s="37"/>
      <c r="W1090" s="7"/>
      <c r="X1090" s="7"/>
      <c r="Y1090" s="7"/>
      <c r="Z1090" s="7"/>
      <c r="AA1090" s="7"/>
    </row>
    <row r="1091" ht="18.75" customHeight="1">
      <c r="A1091" s="22" t="s">
        <v>1168</v>
      </c>
      <c r="B1091" s="23" t="s">
        <v>1228</v>
      </c>
      <c r="C1091" s="23" t="s">
        <v>1085</v>
      </c>
      <c r="D1091" s="24">
        <v>2473.0</v>
      </c>
      <c r="E1091" s="23" t="s">
        <v>1345</v>
      </c>
      <c r="F1091" s="25" t="s">
        <v>26</v>
      </c>
      <c r="G1091" s="40"/>
      <c r="H1091" s="27">
        <v>599.24</v>
      </c>
      <c r="I1091" s="28">
        <v>5.0</v>
      </c>
      <c r="J1091" s="29" t="s">
        <v>38</v>
      </c>
      <c r="K1091" s="30">
        <v>0.5</v>
      </c>
      <c r="L1091" s="31">
        <f t="shared" si="1"/>
        <v>2.5</v>
      </c>
      <c r="M1091" s="31">
        <f t="shared" si="2"/>
        <v>2.5</v>
      </c>
      <c r="N1091" s="32">
        <f t="shared" si="3"/>
        <v>299.62</v>
      </c>
      <c r="O1091" s="32">
        <f t="shared" si="4"/>
        <v>299.62</v>
      </c>
      <c r="P1091" s="32">
        <f t="shared" si="5"/>
        <v>299.62</v>
      </c>
      <c r="Q1091" s="22">
        <v>0.0</v>
      </c>
      <c r="R1091" s="32">
        <f t="shared" si="6"/>
        <v>119.848</v>
      </c>
      <c r="S1091" s="33" t="s">
        <v>29</v>
      </c>
      <c r="T1091" s="33" t="s">
        <v>30</v>
      </c>
      <c r="U1091" s="34" t="s">
        <v>1346</v>
      </c>
      <c r="V1091" s="35"/>
      <c r="W1091" s="7"/>
      <c r="X1091" s="7"/>
      <c r="Y1091" s="7"/>
      <c r="Z1091" s="7"/>
      <c r="AA1091" s="7"/>
    </row>
    <row r="1092" ht="18.75" customHeight="1">
      <c r="A1092" s="8" t="s">
        <v>1168</v>
      </c>
      <c r="B1092" s="9" t="s">
        <v>1089</v>
      </c>
      <c r="C1092" s="9" t="s">
        <v>1173</v>
      </c>
      <c r="D1092" s="10">
        <v>2494.0</v>
      </c>
      <c r="E1092" s="9" t="s">
        <v>1347</v>
      </c>
      <c r="F1092" s="11" t="s">
        <v>26</v>
      </c>
      <c r="G1092" s="39"/>
      <c r="H1092" s="13">
        <v>1725.896</v>
      </c>
      <c r="I1092" s="14">
        <v>5.0</v>
      </c>
      <c r="J1092" s="100" t="s">
        <v>54</v>
      </c>
      <c r="K1092" s="16">
        <v>0.3</v>
      </c>
      <c r="L1092" s="17">
        <f t="shared" si="1"/>
        <v>1.5</v>
      </c>
      <c r="M1092" s="17">
        <f t="shared" si="2"/>
        <v>3.5</v>
      </c>
      <c r="N1092" s="18">
        <f t="shared" si="3"/>
        <v>517.7688</v>
      </c>
      <c r="O1092" s="18">
        <f t="shared" si="4"/>
        <v>1208.1272</v>
      </c>
      <c r="P1092" s="18">
        <f t="shared" si="5"/>
        <v>1208.1272</v>
      </c>
      <c r="Q1092" s="8">
        <v>0.0</v>
      </c>
      <c r="R1092" s="18">
        <f t="shared" si="6"/>
        <v>345.1792</v>
      </c>
      <c r="S1092" s="19" t="s">
        <v>29</v>
      </c>
      <c r="T1092" s="19" t="s">
        <v>30</v>
      </c>
      <c r="U1092" s="36" t="s">
        <v>1030</v>
      </c>
      <c r="V1092" s="37"/>
      <c r="W1092" s="7"/>
      <c r="X1092" s="7"/>
      <c r="Y1092" s="7"/>
      <c r="Z1092" s="7"/>
      <c r="AA1092" s="7"/>
    </row>
    <row r="1093" ht="18.75" customHeight="1">
      <c r="A1093" s="45" t="s">
        <v>1168</v>
      </c>
      <c r="B1093" s="111" t="s">
        <v>1089</v>
      </c>
      <c r="C1093" s="111" t="s">
        <v>1348</v>
      </c>
      <c r="D1093" s="112">
        <v>2494.0</v>
      </c>
      <c r="E1093" s="111" t="s">
        <v>1349</v>
      </c>
      <c r="F1093" s="25" t="s">
        <v>26</v>
      </c>
      <c r="G1093" s="108"/>
      <c r="H1093" s="27">
        <v>4314.74</v>
      </c>
      <c r="I1093" s="28">
        <v>5.0</v>
      </c>
      <c r="J1093" s="41" t="s">
        <v>54</v>
      </c>
      <c r="K1093" s="30">
        <v>0.3</v>
      </c>
      <c r="L1093" s="31">
        <f t="shared" si="1"/>
        <v>1.5</v>
      </c>
      <c r="M1093" s="31">
        <f t="shared" si="2"/>
        <v>3.5</v>
      </c>
      <c r="N1093" s="32">
        <f t="shared" si="3"/>
        <v>1294.422</v>
      </c>
      <c r="O1093" s="32">
        <f t="shared" si="4"/>
        <v>3020.318</v>
      </c>
      <c r="P1093" s="32">
        <f t="shared" si="5"/>
        <v>3020.318</v>
      </c>
      <c r="Q1093" s="22">
        <v>0.0</v>
      </c>
      <c r="R1093" s="32">
        <f t="shared" si="6"/>
        <v>862.948</v>
      </c>
      <c r="S1093" s="33" t="s">
        <v>29</v>
      </c>
      <c r="T1093" s="33" t="s">
        <v>30</v>
      </c>
      <c r="U1093" s="38" t="s">
        <v>1030</v>
      </c>
      <c r="V1093" s="35"/>
      <c r="W1093" s="7"/>
      <c r="X1093" s="7"/>
      <c r="Y1093" s="7"/>
      <c r="Z1093" s="7"/>
      <c r="AA1093" s="7"/>
    </row>
    <row r="1094" ht="18.75" customHeight="1">
      <c r="A1094" s="8" t="s">
        <v>1168</v>
      </c>
      <c r="B1094" s="9" t="s">
        <v>1089</v>
      </c>
      <c r="C1094" s="9" t="s">
        <v>1350</v>
      </c>
      <c r="D1094" s="10">
        <v>2496.0</v>
      </c>
      <c r="E1094" s="9" t="s">
        <v>1351</v>
      </c>
      <c r="F1094" s="11" t="s">
        <v>26</v>
      </c>
      <c r="G1094" s="39"/>
      <c r="H1094" s="13">
        <v>1725.896</v>
      </c>
      <c r="I1094" s="14">
        <v>5.0</v>
      </c>
      <c r="J1094" s="101" t="s">
        <v>54</v>
      </c>
      <c r="K1094" s="16">
        <v>0.3</v>
      </c>
      <c r="L1094" s="17">
        <f t="shared" si="1"/>
        <v>1.5</v>
      </c>
      <c r="M1094" s="17">
        <f t="shared" si="2"/>
        <v>3.5</v>
      </c>
      <c r="N1094" s="18">
        <f t="shared" si="3"/>
        <v>517.7688</v>
      </c>
      <c r="O1094" s="18">
        <f t="shared" si="4"/>
        <v>1208.1272</v>
      </c>
      <c r="P1094" s="18">
        <f t="shared" si="5"/>
        <v>1208.1272</v>
      </c>
      <c r="Q1094" s="8">
        <v>0.0</v>
      </c>
      <c r="R1094" s="18">
        <f t="shared" si="6"/>
        <v>345.1792</v>
      </c>
      <c r="S1094" s="19" t="s">
        <v>29</v>
      </c>
      <c r="T1094" s="19" t="s">
        <v>30</v>
      </c>
      <c r="U1094" s="36" t="s">
        <v>1030</v>
      </c>
      <c r="V1094" s="37"/>
      <c r="W1094" s="7"/>
      <c r="X1094" s="7"/>
      <c r="Y1094" s="7"/>
      <c r="Z1094" s="7"/>
      <c r="AA1094" s="7"/>
    </row>
    <row r="1095" ht="18.75" customHeight="1">
      <c r="A1095" s="45" t="s">
        <v>1168</v>
      </c>
      <c r="B1095" s="113" t="s">
        <v>1180</v>
      </c>
      <c r="C1095" s="111" t="s">
        <v>1352</v>
      </c>
      <c r="D1095" s="112">
        <v>2496.0</v>
      </c>
      <c r="E1095" s="111" t="s">
        <v>1349</v>
      </c>
      <c r="F1095" s="25" t="s">
        <v>26</v>
      </c>
      <c r="G1095" s="108"/>
      <c r="H1095" s="27">
        <v>4314.74</v>
      </c>
      <c r="I1095" s="28">
        <v>5.0</v>
      </c>
      <c r="J1095" s="41" t="s">
        <v>54</v>
      </c>
      <c r="K1095" s="30">
        <v>0.3</v>
      </c>
      <c r="L1095" s="31">
        <f t="shared" si="1"/>
        <v>1.5</v>
      </c>
      <c r="M1095" s="31">
        <f t="shared" si="2"/>
        <v>3.5</v>
      </c>
      <c r="N1095" s="32">
        <f t="shared" si="3"/>
        <v>1294.422</v>
      </c>
      <c r="O1095" s="32">
        <f t="shared" si="4"/>
        <v>3020.318</v>
      </c>
      <c r="P1095" s="32">
        <f t="shared" si="5"/>
        <v>3020.318</v>
      </c>
      <c r="Q1095" s="22">
        <v>0.0</v>
      </c>
      <c r="R1095" s="32">
        <f t="shared" si="6"/>
        <v>862.948</v>
      </c>
      <c r="S1095" s="33" t="s">
        <v>29</v>
      </c>
      <c r="T1095" s="33" t="s">
        <v>30</v>
      </c>
      <c r="U1095" s="38" t="s">
        <v>1030</v>
      </c>
      <c r="V1095" s="35"/>
      <c r="W1095" s="7"/>
      <c r="X1095" s="7"/>
      <c r="Y1095" s="7"/>
      <c r="Z1095" s="7"/>
      <c r="AA1095" s="7"/>
    </row>
    <row r="1096" ht="18.75" customHeight="1">
      <c r="A1096" s="8" t="s">
        <v>1168</v>
      </c>
      <c r="B1096" s="9" t="s">
        <v>1180</v>
      </c>
      <c r="C1096" s="9" t="s">
        <v>1181</v>
      </c>
      <c r="D1096" s="10">
        <v>2499.0</v>
      </c>
      <c r="E1096" s="9" t="s">
        <v>1353</v>
      </c>
      <c r="F1096" s="11" t="s">
        <v>202</v>
      </c>
      <c r="G1096" s="39"/>
      <c r="H1096" s="13">
        <v>575.36</v>
      </c>
      <c r="I1096" s="14">
        <v>5.0</v>
      </c>
      <c r="J1096" s="15" t="s">
        <v>38</v>
      </c>
      <c r="K1096" s="16">
        <v>0.5</v>
      </c>
      <c r="L1096" s="17">
        <f t="shared" si="1"/>
        <v>2.5</v>
      </c>
      <c r="M1096" s="17">
        <f t="shared" si="2"/>
        <v>2.5</v>
      </c>
      <c r="N1096" s="18">
        <f t="shared" si="3"/>
        <v>287.68</v>
      </c>
      <c r="O1096" s="18">
        <f t="shared" si="4"/>
        <v>287.68</v>
      </c>
      <c r="P1096" s="18">
        <f t="shared" si="5"/>
        <v>287.68</v>
      </c>
      <c r="Q1096" s="8">
        <v>0.0</v>
      </c>
      <c r="R1096" s="18">
        <f t="shared" si="6"/>
        <v>115.072</v>
      </c>
      <c r="S1096" s="19" t="s">
        <v>29</v>
      </c>
      <c r="T1096" s="19" t="s">
        <v>30</v>
      </c>
      <c r="U1096" s="36" t="s">
        <v>1341</v>
      </c>
      <c r="V1096" s="37"/>
      <c r="W1096" s="7"/>
      <c r="X1096" s="7"/>
      <c r="Y1096" s="7"/>
      <c r="Z1096" s="7"/>
      <c r="AA1096" s="7"/>
    </row>
    <row r="1097" ht="18.75" customHeight="1">
      <c r="A1097" s="22" t="s">
        <v>1168</v>
      </c>
      <c r="B1097" s="23" t="s">
        <v>1187</v>
      </c>
      <c r="C1097" s="23" t="s">
        <v>1093</v>
      </c>
      <c r="D1097" s="24">
        <v>2520.0</v>
      </c>
      <c r="E1097" s="23" t="s">
        <v>1354</v>
      </c>
      <c r="F1097" s="25" t="s">
        <v>202</v>
      </c>
      <c r="G1097" s="40"/>
      <c r="H1097" s="27">
        <v>399.0</v>
      </c>
      <c r="I1097" s="28">
        <v>5.0</v>
      </c>
      <c r="J1097" s="29" t="s">
        <v>38</v>
      </c>
      <c r="K1097" s="30">
        <v>0.5</v>
      </c>
      <c r="L1097" s="31">
        <f t="shared" si="1"/>
        <v>2.5</v>
      </c>
      <c r="M1097" s="31">
        <f t="shared" si="2"/>
        <v>2.5</v>
      </c>
      <c r="N1097" s="32">
        <f t="shared" si="3"/>
        <v>199.5</v>
      </c>
      <c r="O1097" s="32">
        <f t="shared" si="4"/>
        <v>199.5</v>
      </c>
      <c r="P1097" s="32">
        <f t="shared" si="5"/>
        <v>199.5</v>
      </c>
      <c r="Q1097" s="22">
        <v>0.0</v>
      </c>
      <c r="R1097" s="32">
        <f t="shared" si="6"/>
        <v>79.8</v>
      </c>
      <c r="S1097" s="33" t="s">
        <v>29</v>
      </c>
      <c r="T1097" s="33" t="s">
        <v>30</v>
      </c>
      <c r="U1097" s="38" t="s">
        <v>438</v>
      </c>
      <c r="V1097" s="35"/>
      <c r="W1097" s="7"/>
      <c r="X1097" s="7"/>
      <c r="Y1097" s="7"/>
      <c r="Z1097" s="7"/>
      <c r="AA1097" s="7"/>
    </row>
    <row r="1098" ht="18.75" customHeight="1">
      <c r="A1098" s="8" t="s">
        <v>1168</v>
      </c>
      <c r="B1098" s="103" t="s">
        <v>1178</v>
      </c>
      <c r="C1098" s="9" t="s">
        <v>294</v>
      </c>
      <c r="D1098" s="10">
        <v>2530.0</v>
      </c>
      <c r="E1098" s="9" t="s">
        <v>1291</v>
      </c>
      <c r="F1098" s="11" t="s">
        <v>37</v>
      </c>
      <c r="G1098" s="12" t="s">
        <v>27</v>
      </c>
      <c r="H1098" s="13">
        <v>65.35</v>
      </c>
      <c r="I1098" s="14">
        <v>5.0</v>
      </c>
      <c r="J1098" s="15" t="s">
        <v>28</v>
      </c>
      <c r="K1098" s="16">
        <v>0.4</v>
      </c>
      <c r="L1098" s="17">
        <f t="shared" si="1"/>
        <v>2</v>
      </c>
      <c r="M1098" s="17">
        <f t="shared" si="2"/>
        <v>3</v>
      </c>
      <c r="N1098" s="18">
        <f t="shared" si="3"/>
        <v>26.14</v>
      </c>
      <c r="O1098" s="18">
        <f t="shared" si="4"/>
        <v>39.21</v>
      </c>
      <c r="P1098" s="18">
        <f t="shared" si="5"/>
        <v>39.21</v>
      </c>
      <c r="Q1098" s="8">
        <v>0.0</v>
      </c>
      <c r="R1098" s="18">
        <f t="shared" si="6"/>
        <v>13.07</v>
      </c>
      <c r="S1098" s="19" t="s">
        <v>29</v>
      </c>
      <c r="T1098" s="19" t="s">
        <v>30</v>
      </c>
      <c r="U1098" s="20" t="s">
        <v>374</v>
      </c>
      <c r="V1098" s="37"/>
      <c r="W1098" s="7"/>
      <c r="X1098" s="7"/>
      <c r="Y1098" s="7"/>
      <c r="Z1098" s="7"/>
      <c r="AA1098" s="7"/>
    </row>
    <row r="1099" ht="18.75" customHeight="1">
      <c r="A1099" s="22" t="s">
        <v>1168</v>
      </c>
      <c r="B1099" s="102" t="s">
        <v>1178</v>
      </c>
      <c r="C1099" s="23" t="s">
        <v>294</v>
      </c>
      <c r="D1099" s="24">
        <v>2539.0</v>
      </c>
      <c r="E1099" s="23" t="s">
        <v>1355</v>
      </c>
      <c r="F1099" s="25" t="s">
        <v>26</v>
      </c>
      <c r="G1099" s="26" t="s">
        <v>27</v>
      </c>
      <c r="H1099" s="27">
        <v>65.35</v>
      </c>
      <c r="I1099" s="28">
        <v>5.0</v>
      </c>
      <c r="J1099" s="29" t="s">
        <v>28</v>
      </c>
      <c r="K1099" s="30">
        <v>0.4</v>
      </c>
      <c r="L1099" s="31">
        <f t="shared" si="1"/>
        <v>2</v>
      </c>
      <c r="M1099" s="31">
        <f t="shared" si="2"/>
        <v>3</v>
      </c>
      <c r="N1099" s="32">
        <f t="shared" si="3"/>
        <v>26.14</v>
      </c>
      <c r="O1099" s="32">
        <f t="shared" si="4"/>
        <v>39.21</v>
      </c>
      <c r="P1099" s="32">
        <f t="shared" si="5"/>
        <v>39.21</v>
      </c>
      <c r="Q1099" s="22">
        <v>0.0</v>
      </c>
      <c r="R1099" s="32">
        <f t="shared" si="6"/>
        <v>13.07</v>
      </c>
      <c r="S1099" s="33" t="s">
        <v>29</v>
      </c>
      <c r="T1099" s="33" t="s">
        <v>30</v>
      </c>
      <c r="U1099" s="34" t="s">
        <v>374</v>
      </c>
      <c r="V1099" s="35"/>
      <c r="W1099" s="7"/>
      <c r="X1099" s="7"/>
      <c r="Y1099" s="7"/>
      <c r="Z1099" s="7"/>
      <c r="AA1099" s="7"/>
    </row>
    <row r="1100" ht="18.75" customHeight="1">
      <c r="A1100" s="8" t="s">
        <v>1168</v>
      </c>
      <c r="B1100" s="103" t="s">
        <v>1178</v>
      </c>
      <c r="C1100" s="9" t="s">
        <v>294</v>
      </c>
      <c r="D1100" s="10">
        <v>2540.0</v>
      </c>
      <c r="E1100" s="9" t="s">
        <v>1355</v>
      </c>
      <c r="F1100" s="11" t="s">
        <v>26</v>
      </c>
      <c r="G1100" s="12" t="s">
        <v>27</v>
      </c>
      <c r="H1100" s="13">
        <v>65.35</v>
      </c>
      <c r="I1100" s="14">
        <v>5.0</v>
      </c>
      <c r="J1100" s="15" t="s">
        <v>28</v>
      </c>
      <c r="K1100" s="16">
        <v>0.4</v>
      </c>
      <c r="L1100" s="17">
        <f t="shared" si="1"/>
        <v>2</v>
      </c>
      <c r="M1100" s="17">
        <f t="shared" si="2"/>
        <v>3</v>
      </c>
      <c r="N1100" s="18">
        <f t="shared" si="3"/>
        <v>26.14</v>
      </c>
      <c r="O1100" s="18">
        <f t="shared" si="4"/>
        <v>39.21</v>
      </c>
      <c r="P1100" s="18">
        <f t="shared" si="5"/>
        <v>39.21</v>
      </c>
      <c r="Q1100" s="8">
        <v>0.0</v>
      </c>
      <c r="R1100" s="18">
        <f t="shared" si="6"/>
        <v>13.07</v>
      </c>
      <c r="S1100" s="19" t="s">
        <v>29</v>
      </c>
      <c r="T1100" s="19" t="s">
        <v>30</v>
      </c>
      <c r="U1100" s="20" t="s">
        <v>374</v>
      </c>
      <c r="V1100" s="37"/>
      <c r="W1100" s="7"/>
      <c r="X1100" s="7"/>
      <c r="Y1100" s="7"/>
      <c r="Z1100" s="7"/>
      <c r="AA1100" s="7"/>
    </row>
    <row r="1101" ht="18.75" customHeight="1">
      <c r="A1101" s="22" t="s">
        <v>1168</v>
      </c>
      <c r="B1101" s="23" t="s">
        <v>1089</v>
      </c>
      <c r="C1101" s="23" t="s">
        <v>1265</v>
      </c>
      <c r="D1101" s="24">
        <v>2569.0</v>
      </c>
      <c r="E1101" s="114" t="s">
        <v>1356</v>
      </c>
      <c r="F1101" s="25" t="s">
        <v>26</v>
      </c>
      <c r="G1101" s="26" t="s">
        <v>27</v>
      </c>
      <c r="H1101" s="83">
        <v>1964.55</v>
      </c>
      <c r="I1101" s="28">
        <v>5.0</v>
      </c>
      <c r="J1101" s="29" t="s">
        <v>28</v>
      </c>
      <c r="K1101" s="30">
        <v>0.4</v>
      </c>
      <c r="L1101" s="31">
        <f t="shared" si="1"/>
        <v>2</v>
      </c>
      <c r="M1101" s="31">
        <f t="shared" si="2"/>
        <v>3</v>
      </c>
      <c r="N1101" s="32">
        <f t="shared" si="3"/>
        <v>785.82</v>
      </c>
      <c r="O1101" s="32">
        <f t="shared" si="4"/>
        <v>1178.73</v>
      </c>
      <c r="P1101" s="32">
        <f t="shared" si="5"/>
        <v>1178.73</v>
      </c>
      <c r="Q1101" s="22">
        <v>0.0</v>
      </c>
      <c r="R1101" s="32">
        <f t="shared" si="6"/>
        <v>392.91</v>
      </c>
      <c r="S1101" s="33" t="s">
        <v>29</v>
      </c>
      <c r="T1101" s="33" t="s">
        <v>30</v>
      </c>
      <c r="U1101" s="34" t="s">
        <v>1357</v>
      </c>
      <c r="V1101" s="35"/>
      <c r="W1101" s="7"/>
      <c r="X1101" s="7"/>
      <c r="Y1101" s="7"/>
      <c r="Z1101" s="7"/>
      <c r="AA1101" s="7"/>
    </row>
    <row r="1102" ht="18.75" customHeight="1">
      <c r="A1102" s="8" t="s">
        <v>1168</v>
      </c>
      <c r="B1102" s="9" t="s">
        <v>1191</v>
      </c>
      <c r="C1102" s="9" t="s">
        <v>1192</v>
      </c>
      <c r="D1102" s="10">
        <v>2583.0</v>
      </c>
      <c r="E1102" s="9" t="s">
        <v>1358</v>
      </c>
      <c r="F1102" s="11" t="s">
        <v>202</v>
      </c>
      <c r="G1102" s="39"/>
      <c r="H1102" s="13">
        <v>2469.9</v>
      </c>
      <c r="I1102" s="14">
        <v>5.0</v>
      </c>
      <c r="J1102" s="15" t="s">
        <v>38</v>
      </c>
      <c r="K1102" s="16">
        <v>0.5</v>
      </c>
      <c r="L1102" s="17">
        <f t="shared" si="1"/>
        <v>2.5</v>
      </c>
      <c r="M1102" s="17">
        <f t="shared" si="2"/>
        <v>2.5</v>
      </c>
      <c r="N1102" s="18">
        <f t="shared" si="3"/>
        <v>1234.95</v>
      </c>
      <c r="O1102" s="18">
        <f t="shared" si="4"/>
        <v>1234.95</v>
      </c>
      <c r="P1102" s="18">
        <f t="shared" si="5"/>
        <v>1234.95</v>
      </c>
      <c r="Q1102" s="8">
        <v>0.0</v>
      </c>
      <c r="R1102" s="18">
        <f t="shared" si="6"/>
        <v>493.98</v>
      </c>
      <c r="S1102" s="19" t="s">
        <v>29</v>
      </c>
      <c r="T1102" s="19" t="s">
        <v>30</v>
      </c>
      <c r="U1102" s="36" t="s">
        <v>356</v>
      </c>
      <c r="V1102" s="37"/>
      <c r="W1102" s="7"/>
      <c r="X1102" s="7"/>
      <c r="Y1102" s="7"/>
      <c r="Z1102" s="7"/>
      <c r="AA1102" s="7"/>
    </row>
    <row r="1103" ht="18.75" customHeight="1">
      <c r="A1103" s="22" t="s">
        <v>1168</v>
      </c>
      <c r="B1103" s="102" t="s">
        <v>1178</v>
      </c>
      <c r="C1103" s="23" t="s">
        <v>294</v>
      </c>
      <c r="D1103" s="24">
        <v>2584.0</v>
      </c>
      <c r="E1103" s="23" t="s">
        <v>369</v>
      </c>
      <c r="F1103" s="25" t="s">
        <v>26</v>
      </c>
      <c r="G1103" s="26" t="s">
        <v>27</v>
      </c>
      <c r="H1103" s="27">
        <v>471.75</v>
      </c>
      <c r="I1103" s="28">
        <v>10.0</v>
      </c>
      <c r="J1103" s="101" t="s">
        <v>143</v>
      </c>
      <c r="K1103" s="30"/>
      <c r="L1103" s="31">
        <f t="shared" si="1"/>
        <v>0</v>
      </c>
      <c r="M1103" s="31">
        <f t="shared" si="2"/>
        <v>10</v>
      </c>
      <c r="N1103" s="32">
        <f t="shared" si="3"/>
        <v>0</v>
      </c>
      <c r="O1103" s="32">
        <f t="shared" si="4"/>
        <v>471.75</v>
      </c>
      <c r="P1103" s="32">
        <f t="shared" si="5"/>
        <v>471.75</v>
      </c>
      <c r="Q1103" s="22">
        <v>0.0</v>
      </c>
      <c r="R1103" s="32">
        <f t="shared" si="6"/>
        <v>47.175</v>
      </c>
      <c r="S1103" s="33" t="s">
        <v>29</v>
      </c>
      <c r="T1103" s="33" t="s">
        <v>30</v>
      </c>
      <c r="U1103" s="38" t="s">
        <v>370</v>
      </c>
      <c r="V1103" s="35"/>
      <c r="W1103" s="7"/>
      <c r="X1103" s="7"/>
      <c r="Y1103" s="7"/>
      <c r="Z1103" s="7"/>
      <c r="AA1103" s="7"/>
    </row>
    <row r="1104" ht="18.75" customHeight="1">
      <c r="A1104" s="8" t="s">
        <v>1168</v>
      </c>
      <c r="B1104" s="103" t="s">
        <v>1178</v>
      </c>
      <c r="C1104" s="9" t="s">
        <v>294</v>
      </c>
      <c r="D1104" s="10">
        <v>2609.0</v>
      </c>
      <c r="E1104" s="9" t="s">
        <v>369</v>
      </c>
      <c r="F1104" s="11" t="s">
        <v>26</v>
      </c>
      <c r="G1104" s="12" t="s">
        <v>27</v>
      </c>
      <c r="H1104" s="13">
        <v>471.75</v>
      </c>
      <c r="I1104" s="14">
        <v>10.0</v>
      </c>
      <c r="J1104" s="100" t="s">
        <v>143</v>
      </c>
      <c r="K1104" s="16"/>
      <c r="L1104" s="17">
        <f t="shared" si="1"/>
        <v>0</v>
      </c>
      <c r="M1104" s="17">
        <f t="shared" si="2"/>
        <v>10</v>
      </c>
      <c r="N1104" s="18">
        <f t="shared" si="3"/>
        <v>0</v>
      </c>
      <c r="O1104" s="18">
        <f t="shared" si="4"/>
        <v>471.75</v>
      </c>
      <c r="P1104" s="18">
        <f t="shared" si="5"/>
        <v>471.75</v>
      </c>
      <c r="Q1104" s="8">
        <v>0.0</v>
      </c>
      <c r="R1104" s="18">
        <f t="shared" si="6"/>
        <v>47.175</v>
      </c>
      <c r="S1104" s="19" t="s">
        <v>29</v>
      </c>
      <c r="T1104" s="19" t="s">
        <v>30</v>
      </c>
      <c r="U1104" s="36" t="s">
        <v>370</v>
      </c>
      <c r="V1104" s="37"/>
      <c r="W1104" s="7"/>
      <c r="X1104" s="7"/>
      <c r="Y1104" s="7"/>
      <c r="Z1104" s="7"/>
      <c r="AA1104" s="7"/>
    </row>
    <row r="1105" ht="18.75" customHeight="1">
      <c r="A1105" s="22" t="s">
        <v>1168</v>
      </c>
      <c r="B1105" s="102" t="s">
        <v>1178</v>
      </c>
      <c r="C1105" s="23" t="s">
        <v>294</v>
      </c>
      <c r="D1105" s="24">
        <v>2612.0</v>
      </c>
      <c r="E1105" s="23" t="s">
        <v>369</v>
      </c>
      <c r="F1105" s="25" t="s">
        <v>26</v>
      </c>
      <c r="G1105" s="26" t="s">
        <v>27</v>
      </c>
      <c r="H1105" s="27">
        <v>471.75</v>
      </c>
      <c r="I1105" s="28">
        <v>10.0</v>
      </c>
      <c r="J1105" s="101" t="s">
        <v>143</v>
      </c>
      <c r="K1105" s="30"/>
      <c r="L1105" s="31">
        <f t="shared" si="1"/>
        <v>0</v>
      </c>
      <c r="M1105" s="31">
        <f t="shared" si="2"/>
        <v>10</v>
      </c>
      <c r="N1105" s="32">
        <f t="shared" si="3"/>
        <v>0</v>
      </c>
      <c r="O1105" s="32">
        <f t="shared" si="4"/>
        <v>471.75</v>
      </c>
      <c r="P1105" s="32">
        <f t="shared" si="5"/>
        <v>471.75</v>
      </c>
      <c r="Q1105" s="22">
        <v>0.0</v>
      </c>
      <c r="R1105" s="32">
        <f t="shared" si="6"/>
        <v>47.175</v>
      </c>
      <c r="S1105" s="33" t="s">
        <v>29</v>
      </c>
      <c r="T1105" s="33" t="s">
        <v>30</v>
      </c>
      <c r="U1105" s="38" t="s">
        <v>370</v>
      </c>
      <c r="V1105" s="35"/>
      <c r="W1105" s="7"/>
      <c r="X1105" s="7"/>
      <c r="Y1105" s="7"/>
      <c r="Z1105" s="7"/>
      <c r="AA1105" s="7"/>
    </row>
    <row r="1106" ht="18.75" customHeight="1">
      <c r="A1106" s="8" t="s">
        <v>1168</v>
      </c>
      <c r="B1106" s="103" t="s">
        <v>1178</v>
      </c>
      <c r="C1106" s="9" t="s">
        <v>294</v>
      </c>
      <c r="D1106" s="10">
        <v>2613.0</v>
      </c>
      <c r="E1106" s="9" t="s">
        <v>369</v>
      </c>
      <c r="F1106" s="11" t="s">
        <v>26</v>
      </c>
      <c r="G1106" s="12" t="s">
        <v>27</v>
      </c>
      <c r="H1106" s="13">
        <v>471.75</v>
      </c>
      <c r="I1106" s="14">
        <v>10.0</v>
      </c>
      <c r="J1106" s="100" t="s">
        <v>143</v>
      </c>
      <c r="K1106" s="16"/>
      <c r="L1106" s="17">
        <f t="shared" si="1"/>
        <v>0</v>
      </c>
      <c r="M1106" s="17">
        <f t="shared" si="2"/>
        <v>10</v>
      </c>
      <c r="N1106" s="18">
        <f t="shared" si="3"/>
        <v>0</v>
      </c>
      <c r="O1106" s="18">
        <f t="shared" si="4"/>
        <v>471.75</v>
      </c>
      <c r="P1106" s="18">
        <f t="shared" si="5"/>
        <v>471.75</v>
      </c>
      <c r="Q1106" s="8">
        <v>0.0</v>
      </c>
      <c r="R1106" s="18">
        <f t="shared" si="6"/>
        <v>47.175</v>
      </c>
      <c r="S1106" s="19" t="s">
        <v>29</v>
      </c>
      <c r="T1106" s="19" t="s">
        <v>30</v>
      </c>
      <c r="U1106" s="36" t="s">
        <v>370</v>
      </c>
      <c r="V1106" s="37"/>
      <c r="W1106" s="7"/>
      <c r="X1106" s="7"/>
      <c r="Y1106" s="7"/>
      <c r="Z1106" s="7"/>
      <c r="AA1106" s="7"/>
    </row>
    <row r="1107" ht="18.75" customHeight="1">
      <c r="A1107" s="22" t="s">
        <v>1168</v>
      </c>
      <c r="B1107" s="102" t="s">
        <v>1178</v>
      </c>
      <c r="C1107" s="23" t="s">
        <v>294</v>
      </c>
      <c r="D1107" s="24">
        <v>2614.0</v>
      </c>
      <c r="E1107" s="23" t="s">
        <v>369</v>
      </c>
      <c r="F1107" s="25" t="s">
        <v>26</v>
      </c>
      <c r="G1107" s="26" t="s">
        <v>27</v>
      </c>
      <c r="H1107" s="27">
        <v>471.75</v>
      </c>
      <c r="I1107" s="28">
        <v>10.0</v>
      </c>
      <c r="J1107" s="101" t="s">
        <v>143</v>
      </c>
      <c r="K1107" s="30"/>
      <c r="L1107" s="31">
        <f t="shared" si="1"/>
        <v>0</v>
      </c>
      <c r="M1107" s="31">
        <f t="shared" si="2"/>
        <v>10</v>
      </c>
      <c r="N1107" s="32">
        <f t="shared" si="3"/>
        <v>0</v>
      </c>
      <c r="O1107" s="32">
        <f t="shared" si="4"/>
        <v>471.75</v>
      </c>
      <c r="P1107" s="32">
        <f t="shared" si="5"/>
        <v>471.75</v>
      </c>
      <c r="Q1107" s="22">
        <v>0.0</v>
      </c>
      <c r="R1107" s="32">
        <f t="shared" si="6"/>
        <v>47.175</v>
      </c>
      <c r="S1107" s="33" t="s">
        <v>29</v>
      </c>
      <c r="T1107" s="33" t="s">
        <v>30</v>
      </c>
      <c r="U1107" s="38" t="s">
        <v>370</v>
      </c>
      <c r="V1107" s="35"/>
      <c r="W1107" s="7"/>
      <c r="X1107" s="7"/>
      <c r="Y1107" s="7"/>
      <c r="Z1107" s="7"/>
      <c r="AA1107" s="7"/>
    </row>
    <row r="1108" ht="18.75" customHeight="1">
      <c r="A1108" s="8" t="s">
        <v>1168</v>
      </c>
      <c r="B1108" s="103" t="s">
        <v>1178</v>
      </c>
      <c r="C1108" s="9" t="s">
        <v>294</v>
      </c>
      <c r="D1108" s="10">
        <v>2618.0</v>
      </c>
      <c r="E1108" s="9" t="s">
        <v>369</v>
      </c>
      <c r="F1108" s="11" t="s">
        <v>26</v>
      </c>
      <c r="G1108" s="12" t="s">
        <v>27</v>
      </c>
      <c r="H1108" s="13">
        <v>471.75</v>
      </c>
      <c r="I1108" s="14">
        <v>10.0</v>
      </c>
      <c r="J1108" s="100" t="s">
        <v>143</v>
      </c>
      <c r="K1108" s="16"/>
      <c r="L1108" s="17">
        <f t="shared" si="1"/>
        <v>0</v>
      </c>
      <c r="M1108" s="17">
        <f t="shared" si="2"/>
        <v>10</v>
      </c>
      <c r="N1108" s="18">
        <f t="shared" si="3"/>
        <v>0</v>
      </c>
      <c r="O1108" s="18">
        <f t="shared" si="4"/>
        <v>471.75</v>
      </c>
      <c r="P1108" s="18">
        <f t="shared" si="5"/>
        <v>471.75</v>
      </c>
      <c r="Q1108" s="8">
        <v>0.0</v>
      </c>
      <c r="R1108" s="18">
        <f t="shared" si="6"/>
        <v>47.175</v>
      </c>
      <c r="S1108" s="19" t="s">
        <v>29</v>
      </c>
      <c r="T1108" s="19" t="s">
        <v>30</v>
      </c>
      <c r="U1108" s="36" t="s">
        <v>370</v>
      </c>
      <c r="V1108" s="37"/>
      <c r="W1108" s="7"/>
      <c r="X1108" s="7"/>
      <c r="Y1108" s="7"/>
      <c r="Z1108" s="7"/>
      <c r="AA1108" s="7"/>
    </row>
    <row r="1109" ht="18.75" customHeight="1">
      <c r="A1109" s="22" t="s">
        <v>1168</v>
      </c>
      <c r="B1109" s="102" t="s">
        <v>1178</v>
      </c>
      <c r="C1109" s="23" t="s">
        <v>294</v>
      </c>
      <c r="D1109" s="24">
        <v>2619.0</v>
      </c>
      <c r="E1109" s="23" t="s">
        <v>371</v>
      </c>
      <c r="F1109" s="25" t="s">
        <v>26</v>
      </c>
      <c r="G1109" s="26" t="s">
        <v>27</v>
      </c>
      <c r="H1109" s="27">
        <v>129.9</v>
      </c>
      <c r="I1109" s="28">
        <v>5.0</v>
      </c>
      <c r="J1109" s="101" t="s">
        <v>143</v>
      </c>
      <c r="K1109" s="30">
        <v>0.3</v>
      </c>
      <c r="L1109" s="31">
        <f t="shared" si="1"/>
        <v>1.5</v>
      </c>
      <c r="M1109" s="31">
        <f t="shared" si="2"/>
        <v>3.5</v>
      </c>
      <c r="N1109" s="32">
        <f t="shared" si="3"/>
        <v>38.97</v>
      </c>
      <c r="O1109" s="32">
        <f t="shared" si="4"/>
        <v>90.93</v>
      </c>
      <c r="P1109" s="32">
        <f t="shared" si="5"/>
        <v>90.93</v>
      </c>
      <c r="Q1109" s="22">
        <v>0.0</v>
      </c>
      <c r="R1109" s="32">
        <f t="shared" si="6"/>
        <v>25.98</v>
      </c>
      <c r="S1109" s="33" t="s">
        <v>29</v>
      </c>
      <c r="T1109" s="33" t="s">
        <v>30</v>
      </c>
      <c r="U1109" s="34" t="s">
        <v>372</v>
      </c>
      <c r="V1109" s="35"/>
      <c r="W1109" s="7"/>
      <c r="X1109" s="7"/>
      <c r="Y1109" s="7"/>
      <c r="Z1109" s="7"/>
      <c r="AA1109" s="7"/>
    </row>
    <row r="1110" ht="18.75" customHeight="1">
      <c r="A1110" s="8" t="s">
        <v>1168</v>
      </c>
      <c r="B1110" s="103" t="s">
        <v>1178</v>
      </c>
      <c r="C1110" s="9" t="s">
        <v>294</v>
      </c>
      <c r="D1110" s="10">
        <v>2620.0</v>
      </c>
      <c r="E1110" s="9" t="s">
        <v>371</v>
      </c>
      <c r="F1110" s="11" t="s">
        <v>26</v>
      </c>
      <c r="G1110" s="12" t="s">
        <v>27</v>
      </c>
      <c r="H1110" s="13">
        <v>129.9</v>
      </c>
      <c r="I1110" s="14">
        <v>5.0</v>
      </c>
      <c r="J1110" s="100" t="s">
        <v>143</v>
      </c>
      <c r="K1110" s="16">
        <v>0.3</v>
      </c>
      <c r="L1110" s="17">
        <f t="shared" si="1"/>
        <v>1.5</v>
      </c>
      <c r="M1110" s="17">
        <f t="shared" si="2"/>
        <v>3.5</v>
      </c>
      <c r="N1110" s="18">
        <f t="shared" si="3"/>
        <v>38.97</v>
      </c>
      <c r="O1110" s="18">
        <f t="shared" si="4"/>
        <v>90.93</v>
      </c>
      <c r="P1110" s="18">
        <f t="shared" si="5"/>
        <v>90.93</v>
      </c>
      <c r="Q1110" s="8">
        <v>0.0</v>
      </c>
      <c r="R1110" s="18">
        <f t="shared" si="6"/>
        <v>25.98</v>
      </c>
      <c r="S1110" s="19" t="s">
        <v>29</v>
      </c>
      <c r="T1110" s="19" t="s">
        <v>30</v>
      </c>
      <c r="U1110" s="20" t="s">
        <v>372</v>
      </c>
      <c r="V1110" s="37"/>
      <c r="W1110" s="7"/>
      <c r="X1110" s="7"/>
      <c r="Y1110" s="7"/>
      <c r="Z1110" s="7"/>
      <c r="AA1110" s="7"/>
    </row>
    <row r="1111" ht="18.75" customHeight="1">
      <c r="A1111" s="22" t="s">
        <v>1168</v>
      </c>
      <c r="B1111" s="102" t="s">
        <v>1178</v>
      </c>
      <c r="C1111" s="23" t="s">
        <v>294</v>
      </c>
      <c r="D1111" s="24">
        <v>2621.0</v>
      </c>
      <c r="E1111" s="23" t="s">
        <v>371</v>
      </c>
      <c r="F1111" s="25" t="s">
        <v>26</v>
      </c>
      <c r="G1111" s="26" t="s">
        <v>27</v>
      </c>
      <c r="H1111" s="27">
        <v>129.9</v>
      </c>
      <c r="I1111" s="28">
        <v>5.0</v>
      </c>
      <c r="J1111" s="101" t="s">
        <v>143</v>
      </c>
      <c r="K1111" s="30">
        <v>0.3</v>
      </c>
      <c r="L1111" s="31">
        <f t="shared" si="1"/>
        <v>1.5</v>
      </c>
      <c r="M1111" s="31">
        <f t="shared" si="2"/>
        <v>3.5</v>
      </c>
      <c r="N1111" s="32">
        <f t="shared" si="3"/>
        <v>38.97</v>
      </c>
      <c r="O1111" s="32">
        <f t="shared" si="4"/>
        <v>90.93</v>
      </c>
      <c r="P1111" s="32">
        <f t="shared" si="5"/>
        <v>90.93</v>
      </c>
      <c r="Q1111" s="22">
        <v>0.0</v>
      </c>
      <c r="R1111" s="32">
        <f t="shared" si="6"/>
        <v>25.98</v>
      </c>
      <c r="S1111" s="33" t="s">
        <v>29</v>
      </c>
      <c r="T1111" s="33" t="s">
        <v>30</v>
      </c>
      <c r="U1111" s="34" t="s">
        <v>372</v>
      </c>
      <c r="V1111" s="35"/>
      <c r="W1111" s="7"/>
      <c r="X1111" s="7"/>
      <c r="Y1111" s="7"/>
      <c r="Z1111" s="7"/>
      <c r="AA1111" s="7"/>
    </row>
    <row r="1112" ht="18.75" customHeight="1">
      <c r="A1112" s="8" t="s">
        <v>1168</v>
      </c>
      <c r="B1112" s="103" t="s">
        <v>1178</v>
      </c>
      <c r="C1112" s="9" t="s">
        <v>294</v>
      </c>
      <c r="D1112" s="10">
        <v>2622.0</v>
      </c>
      <c r="E1112" s="9" t="s">
        <v>371</v>
      </c>
      <c r="F1112" s="11" t="s">
        <v>26</v>
      </c>
      <c r="G1112" s="12" t="s">
        <v>27</v>
      </c>
      <c r="H1112" s="13">
        <v>129.9</v>
      </c>
      <c r="I1112" s="14">
        <v>5.0</v>
      </c>
      <c r="J1112" s="100" t="s">
        <v>143</v>
      </c>
      <c r="K1112" s="16">
        <v>0.3</v>
      </c>
      <c r="L1112" s="17">
        <f t="shared" si="1"/>
        <v>1.5</v>
      </c>
      <c r="M1112" s="17">
        <f t="shared" si="2"/>
        <v>3.5</v>
      </c>
      <c r="N1112" s="18">
        <f t="shared" si="3"/>
        <v>38.97</v>
      </c>
      <c r="O1112" s="18">
        <f t="shared" si="4"/>
        <v>90.93</v>
      </c>
      <c r="P1112" s="18">
        <f t="shared" si="5"/>
        <v>90.93</v>
      </c>
      <c r="Q1112" s="8">
        <v>0.0</v>
      </c>
      <c r="R1112" s="18">
        <f t="shared" si="6"/>
        <v>25.98</v>
      </c>
      <c r="S1112" s="19" t="s">
        <v>29</v>
      </c>
      <c r="T1112" s="19" t="s">
        <v>30</v>
      </c>
      <c r="U1112" s="20" t="s">
        <v>372</v>
      </c>
      <c r="V1112" s="37"/>
      <c r="W1112" s="7"/>
      <c r="X1112" s="7"/>
      <c r="Y1112" s="7"/>
      <c r="Z1112" s="7"/>
      <c r="AA1112" s="7"/>
    </row>
    <row r="1113" ht="18.75" customHeight="1">
      <c r="A1113" s="22" t="s">
        <v>1168</v>
      </c>
      <c r="B1113" s="102" t="s">
        <v>1178</v>
      </c>
      <c r="C1113" s="23" t="s">
        <v>294</v>
      </c>
      <c r="D1113" s="24">
        <v>2624.0</v>
      </c>
      <c r="E1113" s="23" t="s">
        <v>371</v>
      </c>
      <c r="F1113" s="25" t="s">
        <v>26</v>
      </c>
      <c r="G1113" s="26" t="s">
        <v>27</v>
      </c>
      <c r="H1113" s="27">
        <v>129.9</v>
      </c>
      <c r="I1113" s="28">
        <v>5.0</v>
      </c>
      <c r="J1113" s="101" t="s">
        <v>143</v>
      </c>
      <c r="K1113" s="30">
        <v>0.3</v>
      </c>
      <c r="L1113" s="31">
        <f t="shared" si="1"/>
        <v>1.5</v>
      </c>
      <c r="M1113" s="31">
        <f t="shared" si="2"/>
        <v>3.5</v>
      </c>
      <c r="N1113" s="32">
        <f t="shared" si="3"/>
        <v>38.97</v>
      </c>
      <c r="O1113" s="32">
        <f t="shared" si="4"/>
        <v>90.93</v>
      </c>
      <c r="P1113" s="32">
        <f t="shared" si="5"/>
        <v>90.93</v>
      </c>
      <c r="Q1113" s="22">
        <v>0.0</v>
      </c>
      <c r="R1113" s="32">
        <f t="shared" si="6"/>
        <v>25.98</v>
      </c>
      <c r="S1113" s="33" t="s">
        <v>29</v>
      </c>
      <c r="T1113" s="33" t="s">
        <v>30</v>
      </c>
      <c r="U1113" s="34" t="s">
        <v>372</v>
      </c>
      <c r="V1113" s="35"/>
      <c r="W1113" s="7"/>
      <c r="X1113" s="7"/>
      <c r="Y1113" s="7"/>
      <c r="Z1113" s="7"/>
      <c r="AA1113" s="7"/>
    </row>
    <row r="1114" ht="18.75" customHeight="1">
      <c r="A1114" s="8" t="s">
        <v>1168</v>
      </c>
      <c r="B1114" s="103" t="s">
        <v>1178</v>
      </c>
      <c r="C1114" s="9" t="s">
        <v>294</v>
      </c>
      <c r="D1114" s="10">
        <v>2625.0</v>
      </c>
      <c r="E1114" s="9" t="s">
        <v>371</v>
      </c>
      <c r="F1114" s="11" t="s">
        <v>26</v>
      </c>
      <c r="G1114" s="12" t="s">
        <v>27</v>
      </c>
      <c r="H1114" s="13">
        <v>129.9</v>
      </c>
      <c r="I1114" s="14">
        <v>5.0</v>
      </c>
      <c r="J1114" s="100" t="s">
        <v>143</v>
      </c>
      <c r="K1114" s="16">
        <v>0.3</v>
      </c>
      <c r="L1114" s="17">
        <f t="shared" si="1"/>
        <v>1.5</v>
      </c>
      <c r="M1114" s="17">
        <f t="shared" si="2"/>
        <v>3.5</v>
      </c>
      <c r="N1114" s="18">
        <f t="shared" si="3"/>
        <v>38.97</v>
      </c>
      <c r="O1114" s="18">
        <f t="shared" si="4"/>
        <v>90.93</v>
      </c>
      <c r="P1114" s="18">
        <f t="shared" si="5"/>
        <v>90.93</v>
      </c>
      <c r="Q1114" s="8">
        <v>0.0</v>
      </c>
      <c r="R1114" s="18">
        <f t="shared" si="6"/>
        <v>25.98</v>
      </c>
      <c r="S1114" s="19" t="s">
        <v>29</v>
      </c>
      <c r="T1114" s="19" t="s">
        <v>30</v>
      </c>
      <c r="U1114" s="20" t="s">
        <v>372</v>
      </c>
      <c r="V1114" s="37"/>
      <c r="W1114" s="7"/>
      <c r="X1114" s="7"/>
      <c r="Y1114" s="7"/>
      <c r="Z1114" s="7"/>
      <c r="AA1114" s="7"/>
    </row>
    <row r="1115" ht="18.75" customHeight="1">
      <c r="A1115" s="22" t="s">
        <v>1168</v>
      </c>
      <c r="B1115" s="102" t="s">
        <v>1178</v>
      </c>
      <c r="C1115" s="23" t="s">
        <v>294</v>
      </c>
      <c r="D1115" s="24">
        <v>2627.0</v>
      </c>
      <c r="E1115" s="23" t="s">
        <v>371</v>
      </c>
      <c r="F1115" s="25" t="s">
        <v>26</v>
      </c>
      <c r="G1115" s="26" t="s">
        <v>27</v>
      </c>
      <c r="H1115" s="27">
        <v>129.9</v>
      </c>
      <c r="I1115" s="28">
        <v>5.0</v>
      </c>
      <c r="J1115" s="101" t="s">
        <v>143</v>
      </c>
      <c r="K1115" s="30">
        <v>0.3</v>
      </c>
      <c r="L1115" s="31">
        <f t="shared" si="1"/>
        <v>1.5</v>
      </c>
      <c r="M1115" s="31">
        <f t="shared" si="2"/>
        <v>3.5</v>
      </c>
      <c r="N1115" s="32">
        <f t="shared" si="3"/>
        <v>38.97</v>
      </c>
      <c r="O1115" s="32">
        <f t="shared" si="4"/>
        <v>90.93</v>
      </c>
      <c r="P1115" s="32">
        <f t="shared" si="5"/>
        <v>90.93</v>
      </c>
      <c r="Q1115" s="22">
        <v>0.0</v>
      </c>
      <c r="R1115" s="32">
        <f t="shared" si="6"/>
        <v>25.98</v>
      </c>
      <c r="S1115" s="33" t="s">
        <v>29</v>
      </c>
      <c r="T1115" s="33" t="s">
        <v>30</v>
      </c>
      <c r="U1115" s="34" t="s">
        <v>372</v>
      </c>
      <c r="V1115" s="35"/>
      <c r="W1115" s="7"/>
      <c r="X1115" s="7"/>
      <c r="Y1115" s="7"/>
      <c r="Z1115" s="7"/>
      <c r="AA1115" s="7"/>
    </row>
    <row r="1116" ht="18.75" customHeight="1">
      <c r="A1116" s="8" t="s">
        <v>1168</v>
      </c>
      <c r="B1116" s="103" t="s">
        <v>1178</v>
      </c>
      <c r="C1116" s="9" t="s">
        <v>294</v>
      </c>
      <c r="D1116" s="10">
        <v>2628.0</v>
      </c>
      <c r="E1116" s="9" t="s">
        <v>371</v>
      </c>
      <c r="F1116" s="11" t="s">
        <v>26</v>
      </c>
      <c r="G1116" s="12" t="s">
        <v>27</v>
      </c>
      <c r="H1116" s="13">
        <v>129.9</v>
      </c>
      <c r="I1116" s="14">
        <v>5.0</v>
      </c>
      <c r="J1116" s="100" t="s">
        <v>143</v>
      </c>
      <c r="K1116" s="16">
        <v>0.3</v>
      </c>
      <c r="L1116" s="17">
        <f t="shared" si="1"/>
        <v>1.5</v>
      </c>
      <c r="M1116" s="17">
        <f t="shared" si="2"/>
        <v>3.5</v>
      </c>
      <c r="N1116" s="18">
        <f t="shared" si="3"/>
        <v>38.97</v>
      </c>
      <c r="O1116" s="18">
        <f t="shared" si="4"/>
        <v>90.93</v>
      </c>
      <c r="P1116" s="18">
        <f t="shared" si="5"/>
        <v>90.93</v>
      </c>
      <c r="Q1116" s="8">
        <v>0.0</v>
      </c>
      <c r="R1116" s="18">
        <f t="shared" si="6"/>
        <v>25.98</v>
      </c>
      <c r="S1116" s="19" t="s">
        <v>29</v>
      </c>
      <c r="T1116" s="19" t="s">
        <v>30</v>
      </c>
      <c r="U1116" s="20" t="s">
        <v>372</v>
      </c>
      <c r="V1116" s="37"/>
      <c r="W1116" s="7"/>
      <c r="X1116" s="7"/>
      <c r="Y1116" s="7"/>
      <c r="Z1116" s="7"/>
      <c r="AA1116" s="7"/>
    </row>
    <row r="1117" ht="18.75" customHeight="1">
      <c r="A1117" s="22" t="s">
        <v>1168</v>
      </c>
      <c r="B1117" s="102" t="s">
        <v>1178</v>
      </c>
      <c r="C1117" s="23" t="s">
        <v>294</v>
      </c>
      <c r="D1117" s="24">
        <v>2629.0</v>
      </c>
      <c r="E1117" s="23" t="s">
        <v>1359</v>
      </c>
      <c r="F1117" s="25" t="s">
        <v>26</v>
      </c>
      <c r="G1117" s="26" t="s">
        <v>27</v>
      </c>
      <c r="H1117" s="27">
        <v>65.35</v>
      </c>
      <c r="I1117" s="28">
        <v>5.0</v>
      </c>
      <c r="J1117" s="29" t="s">
        <v>28</v>
      </c>
      <c r="K1117" s="30">
        <v>0.4</v>
      </c>
      <c r="L1117" s="31">
        <f t="shared" si="1"/>
        <v>2</v>
      </c>
      <c r="M1117" s="31">
        <f t="shared" si="2"/>
        <v>3</v>
      </c>
      <c r="N1117" s="32">
        <f t="shared" si="3"/>
        <v>26.14</v>
      </c>
      <c r="O1117" s="32">
        <f t="shared" si="4"/>
        <v>39.21</v>
      </c>
      <c r="P1117" s="32">
        <f t="shared" si="5"/>
        <v>39.21</v>
      </c>
      <c r="Q1117" s="22">
        <v>0.0</v>
      </c>
      <c r="R1117" s="32">
        <f t="shared" si="6"/>
        <v>13.07</v>
      </c>
      <c r="S1117" s="33" t="s">
        <v>29</v>
      </c>
      <c r="T1117" s="33" t="s">
        <v>30</v>
      </c>
      <c r="U1117" s="34" t="s">
        <v>374</v>
      </c>
      <c r="V1117" s="35"/>
      <c r="W1117" s="7"/>
      <c r="X1117" s="7"/>
      <c r="Y1117" s="7"/>
      <c r="Z1117" s="7"/>
      <c r="AA1117" s="7"/>
    </row>
    <row r="1118" ht="18.75" customHeight="1">
      <c r="A1118" s="8" t="s">
        <v>1168</v>
      </c>
      <c r="B1118" s="103" t="s">
        <v>1178</v>
      </c>
      <c r="C1118" s="9" t="s">
        <v>294</v>
      </c>
      <c r="D1118" s="10">
        <v>2630.0</v>
      </c>
      <c r="E1118" s="9" t="s">
        <v>1359</v>
      </c>
      <c r="F1118" s="11" t="s">
        <v>26</v>
      </c>
      <c r="G1118" s="12" t="s">
        <v>27</v>
      </c>
      <c r="H1118" s="13">
        <v>65.35</v>
      </c>
      <c r="I1118" s="14">
        <v>5.0</v>
      </c>
      <c r="J1118" s="15" t="s">
        <v>28</v>
      </c>
      <c r="K1118" s="16">
        <v>0.4</v>
      </c>
      <c r="L1118" s="17">
        <f t="shared" si="1"/>
        <v>2</v>
      </c>
      <c r="M1118" s="17">
        <f t="shared" si="2"/>
        <v>3</v>
      </c>
      <c r="N1118" s="18">
        <f t="shared" si="3"/>
        <v>26.14</v>
      </c>
      <c r="O1118" s="18">
        <f t="shared" si="4"/>
        <v>39.21</v>
      </c>
      <c r="P1118" s="18">
        <f t="shared" si="5"/>
        <v>39.21</v>
      </c>
      <c r="Q1118" s="8">
        <v>0.0</v>
      </c>
      <c r="R1118" s="18">
        <f t="shared" si="6"/>
        <v>13.07</v>
      </c>
      <c r="S1118" s="19" t="s">
        <v>29</v>
      </c>
      <c r="T1118" s="19" t="s">
        <v>30</v>
      </c>
      <c r="U1118" s="20" t="s">
        <v>374</v>
      </c>
      <c r="V1118" s="37"/>
      <c r="W1118" s="7"/>
      <c r="X1118" s="7"/>
      <c r="Y1118" s="7"/>
      <c r="Z1118" s="7"/>
      <c r="AA1118" s="7"/>
    </row>
    <row r="1119" ht="18.75" customHeight="1">
      <c r="A1119" s="22" t="s">
        <v>1168</v>
      </c>
      <c r="B1119" s="102" t="s">
        <v>1178</v>
      </c>
      <c r="C1119" s="23" t="s">
        <v>294</v>
      </c>
      <c r="D1119" s="24">
        <v>2631.0</v>
      </c>
      <c r="E1119" s="23" t="s">
        <v>1360</v>
      </c>
      <c r="F1119" s="25" t="s">
        <v>26</v>
      </c>
      <c r="G1119" s="26" t="s">
        <v>27</v>
      </c>
      <c r="H1119" s="27">
        <v>65.35</v>
      </c>
      <c r="I1119" s="28">
        <v>5.0</v>
      </c>
      <c r="J1119" s="29" t="s">
        <v>28</v>
      </c>
      <c r="K1119" s="30">
        <v>0.4</v>
      </c>
      <c r="L1119" s="31">
        <f t="shared" si="1"/>
        <v>2</v>
      </c>
      <c r="M1119" s="31">
        <f t="shared" si="2"/>
        <v>3</v>
      </c>
      <c r="N1119" s="32">
        <f t="shared" si="3"/>
        <v>26.14</v>
      </c>
      <c r="O1119" s="32">
        <f t="shared" si="4"/>
        <v>39.21</v>
      </c>
      <c r="P1119" s="32">
        <f t="shared" si="5"/>
        <v>39.21</v>
      </c>
      <c r="Q1119" s="22">
        <v>0.0</v>
      </c>
      <c r="R1119" s="32">
        <f t="shared" si="6"/>
        <v>13.07</v>
      </c>
      <c r="S1119" s="33" t="s">
        <v>29</v>
      </c>
      <c r="T1119" s="33" t="s">
        <v>30</v>
      </c>
      <c r="U1119" s="34" t="s">
        <v>374</v>
      </c>
      <c r="V1119" s="35"/>
      <c r="W1119" s="7"/>
      <c r="X1119" s="7"/>
      <c r="Y1119" s="7"/>
      <c r="Z1119" s="7"/>
      <c r="AA1119" s="7"/>
    </row>
    <row r="1120" ht="18.75" customHeight="1">
      <c r="A1120" s="8" t="s">
        <v>1168</v>
      </c>
      <c r="B1120" s="103" t="s">
        <v>1178</v>
      </c>
      <c r="C1120" s="9" t="s">
        <v>294</v>
      </c>
      <c r="D1120" s="10">
        <v>2632.0</v>
      </c>
      <c r="E1120" s="9" t="s">
        <v>1360</v>
      </c>
      <c r="F1120" s="11" t="s">
        <v>26</v>
      </c>
      <c r="G1120" s="12" t="s">
        <v>27</v>
      </c>
      <c r="H1120" s="13">
        <v>65.35</v>
      </c>
      <c r="I1120" s="14">
        <v>5.0</v>
      </c>
      <c r="J1120" s="15" t="s">
        <v>28</v>
      </c>
      <c r="K1120" s="16">
        <v>0.4</v>
      </c>
      <c r="L1120" s="17">
        <f t="shared" si="1"/>
        <v>2</v>
      </c>
      <c r="M1120" s="17">
        <f t="shared" si="2"/>
        <v>3</v>
      </c>
      <c r="N1120" s="18">
        <f t="shared" si="3"/>
        <v>26.14</v>
      </c>
      <c r="O1120" s="18">
        <f t="shared" si="4"/>
        <v>39.21</v>
      </c>
      <c r="P1120" s="18">
        <f t="shared" si="5"/>
        <v>39.21</v>
      </c>
      <c r="Q1120" s="8">
        <v>0.0</v>
      </c>
      <c r="R1120" s="18">
        <f t="shared" si="6"/>
        <v>13.07</v>
      </c>
      <c r="S1120" s="19" t="s">
        <v>29</v>
      </c>
      <c r="T1120" s="19" t="s">
        <v>30</v>
      </c>
      <c r="U1120" s="20" t="s">
        <v>374</v>
      </c>
      <c r="V1120" s="37"/>
      <c r="W1120" s="7"/>
      <c r="X1120" s="7"/>
      <c r="Y1120" s="7"/>
      <c r="Z1120" s="7"/>
      <c r="AA1120" s="7"/>
    </row>
    <row r="1121" ht="18.75" customHeight="1">
      <c r="A1121" s="22" t="s">
        <v>1168</v>
      </c>
      <c r="B1121" s="102" t="s">
        <v>1178</v>
      </c>
      <c r="C1121" s="23" t="s">
        <v>294</v>
      </c>
      <c r="D1121" s="24">
        <v>2639.0</v>
      </c>
      <c r="E1121" s="23" t="s">
        <v>1361</v>
      </c>
      <c r="F1121" s="25" t="s">
        <v>26</v>
      </c>
      <c r="G1121" s="26" t="s">
        <v>27</v>
      </c>
      <c r="H1121" s="27">
        <v>65.35</v>
      </c>
      <c r="I1121" s="28">
        <v>5.0</v>
      </c>
      <c r="J1121" s="29" t="s">
        <v>28</v>
      </c>
      <c r="K1121" s="30">
        <v>0.4</v>
      </c>
      <c r="L1121" s="31">
        <f t="shared" si="1"/>
        <v>2</v>
      </c>
      <c r="M1121" s="31">
        <f t="shared" si="2"/>
        <v>3</v>
      </c>
      <c r="N1121" s="32">
        <f t="shared" si="3"/>
        <v>26.14</v>
      </c>
      <c r="O1121" s="32">
        <f t="shared" si="4"/>
        <v>39.21</v>
      </c>
      <c r="P1121" s="32">
        <f t="shared" si="5"/>
        <v>39.21</v>
      </c>
      <c r="Q1121" s="22">
        <v>0.0</v>
      </c>
      <c r="R1121" s="32">
        <f t="shared" si="6"/>
        <v>13.07</v>
      </c>
      <c r="S1121" s="33" t="s">
        <v>29</v>
      </c>
      <c r="T1121" s="33" t="s">
        <v>30</v>
      </c>
      <c r="U1121" s="34" t="s">
        <v>374</v>
      </c>
      <c r="V1121" s="35"/>
      <c r="W1121" s="7"/>
      <c r="X1121" s="7"/>
      <c r="Y1121" s="7"/>
      <c r="Z1121" s="7"/>
      <c r="AA1121" s="7"/>
    </row>
    <row r="1122" ht="18.75" customHeight="1">
      <c r="A1122" s="8" t="s">
        <v>1168</v>
      </c>
      <c r="B1122" s="103" t="s">
        <v>1178</v>
      </c>
      <c r="C1122" s="9" t="s">
        <v>294</v>
      </c>
      <c r="D1122" s="10">
        <v>2640.0</v>
      </c>
      <c r="E1122" s="9" t="s">
        <v>1361</v>
      </c>
      <c r="F1122" s="11" t="s">
        <v>26</v>
      </c>
      <c r="G1122" s="12" t="s">
        <v>27</v>
      </c>
      <c r="H1122" s="13">
        <v>65.35</v>
      </c>
      <c r="I1122" s="14">
        <v>5.0</v>
      </c>
      <c r="J1122" s="15" t="s">
        <v>28</v>
      </c>
      <c r="K1122" s="16">
        <v>0.4</v>
      </c>
      <c r="L1122" s="17">
        <f t="shared" si="1"/>
        <v>2</v>
      </c>
      <c r="M1122" s="17">
        <f t="shared" si="2"/>
        <v>3</v>
      </c>
      <c r="N1122" s="18">
        <f t="shared" si="3"/>
        <v>26.14</v>
      </c>
      <c r="O1122" s="18">
        <f t="shared" si="4"/>
        <v>39.21</v>
      </c>
      <c r="P1122" s="18">
        <f t="shared" si="5"/>
        <v>39.21</v>
      </c>
      <c r="Q1122" s="8">
        <v>0.0</v>
      </c>
      <c r="R1122" s="18">
        <f t="shared" si="6"/>
        <v>13.07</v>
      </c>
      <c r="S1122" s="19" t="s">
        <v>29</v>
      </c>
      <c r="T1122" s="19" t="s">
        <v>30</v>
      </c>
      <c r="U1122" s="20" t="s">
        <v>374</v>
      </c>
      <c r="V1122" s="37"/>
      <c r="W1122" s="7"/>
      <c r="X1122" s="7"/>
      <c r="Y1122" s="7"/>
      <c r="Z1122" s="7"/>
      <c r="AA1122" s="7"/>
    </row>
    <row r="1123" ht="18.75" customHeight="1">
      <c r="A1123" s="22" t="s">
        <v>1168</v>
      </c>
      <c r="B1123" s="102" t="s">
        <v>1178</v>
      </c>
      <c r="C1123" s="23" t="s">
        <v>294</v>
      </c>
      <c r="D1123" s="24">
        <v>2651.0</v>
      </c>
      <c r="E1123" s="23" t="s">
        <v>378</v>
      </c>
      <c r="F1123" s="25" t="s">
        <v>26</v>
      </c>
      <c r="G1123" s="26" t="s">
        <v>27</v>
      </c>
      <c r="H1123" s="27">
        <v>1268.25</v>
      </c>
      <c r="I1123" s="28">
        <v>10.0</v>
      </c>
      <c r="J1123" s="29" t="s">
        <v>28</v>
      </c>
      <c r="K1123" s="30">
        <v>0.4</v>
      </c>
      <c r="L1123" s="31">
        <f t="shared" si="1"/>
        <v>4</v>
      </c>
      <c r="M1123" s="31">
        <f t="shared" si="2"/>
        <v>6</v>
      </c>
      <c r="N1123" s="32">
        <f t="shared" si="3"/>
        <v>507.3</v>
      </c>
      <c r="O1123" s="32">
        <f t="shared" si="4"/>
        <v>760.95</v>
      </c>
      <c r="P1123" s="32">
        <f t="shared" si="5"/>
        <v>760.95</v>
      </c>
      <c r="Q1123" s="22">
        <v>0.0</v>
      </c>
      <c r="R1123" s="32">
        <f t="shared" si="6"/>
        <v>126.825</v>
      </c>
      <c r="S1123" s="33" t="s">
        <v>29</v>
      </c>
      <c r="T1123" s="33" t="s">
        <v>30</v>
      </c>
      <c r="U1123" s="38" t="s">
        <v>379</v>
      </c>
      <c r="V1123" s="35"/>
      <c r="W1123" s="7"/>
      <c r="X1123" s="7"/>
      <c r="Y1123" s="7"/>
      <c r="Z1123" s="7"/>
      <c r="AA1123" s="7"/>
    </row>
    <row r="1124" ht="18.75" customHeight="1">
      <c r="A1124" s="8" t="s">
        <v>1168</v>
      </c>
      <c r="B1124" s="103" t="s">
        <v>1178</v>
      </c>
      <c r="C1124" s="9" t="s">
        <v>294</v>
      </c>
      <c r="D1124" s="10">
        <v>2652.0</v>
      </c>
      <c r="E1124" s="9" t="s">
        <v>378</v>
      </c>
      <c r="F1124" s="11" t="s">
        <v>26</v>
      </c>
      <c r="G1124" s="12" t="s">
        <v>27</v>
      </c>
      <c r="H1124" s="13">
        <v>1268.25</v>
      </c>
      <c r="I1124" s="14">
        <v>10.0</v>
      </c>
      <c r="J1124" s="15" t="s">
        <v>28</v>
      </c>
      <c r="K1124" s="16">
        <v>0.4</v>
      </c>
      <c r="L1124" s="17">
        <f t="shared" si="1"/>
        <v>4</v>
      </c>
      <c r="M1124" s="17">
        <f t="shared" si="2"/>
        <v>6</v>
      </c>
      <c r="N1124" s="18">
        <f t="shared" si="3"/>
        <v>507.3</v>
      </c>
      <c r="O1124" s="18">
        <f t="shared" si="4"/>
        <v>760.95</v>
      </c>
      <c r="P1124" s="18">
        <f t="shared" si="5"/>
        <v>760.95</v>
      </c>
      <c r="Q1124" s="8">
        <v>0.0</v>
      </c>
      <c r="R1124" s="18">
        <f t="shared" si="6"/>
        <v>126.825</v>
      </c>
      <c r="S1124" s="19" t="s">
        <v>29</v>
      </c>
      <c r="T1124" s="19" t="s">
        <v>30</v>
      </c>
      <c r="U1124" s="36" t="s">
        <v>379</v>
      </c>
      <c r="V1124" s="37"/>
      <c r="W1124" s="7"/>
      <c r="X1124" s="7"/>
      <c r="Y1124" s="7"/>
      <c r="Z1124" s="7"/>
      <c r="AA1124" s="7"/>
    </row>
    <row r="1125" ht="18.75" customHeight="1">
      <c r="A1125" s="22" t="s">
        <v>1168</v>
      </c>
      <c r="B1125" s="102" t="s">
        <v>1178</v>
      </c>
      <c r="C1125" s="23" t="s">
        <v>294</v>
      </c>
      <c r="D1125" s="24">
        <v>2653.0</v>
      </c>
      <c r="E1125" s="23" t="s">
        <v>378</v>
      </c>
      <c r="F1125" s="25" t="s">
        <v>26</v>
      </c>
      <c r="G1125" s="26" t="s">
        <v>27</v>
      </c>
      <c r="H1125" s="27">
        <v>1268.25</v>
      </c>
      <c r="I1125" s="28">
        <v>10.0</v>
      </c>
      <c r="J1125" s="29" t="s">
        <v>28</v>
      </c>
      <c r="K1125" s="30">
        <v>0.4</v>
      </c>
      <c r="L1125" s="31">
        <f t="shared" si="1"/>
        <v>4</v>
      </c>
      <c r="M1125" s="31">
        <f t="shared" si="2"/>
        <v>6</v>
      </c>
      <c r="N1125" s="32">
        <f t="shared" si="3"/>
        <v>507.3</v>
      </c>
      <c r="O1125" s="32">
        <f t="shared" si="4"/>
        <v>760.95</v>
      </c>
      <c r="P1125" s="32">
        <f t="shared" si="5"/>
        <v>760.95</v>
      </c>
      <c r="Q1125" s="22">
        <v>0.0</v>
      </c>
      <c r="R1125" s="32">
        <f t="shared" si="6"/>
        <v>126.825</v>
      </c>
      <c r="S1125" s="33" t="s">
        <v>29</v>
      </c>
      <c r="T1125" s="33" t="s">
        <v>30</v>
      </c>
      <c r="U1125" s="38" t="s">
        <v>379</v>
      </c>
      <c r="V1125" s="35"/>
      <c r="W1125" s="7"/>
      <c r="X1125" s="7"/>
      <c r="Y1125" s="7"/>
      <c r="Z1125" s="7"/>
      <c r="AA1125" s="7"/>
    </row>
    <row r="1126" ht="18.75" customHeight="1">
      <c r="A1126" s="8" t="s">
        <v>1168</v>
      </c>
      <c r="B1126" s="103" t="s">
        <v>1178</v>
      </c>
      <c r="C1126" s="9" t="s">
        <v>294</v>
      </c>
      <c r="D1126" s="10">
        <v>2654.0</v>
      </c>
      <c r="E1126" s="9" t="s">
        <v>378</v>
      </c>
      <c r="F1126" s="11" t="s">
        <v>26</v>
      </c>
      <c r="G1126" s="12" t="s">
        <v>27</v>
      </c>
      <c r="H1126" s="13">
        <v>1268.25</v>
      </c>
      <c r="I1126" s="14">
        <v>10.0</v>
      </c>
      <c r="J1126" s="15" t="s">
        <v>28</v>
      </c>
      <c r="K1126" s="16">
        <v>0.4</v>
      </c>
      <c r="L1126" s="17">
        <f t="shared" si="1"/>
        <v>4</v>
      </c>
      <c r="M1126" s="17">
        <f t="shared" si="2"/>
        <v>6</v>
      </c>
      <c r="N1126" s="18">
        <f t="shared" si="3"/>
        <v>507.3</v>
      </c>
      <c r="O1126" s="18">
        <f t="shared" si="4"/>
        <v>760.95</v>
      </c>
      <c r="P1126" s="18">
        <f t="shared" si="5"/>
        <v>760.95</v>
      </c>
      <c r="Q1126" s="8">
        <v>0.0</v>
      </c>
      <c r="R1126" s="18">
        <f t="shared" si="6"/>
        <v>126.825</v>
      </c>
      <c r="S1126" s="19" t="s">
        <v>29</v>
      </c>
      <c r="T1126" s="19" t="s">
        <v>30</v>
      </c>
      <c r="U1126" s="36" t="s">
        <v>379</v>
      </c>
      <c r="V1126" s="37"/>
      <c r="W1126" s="7"/>
      <c r="X1126" s="7"/>
      <c r="Y1126" s="7"/>
      <c r="Z1126" s="7"/>
      <c r="AA1126" s="7"/>
    </row>
    <row r="1127" ht="18.75" customHeight="1">
      <c r="A1127" s="22" t="s">
        <v>1168</v>
      </c>
      <c r="B1127" s="102" t="s">
        <v>1178</v>
      </c>
      <c r="C1127" s="23" t="s">
        <v>294</v>
      </c>
      <c r="D1127" s="24">
        <v>2655.0</v>
      </c>
      <c r="E1127" s="23" t="s">
        <v>378</v>
      </c>
      <c r="F1127" s="25" t="s">
        <v>26</v>
      </c>
      <c r="G1127" s="26" t="s">
        <v>27</v>
      </c>
      <c r="H1127" s="27">
        <v>1268.25</v>
      </c>
      <c r="I1127" s="28">
        <v>10.0</v>
      </c>
      <c r="J1127" s="29" t="s">
        <v>28</v>
      </c>
      <c r="K1127" s="30">
        <v>0.4</v>
      </c>
      <c r="L1127" s="31">
        <f t="shared" si="1"/>
        <v>4</v>
      </c>
      <c r="M1127" s="31">
        <f t="shared" si="2"/>
        <v>6</v>
      </c>
      <c r="N1127" s="32">
        <f t="shared" si="3"/>
        <v>507.3</v>
      </c>
      <c r="O1127" s="32">
        <f t="shared" si="4"/>
        <v>760.95</v>
      </c>
      <c r="P1127" s="32">
        <f t="shared" si="5"/>
        <v>760.95</v>
      </c>
      <c r="Q1127" s="22">
        <v>0.0</v>
      </c>
      <c r="R1127" s="32">
        <f t="shared" si="6"/>
        <v>126.825</v>
      </c>
      <c r="S1127" s="33" t="s">
        <v>29</v>
      </c>
      <c r="T1127" s="33" t="s">
        <v>30</v>
      </c>
      <c r="U1127" s="38" t="s">
        <v>379</v>
      </c>
      <c r="V1127" s="35"/>
      <c r="W1127" s="7"/>
      <c r="X1127" s="7"/>
      <c r="Y1127" s="7"/>
      <c r="Z1127" s="7"/>
      <c r="AA1127" s="7"/>
    </row>
    <row r="1128" ht="18.75" customHeight="1">
      <c r="A1128" s="8" t="s">
        <v>1168</v>
      </c>
      <c r="B1128" s="103" t="s">
        <v>1178</v>
      </c>
      <c r="C1128" s="9" t="s">
        <v>294</v>
      </c>
      <c r="D1128" s="10">
        <v>2656.0</v>
      </c>
      <c r="E1128" s="9" t="s">
        <v>378</v>
      </c>
      <c r="F1128" s="11" t="s">
        <v>26</v>
      </c>
      <c r="G1128" s="12" t="s">
        <v>27</v>
      </c>
      <c r="H1128" s="13">
        <v>1268.25</v>
      </c>
      <c r="I1128" s="14">
        <v>10.0</v>
      </c>
      <c r="J1128" s="15" t="s">
        <v>28</v>
      </c>
      <c r="K1128" s="16">
        <v>0.4</v>
      </c>
      <c r="L1128" s="17">
        <f t="shared" si="1"/>
        <v>4</v>
      </c>
      <c r="M1128" s="17">
        <f t="shared" si="2"/>
        <v>6</v>
      </c>
      <c r="N1128" s="18">
        <f t="shared" si="3"/>
        <v>507.3</v>
      </c>
      <c r="O1128" s="18">
        <f t="shared" si="4"/>
        <v>760.95</v>
      </c>
      <c r="P1128" s="18">
        <f t="shared" si="5"/>
        <v>760.95</v>
      </c>
      <c r="Q1128" s="8">
        <v>0.0</v>
      </c>
      <c r="R1128" s="18">
        <f t="shared" si="6"/>
        <v>126.825</v>
      </c>
      <c r="S1128" s="19" t="s">
        <v>29</v>
      </c>
      <c r="T1128" s="19" t="s">
        <v>30</v>
      </c>
      <c r="U1128" s="36" t="s">
        <v>379</v>
      </c>
      <c r="V1128" s="37"/>
      <c r="W1128" s="7"/>
      <c r="X1128" s="7"/>
      <c r="Y1128" s="7"/>
      <c r="Z1128" s="7"/>
      <c r="AA1128" s="7"/>
    </row>
    <row r="1129" ht="18.75" customHeight="1">
      <c r="A1129" s="22" t="s">
        <v>1168</v>
      </c>
      <c r="B1129" s="102" t="s">
        <v>1178</v>
      </c>
      <c r="C1129" s="23" t="s">
        <v>294</v>
      </c>
      <c r="D1129" s="24">
        <v>2657.0</v>
      </c>
      <c r="E1129" s="23" t="s">
        <v>378</v>
      </c>
      <c r="F1129" s="25" t="s">
        <v>26</v>
      </c>
      <c r="G1129" s="26" t="s">
        <v>27</v>
      </c>
      <c r="H1129" s="27">
        <v>1268.25</v>
      </c>
      <c r="I1129" s="28">
        <v>10.0</v>
      </c>
      <c r="J1129" s="29" t="s">
        <v>28</v>
      </c>
      <c r="K1129" s="30">
        <v>0.4</v>
      </c>
      <c r="L1129" s="31">
        <f t="shared" si="1"/>
        <v>4</v>
      </c>
      <c r="M1129" s="31">
        <f t="shared" si="2"/>
        <v>6</v>
      </c>
      <c r="N1129" s="32">
        <f t="shared" si="3"/>
        <v>507.3</v>
      </c>
      <c r="O1129" s="32">
        <f t="shared" si="4"/>
        <v>760.95</v>
      </c>
      <c r="P1129" s="32">
        <f t="shared" si="5"/>
        <v>760.95</v>
      </c>
      <c r="Q1129" s="22">
        <v>0.0</v>
      </c>
      <c r="R1129" s="32">
        <f t="shared" si="6"/>
        <v>126.825</v>
      </c>
      <c r="S1129" s="33" t="s">
        <v>29</v>
      </c>
      <c r="T1129" s="33" t="s">
        <v>30</v>
      </c>
      <c r="U1129" s="38" t="s">
        <v>379</v>
      </c>
      <c r="V1129" s="35"/>
      <c r="W1129" s="7"/>
      <c r="X1129" s="7"/>
      <c r="Y1129" s="7"/>
      <c r="Z1129" s="7"/>
      <c r="AA1129" s="7"/>
    </row>
    <row r="1130" ht="18.75" customHeight="1">
      <c r="A1130" s="8" t="s">
        <v>1168</v>
      </c>
      <c r="B1130" s="103" t="s">
        <v>1178</v>
      </c>
      <c r="C1130" s="9" t="s">
        <v>294</v>
      </c>
      <c r="D1130" s="10">
        <v>2659.0</v>
      </c>
      <c r="E1130" s="9" t="s">
        <v>378</v>
      </c>
      <c r="F1130" s="11" t="s">
        <v>26</v>
      </c>
      <c r="G1130" s="12" t="s">
        <v>27</v>
      </c>
      <c r="H1130" s="13">
        <v>1268.25</v>
      </c>
      <c r="I1130" s="14">
        <v>10.0</v>
      </c>
      <c r="J1130" s="15" t="s">
        <v>28</v>
      </c>
      <c r="K1130" s="16">
        <v>0.4</v>
      </c>
      <c r="L1130" s="17">
        <f t="shared" si="1"/>
        <v>4</v>
      </c>
      <c r="M1130" s="17">
        <f t="shared" si="2"/>
        <v>6</v>
      </c>
      <c r="N1130" s="18">
        <f t="shared" si="3"/>
        <v>507.3</v>
      </c>
      <c r="O1130" s="18">
        <f t="shared" si="4"/>
        <v>760.95</v>
      </c>
      <c r="P1130" s="18">
        <f t="shared" si="5"/>
        <v>760.95</v>
      </c>
      <c r="Q1130" s="8">
        <v>0.0</v>
      </c>
      <c r="R1130" s="18">
        <f t="shared" si="6"/>
        <v>126.825</v>
      </c>
      <c r="S1130" s="19" t="s">
        <v>29</v>
      </c>
      <c r="T1130" s="19" t="s">
        <v>30</v>
      </c>
      <c r="U1130" s="36" t="s">
        <v>379</v>
      </c>
      <c r="V1130" s="37"/>
      <c r="W1130" s="7"/>
      <c r="X1130" s="7"/>
      <c r="Y1130" s="7"/>
      <c r="Z1130" s="7"/>
      <c r="AA1130" s="7"/>
    </row>
    <row r="1131" ht="18.75" customHeight="1">
      <c r="A1131" s="22" t="s">
        <v>1168</v>
      </c>
      <c r="B1131" s="102" t="s">
        <v>1178</v>
      </c>
      <c r="C1131" s="23" t="s">
        <v>294</v>
      </c>
      <c r="D1131" s="24">
        <v>2660.0</v>
      </c>
      <c r="E1131" s="23" t="s">
        <v>378</v>
      </c>
      <c r="F1131" s="25" t="s">
        <v>26</v>
      </c>
      <c r="G1131" s="26" t="s">
        <v>27</v>
      </c>
      <c r="H1131" s="27">
        <v>1268.25</v>
      </c>
      <c r="I1131" s="28">
        <v>10.0</v>
      </c>
      <c r="J1131" s="29" t="s">
        <v>28</v>
      </c>
      <c r="K1131" s="30">
        <v>0.4</v>
      </c>
      <c r="L1131" s="31">
        <f t="shared" si="1"/>
        <v>4</v>
      </c>
      <c r="M1131" s="31">
        <f t="shared" si="2"/>
        <v>6</v>
      </c>
      <c r="N1131" s="32">
        <f t="shared" si="3"/>
        <v>507.3</v>
      </c>
      <c r="O1131" s="32">
        <f t="shared" si="4"/>
        <v>760.95</v>
      </c>
      <c r="P1131" s="32">
        <f t="shared" si="5"/>
        <v>760.95</v>
      </c>
      <c r="Q1131" s="22">
        <v>0.0</v>
      </c>
      <c r="R1131" s="32">
        <f t="shared" si="6"/>
        <v>126.825</v>
      </c>
      <c r="S1131" s="33" t="s">
        <v>29</v>
      </c>
      <c r="T1131" s="33" t="s">
        <v>30</v>
      </c>
      <c r="U1131" s="38" t="s">
        <v>379</v>
      </c>
      <c r="V1131" s="35"/>
      <c r="W1131" s="7"/>
      <c r="X1131" s="7"/>
      <c r="Y1131" s="7"/>
      <c r="Z1131" s="7"/>
      <c r="AA1131" s="7"/>
    </row>
    <row r="1132" ht="18.75" customHeight="1">
      <c r="A1132" s="8" t="s">
        <v>1168</v>
      </c>
      <c r="B1132" s="103" t="s">
        <v>1178</v>
      </c>
      <c r="C1132" s="9" t="s">
        <v>294</v>
      </c>
      <c r="D1132" s="10">
        <v>2661.0</v>
      </c>
      <c r="E1132" s="9" t="s">
        <v>378</v>
      </c>
      <c r="F1132" s="11" t="s">
        <v>26</v>
      </c>
      <c r="G1132" s="12" t="s">
        <v>27</v>
      </c>
      <c r="H1132" s="13">
        <v>1268.25</v>
      </c>
      <c r="I1132" s="14">
        <v>10.0</v>
      </c>
      <c r="J1132" s="15" t="s">
        <v>28</v>
      </c>
      <c r="K1132" s="16">
        <v>0.4</v>
      </c>
      <c r="L1132" s="17">
        <f t="shared" si="1"/>
        <v>4</v>
      </c>
      <c r="M1132" s="17">
        <f t="shared" si="2"/>
        <v>6</v>
      </c>
      <c r="N1132" s="18">
        <f t="shared" si="3"/>
        <v>507.3</v>
      </c>
      <c r="O1132" s="18">
        <f t="shared" si="4"/>
        <v>760.95</v>
      </c>
      <c r="P1132" s="18">
        <f t="shared" si="5"/>
        <v>760.95</v>
      </c>
      <c r="Q1132" s="8">
        <v>0.0</v>
      </c>
      <c r="R1132" s="18">
        <f t="shared" si="6"/>
        <v>126.825</v>
      </c>
      <c r="S1132" s="19" t="s">
        <v>29</v>
      </c>
      <c r="T1132" s="19" t="s">
        <v>30</v>
      </c>
      <c r="U1132" s="36" t="s">
        <v>379</v>
      </c>
      <c r="V1132" s="37"/>
      <c r="W1132" s="7"/>
      <c r="X1132" s="7"/>
      <c r="Y1132" s="7"/>
      <c r="Z1132" s="7"/>
      <c r="AA1132" s="7"/>
    </row>
    <row r="1133" ht="18.75" customHeight="1">
      <c r="A1133" s="22" t="s">
        <v>1168</v>
      </c>
      <c r="B1133" s="102" t="s">
        <v>1178</v>
      </c>
      <c r="C1133" s="23" t="s">
        <v>294</v>
      </c>
      <c r="D1133" s="24">
        <v>2662.0</v>
      </c>
      <c r="E1133" s="23" t="s">
        <v>378</v>
      </c>
      <c r="F1133" s="25" t="s">
        <v>26</v>
      </c>
      <c r="G1133" s="26" t="s">
        <v>27</v>
      </c>
      <c r="H1133" s="27">
        <v>1268.25</v>
      </c>
      <c r="I1133" s="28">
        <v>10.0</v>
      </c>
      <c r="J1133" s="29" t="s">
        <v>28</v>
      </c>
      <c r="K1133" s="30">
        <v>0.4</v>
      </c>
      <c r="L1133" s="31">
        <f t="shared" si="1"/>
        <v>4</v>
      </c>
      <c r="M1133" s="31">
        <f t="shared" si="2"/>
        <v>6</v>
      </c>
      <c r="N1133" s="32">
        <f t="shared" si="3"/>
        <v>507.3</v>
      </c>
      <c r="O1133" s="32">
        <f t="shared" si="4"/>
        <v>760.95</v>
      </c>
      <c r="P1133" s="32">
        <f t="shared" si="5"/>
        <v>760.95</v>
      </c>
      <c r="Q1133" s="22">
        <v>0.0</v>
      </c>
      <c r="R1133" s="32">
        <f t="shared" si="6"/>
        <v>126.825</v>
      </c>
      <c r="S1133" s="33" t="s">
        <v>29</v>
      </c>
      <c r="T1133" s="33" t="s">
        <v>30</v>
      </c>
      <c r="U1133" s="38" t="s">
        <v>379</v>
      </c>
      <c r="V1133" s="35"/>
      <c r="W1133" s="7"/>
      <c r="X1133" s="7"/>
      <c r="Y1133" s="7"/>
      <c r="Z1133" s="7"/>
      <c r="AA1133" s="7"/>
    </row>
    <row r="1134" ht="18.75" customHeight="1">
      <c r="A1134" s="8" t="s">
        <v>1168</v>
      </c>
      <c r="B1134" s="103" t="s">
        <v>1178</v>
      </c>
      <c r="C1134" s="9" t="s">
        <v>294</v>
      </c>
      <c r="D1134" s="10">
        <v>2671.0</v>
      </c>
      <c r="E1134" s="9" t="s">
        <v>378</v>
      </c>
      <c r="F1134" s="11" t="s">
        <v>26</v>
      </c>
      <c r="G1134" s="12" t="s">
        <v>27</v>
      </c>
      <c r="H1134" s="13">
        <v>1268.25</v>
      </c>
      <c r="I1134" s="14">
        <v>10.0</v>
      </c>
      <c r="J1134" s="15" t="s">
        <v>28</v>
      </c>
      <c r="K1134" s="16">
        <v>0.4</v>
      </c>
      <c r="L1134" s="17">
        <f t="shared" si="1"/>
        <v>4</v>
      </c>
      <c r="M1134" s="17">
        <f t="shared" si="2"/>
        <v>6</v>
      </c>
      <c r="N1134" s="18">
        <f t="shared" si="3"/>
        <v>507.3</v>
      </c>
      <c r="O1134" s="18">
        <f t="shared" si="4"/>
        <v>760.95</v>
      </c>
      <c r="P1134" s="18">
        <f t="shared" si="5"/>
        <v>760.95</v>
      </c>
      <c r="Q1134" s="8">
        <v>0.0</v>
      </c>
      <c r="R1134" s="18">
        <f t="shared" si="6"/>
        <v>126.825</v>
      </c>
      <c r="S1134" s="19" t="s">
        <v>29</v>
      </c>
      <c r="T1134" s="19" t="s">
        <v>30</v>
      </c>
      <c r="U1134" s="36" t="s">
        <v>379</v>
      </c>
      <c r="V1134" s="37"/>
      <c r="W1134" s="7"/>
      <c r="X1134" s="7"/>
      <c r="Y1134" s="7"/>
      <c r="Z1134" s="7"/>
      <c r="AA1134" s="7"/>
    </row>
    <row r="1135" ht="18.75" customHeight="1">
      <c r="A1135" s="22" t="s">
        <v>1168</v>
      </c>
      <c r="B1135" s="102" t="s">
        <v>1178</v>
      </c>
      <c r="C1135" s="23" t="s">
        <v>294</v>
      </c>
      <c r="D1135" s="24">
        <v>2672.0</v>
      </c>
      <c r="E1135" s="23" t="s">
        <v>378</v>
      </c>
      <c r="F1135" s="25" t="s">
        <v>26</v>
      </c>
      <c r="G1135" s="26" t="s">
        <v>27</v>
      </c>
      <c r="H1135" s="27">
        <v>1268.25</v>
      </c>
      <c r="I1135" s="28">
        <v>10.0</v>
      </c>
      <c r="J1135" s="29" t="s">
        <v>28</v>
      </c>
      <c r="K1135" s="30">
        <v>0.4</v>
      </c>
      <c r="L1135" s="31">
        <f t="shared" si="1"/>
        <v>4</v>
      </c>
      <c r="M1135" s="31">
        <f t="shared" si="2"/>
        <v>6</v>
      </c>
      <c r="N1135" s="32">
        <f t="shared" si="3"/>
        <v>507.3</v>
      </c>
      <c r="O1135" s="32">
        <f t="shared" si="4"/>
        <v>760.95</v>
      </c>
      <c r="P1135" s="32">
        <f t="shared" si="5"/>
        <v>760.95</v>
      </c>
      <c r="Q1135" s="22">
        <v>0.0</v>
      </c>
      <c r="R1135" s="32">
        <f t="shared" si="6"/>
        <v>126.825</v>
      </c>
      <c r="S1135" s="33" t="s">
        <v>29</v>
      </c>
      <c r="T1135" s="33" t="s">
        <v>30</v>
      </c>
      <c r="U1135" s="38" t="s">
        <v>379</v>
      </c>
      <c r="V1135" s="35"/>
      <c r="W1135" s="7"/>
      <c r="X1135" s="7"/>
      <c r="Y1135" s="7"/>
      <c r="Z1135" s="7"/>
      <c r="AA1135" s="7"/>
    </row>
    <row r="1136" ht="18.75" customHeight="1">
      <c r="A1136" s="8" t="s">
        <v>1168</v>
      </c>
      <c r="B1136" s="103" t="s">
        <v>1178</v>
      </c>
      <c r="C1136" s="9" t="s">
        <v>294</v>
      </c>
      <c r="D1136" s="10">
        <v>2675.0</v>
      </c>
      <c r="E1136" s="9" t="s">
        <v>1362</v>
      </c>
      <c r="F1136" s="11" t="s">
        <v>26</v>
      </c>
      <c r="G1136" s="12" t="s">
        <v>27</v>
      </c>
      <c r="H1136" s="13">
        <v>65.35</v>
      </c>
      <c r="I1136" s="14">
        <v>5.0</v>
      </c>
      <c r="J1136" s="100" t="s">
        <v>54</v>
      </c>
      <c r="K1136" s="16">
        <v>0.3</v>
      </c>
      <c r="L1136" s="17">
        <f t="shared" si="1"/>
        <v>1.5</v>
      </c>
      <c r="M1136" s="17">
        <f t="shared" si="2"/>
        <v>3.5</v>
      </c>
      <c r="N1136" s="18">
        <f t="shared" si="3"/>
        <v>19.605</v>
      </c>
      <c r="O1136" s="18">
        <f t="shared" si="4"/>
        <v>45.745</v>
      </c>
      <c r="P1136" s="18">
        <f t="shared" si="5"/>
        <v>45.745</v>
      </c>
      <c r="Q1136" s="8">
        <v>0.0</v>
      </c>
      <c r="R1136" s="18">
        <f t="shared" si="6"/>
        <v>13.07</v>
      </c>
      <c r="S1136" s="19" t="s">
        <v>29</v>
      </c>
      <c r="T1136" s="19" t="s">
        <v>30</v>
      </c>
      <c r="U1136" s="20" t="s">
        <v>374</v>
      </c>
      <c r="V1136" s="37"/>
      <c r="W1136" s="7"/>
      <c r="X1136" s="7"/>
      <c r="Y1136" s="7"/>
      <c r="Z1136" s="7"/>
      <c r="AA1136" s="7"/>
    </row>
    <row r="1137" ht="18.75" customHeight="1">
      <c r="A1137" s="22" t="s">
        <v>1168</v>
      </c>
      <c r="B1137" s="102" t="s">
        <v>1178</v>
      </c>
      <c r="C1137" s="23" t="s">
        <v>294</v>
      </c>
      <c r="D1137" s="24">
        <v>2676.0</v>
      </c>
      <c r="E1137" s="23" t="s">
        <v>1362</v>
      </c>
      <c r="F1137" s="25" t="s">
        <v>26</v>
      </c>
      <c r="G1137" s="26" t="s">
        <v>27</v>
      </c>
      <c r="H1137" s="27">
        <v>65.35</v>
      </c>
      <c r="I1137" s="28">
        <v>5.0</v>
      </c>
      <c r="J1137" s="101" t="s">
        <v>54</v>
      </c>
      <c r="K1137" s="30">
        <v>0.3</v>
      </c>
      <c r="L1137" s="31">
        <f t="shared" si="1"/>
        <v>1.5</v>
      </c>
      <c r="M1137" s="31">
        <f t="shared" si="2"/>
        <v>3.5</v>
      </c>
      <c r="N1137" s="32">
        <f t="shared" si="3"/>
        <v>19.605</v>
      </c>
      <c r="O1137" s="32">
        <f t="shared" si="4"/>
        <v>45.745</v>
      </c>
      <c r="P1137" s="32">
        <f t="shared" si="5"/>
        <v>45.745</v>
      </c>
      <c r="Q1137" s="22">
        <v>0.0</v>
      </c>
      <c r="R1137" s="32">
        <f t="shared" si="6"/>
        <v>13.07</v>
      </c>
      <c r="S1137" s="33" t="s">
        <v>29</v>
      </c>
      <c r="T1137" s="33" t="s">
        <v>30</v>
      </c>
      <c r="U1137" s="34" t="s">
        <v>374</v>
      </c>
      <c r="V1137" s="35"/>
      <c r="W1137" s="7"/>
      <c r="X1137" s="7"/>
      <c r="Y1137" s="7"/>
      <c r="Z1137" s="7"/>
      <c r="AA1137" s="7"/>
    </row>
    <row r="1138" ht="18.75" customHeight="1">
      <c r="A1138" s="8" t="s">
        <v>1168</v>
      </c>
      <c r="B1138" s="103" t="s">
        <v>1178</v>
      </c>
      <c r="C1138" s="9" t="s">
        <v>294</v>
      </c>
      <c r="D1138" s="10">
        <v>2677.0</v>
      </c>
      <c r="E1138" s="9" t="s">
        <v>1363</v>
      </c>
      <c r="F1138" s="11" t="s">
        <v>26</v>
      </c>
      <c r="G1138" s="12" t="s">
        <v>27</v>
      </c>
      <c r="H1138" s="13">
        <v>65.35</v>
      </c>
      <c r="I1138" s="14">
        <v>5.0</v>
      </c>
      <c r="J1138" s="100" t="s">
        <v>54</v>
      </c>
      <c r="K1138" s="16">
        <v>0.3</v>
      </c>
      <c r="L1138" s="17">
        <f t="shared" si="1"/>
        <v>1.5</v>
      </c>
      <c r="M1138" s="17">
        <f t="shared" si="2"/>
        <v>3.5</v>
      </c>
      <c r="N1138" s="18">
        <f t="shared" si="3"/>
        <v>19.605</v>
      </c>
      <c r="O1138" s="18">
        <f t="shared" si="4"/>
        <v>45.745</v>
      </c>
      <c r="P1138" s="18">
        <f t="shared" si="5"/>
        <v>45.745</v>
      </c>
      <c r="Q1138" s="8">
        <v>0.0</v>
      </c>
      <c r="R1138" s="18">
        <f t="shared" si="6"/>
        <v>13.07</v>
      </c>
      <c r="S1138" s="19" t="s">
        <v>29</v>
      </c>
      <c r="T1138" s="19" t="s">
        <v>30</v>
      </c>
      <c r="U1138" s="20" t="s">
        <v>374</v>
      </c>
      <c r="V1138" s="37"/>
      <c r="W1138" s="7"/>
      <c r="X1138" s="7"/>
      <c r="Y1138" s="7"/>
      <c r="Z1138" s="7"/>
      <c r="AA1138" s="7"/>
    </row>
    <row r="1139" ht="18.75" customHeight="1">
      <c r="A1139" s="22" t="s">
        <v>1168</v>
      </c>
      <c r="B1139" s="102" t="s">
        <v>1178</v>
      </c>
      <c r="C1139" s="23" t="s">
        <v>294</v>
      </c>
      <c r="D1139" s="24">
        <v>2678.0</v>
      </c>
      <c r="E1139" s="23" t="s">
        <v>1363</v>
      </c>
      <c r="F1139" s="25" t="s">
        <v>26</v>
      </c>
      <c r="G1139" s="26" t="s">
        <v>27</v>
      </c>
      <c r="H1139" s="27">
        <v>65.35</v>
      </c>
      <c r="I1139" s="28">
        <v>5.0</v>
      </c>
      <c r="J1139" s="101" t="s">
        <v>54</v>
      </c>
      <c r="K1139" s="30">
        <v>0.3</v>
      </c>
      <c r="L1139" s="31">
        <f t="shared" si="1"/>
        <v>1.5</v>
      </c>
      <c r="M1139" s="31">
        <f t="shared" si="2"/>
        <v>3.5</v>
      </c>
      <c r="N1139" s="32">
        <f t="shared" si="3"/>
        <v>19.605</v>
      </c>
      <c r="O1139" s="32">
        <f t="shared" si="4"/>
        <v>45.745</v>
      </c>
      <c r="P1139" s="32">
        <f t="shared" si="5"/>
        <v>45.745</v>
      </c>
      <c r="Q1139" s="22">
        <v>0.0</v>
      </c>
      <c r="R1139" s="32">
        <f t="shared" si="6"/>
        <v>13.07</v>
      </c>
      <c r="S1139" s="33" t="s">
        <v>29</v>
      </c>
      <c r="T1139" s="33" t="s">
        <v>30</v>
      </c>
      <c r="U1139" s="34" t="s">
        <v>374</v>
      </c>
      <c r="V1139" s="35"/>
      <c r="W1139" s="7"/>
      <c r="X1139" s="7"/>
      <c r="Y1139" s="7"/>
      <c r="Z1139" s="7"/>
      <c r="AA1139" s="7"/>
    </row>
    <row r="1140" ht="18.75" customHeight="1">
      <c r="A1140" s="8" t="s">
        <v>1168</v>
      </c>
      <c r="B1140" s="103" t="s">
        <v>1178</v>
      </c>
      <c r="C1140" s="9" t="s">
        <v>294</v>
      </c>
      <c r="D1140" s="10">
        <v>2679.0</v>
      </c>
      <c r="E1140" s="9" t="s">
        <v>1364</v>
      </c>
      <c r="F1140" s="11" t="s">
        <v>26</v>
      </c>
      <c r="G1140" s="12" t="s">
        <v>27</v>
      </c>
      <c r="H1140" s="13">
        <v>65.35</v>
      </c>
      <c r="I1140" s="14">
        <v>5.0</v>
      </c>
      <c r="J1140" s="100" t="s">
        <v>54</v>
      </c>
      <c r="K1140" s="16">
        <v>0.3</v>
      </c>
      <c r="L1140" s="17">
        <f t="shared" si="1"/>
        <v>1.5</v>
      </c>
      <c r="M1140" s="17">
        <f t="shared" si="2"/>
        <v>3.5</v>
      </c>
      <c r="N1140" s="18">
        <f t="shared" si="3"/>
        <v>19.605</v>
      </c>
      <c r="O1140" s="18">
        <f t="shared" si="4"/>
        <v>45.745</v>
      </c>
      <c r="P1140" s="18">
        <f t="shared" si="5"/>
        <v>45.745</v>
      </c>
      <c r="Q1140" s="8">
        <v>0.0</v>
      </c>
      <c r="R1140" s="18">
        <f t="shared" si="6"/>
        <v>13.07</v>
      </c>
      <c r="S1140" s="19" t="s">
        <v>29</v>
      </c>
      <c r="T1140" s="19" t="s">
        <v>30</v>
      </c>
      <c r="U1140" s="20" t="s">
        <v>374</v>
      </c>
      <c r="V1140" s="37"/>
      <c r="W1140" s="7"/>
      <c r="X1140" s="7"/>
      <c r="Y1140" s="7"/>
      <c r="Z1140" s="7"/>
      <c r="AA1140" s="7"/>
    </row>
    <row r="1141" ht="18.75" customHeight="1">
      <c r="A1141" s="22" t="s">
        <v>1168</v>
      </c>
      <c r="B1141" s="102" t="s">
        <v>1178</v>
      </c>
      <c r="C1141" s="23" t="s">
        <v>294</v>
      </c>
      <c r="D1141" s="24">
        <v>2680.0</v>
      </c>
      <c r="E1141" s="23" t="s">
        <v>1364</v>
      </c>
      <c r="F1141" s="25" t="s">
        <v>26</v>
      </c>
      <c r="G1141" s="26" t="s">
        <v>27</v>
      </c>
      <c r="H1141" s="27">
        <v>65.35</v>
      </c>
      <c r="I1141" s="28">
        <v>5.0</v>
      </c>
      <c r="J1141" s="101" t="s">
        <v>54</v>
      </c>
      <c r="K1141" s="30">
        <v>0.3</v>
      </c>
      <c r="L1141" s="31">
        <f t="shared" si="1"/>
        <v>1.5</v>
      </c>
      <c r="M1141" s="31">
        <f t="shared" si="2"/>
        <v>3.5</v>
      </c>
      <c r="N1141" s="32">
        <f t="shared" si="3"/>
        <v>19.605</v>
      </c>
      <c r="O1141" s="32">
        <f t="shared" si="4"/>
        <v>45.745</v>
      </c>
      <c r="P1141" s="32">
        <f t="shared" si="5"/>
        <v>45.745</v>
      </c>
      <c r="Q1141" s="22">
        <v>0.0</v>
      </c>
      <c r="R1141" s="32">
        <f t="shared" si="6"/>
        <v>13.07</v>
      </c>
      <c r="S1141" s="33" t="s">
        <v>29</v>
      </c>
      <c r="T1141" s="33" t="s">
        <v>30</v>
      </c>
      <c r="U1141" s="34" t="s">
        <v>374</v>
      </c>
      <c r="V1141" s="35"/>
      <c r="W1141" s="7"/>
      <c r="X1141" s="7"/>
      <c r="Y1141" s="7"/>
      <c r="Z1141" s="7"/>
      <c r="AA1141" s="7"/>
    </row>
    <row r="1142" ht="18.75" customHeight="1">
      <c r="A1142" s="8" t="s">
        <v>1168</v>
      </c>
      <c r="B1142" s="103" t="s">
        <v>1178</v>
      </c>
      <c r="C1142" s="9" t="s">
        <v>294</v>
      </c>
      <c r="D1142" s="10">
        <v>2681.0</v>
      </c>
      <c r="E1142" s="9" t="s">
        <v>1365</v>
      </c>
      <c r="F1142" s="11" t="s">
        <v>26</v>
      </c>
      <c r="G1142" s="12" t="s">
        <v>27</v>
      </c>
      <c r="H1142" s="13">
        <v>65.35</v>
      </c>
      <c r="I1142" s="14">
        <v>5.0</v>
      </c>
      <c r="J1142" s="100" t="s">
        <v>54</v>
      </c>
      <c r="K1142" s="16">
        <v>0.3</v>
      </c>
      <c r="L1142" s="17">
        <f t="shared" si="1"/>
        <v>1.5</v>
      </c>
      <c r="M1142" s="17">
        <f t="shared" si="2"/>
        <v>3.5</v>
      </c>
      <c r="N1142" s="18">
        <f t="shared" si="3"/>
        <v>19.605</v>
      </c>
      <c r="O1142" s="18">
        <f t="shared" si="4"/>
        <v>45.745</v>
      </c>
      <c r="P1142" s="18">
        <f t="shared" si="5"/>
        <v>45.745</v>
      </c>
      <c r="Q1142" s="8">
        <v>0.0</v>
      </c>
      <c r="R1142" s="18">
        <f t="shared" si="6"/>
        <v>13.07</v>
      </c>
      <c r="S1142" s="19" t="s">
        <v>29</v>
      </c>
      <c r="T1142" s="19" t="s">
        <v>30</v>
      </c>
      <c r="U1142" s="20" t="s">
        <v>374</v>
      </c>
      <c r="V1142" s="37"/>
      <c r="W1142" s="7"/>
      <c r="X1142" s="7"/>
      <c r="Y1142" s="7"/>
      <c r="Z1142" s="7"/>
      <c r="AA1142" s="7"/>
    </row>
    <row r="1143" ht="18.75" customHeight="1">
      <c r="A1143" s="22" t="s">
        <v>1168</v>
      </c>
      <c r="B1143" s="102" t="s">
        <v>1178</v>
      </c>
      <c r="C1143" s="23" t="s">
        <v>294</v>
      </c>
      <c r="D1143" s="24">
        <v>2682.0</v>
      </c>
      <c r="E1143" s="23" t="s">
        <v>1365</v>
      </c>
      <c r="F1143" s="25" t="s">
        <v>26</v>
      </c>
      <c r="G1143" s="26" t="s">
        <v>27</v>
      </c>
      <c r="H1143" s="27">
        <v>65.35</v>
      </c>
      <c r="I1143" s="28">
        <v>5.0</v>
      </c>
      <c r="J1143" s="101" t="s">
        <v>54</v>
      </c>
      <c r="K1143" s="30">
        <v>0.3</v>
      </c>
      <c r="L1143" s="31">
        <f t="shared" si="1"/>
        <v>1.5</v>
      </c>
      <c r="M1143" s="31">
        <f t="shared" si="2"/>
        <v>3.5</v>
      </c>
      <c r="N1143" s="32">
        <f t="shared" si="3"/>
        <v>19.605</v>
      </c>
      <c r="O1143" s="32">
        <f t="shared" si="4"/>
        <v>45.745</v>
      </c>
      <c r="P1143" s="32">
        <f t="shared" si="5"/>
        <v>45.745</v>
      </c>
      <c r="Q1143" s="22">
        <v>0.0</v>
      </c>
      <c r="R1143" s="32">
        <f t="shared" si="6"/>
        <v>13.07</v>
      </c>
      <c r="S1143" s="33" t="s">
        <v>29</v>
      </c>
      <c r="T1143" s="33" t="s">
        <v>30</v>
      </c>
      <c r="U1143" s="34" t="s">
        <v>374</v>
      </c>
      <c r="V1143" s="35"/>
      <c r="W1143" s="7"/>
      <c r="X1143" s="7"/>
      <c r="Y1143" s="7"/>
      <c r="Z1143" s="7"/>
      <c r="AA1143" s="7"/>
    </row>
    <row r="1144" ht="18.75" customHeight="1">
      <c r="A1144" s="8" t="s">
        <v>1168</v>
      </c>
      <c r="B1144" s="103" t="s">
        <v>1178</v>
      </c>
      <c r="C1144" s="9" t="s">
        <v>294</v>
      </c>
      <c r="D1144" s="10">
        <v>2683.0</v>
      </c>
      <c r="E1144" s="9" t="s">
        <v>1366</v>
      </c>
      <c r="F1144" s="11" t="s">
        <v>26</v>
      </c>
      <c r="G1144" s="12" t="s">
        <v>27</v>
      </c>
      <c r="H1144" s="13">
        <v>65.35</v>
      </c>
      <c r="I1144" s="14">
        <v>5.0</v>
      </c>
      <c r="J1144" s="100" t="s">
        <v>54</v>
      </c>
      <c r="K1144" s="16">
        <v>0.3</v>
      </c>
      <c r="L1144" s="17">
        <f t="shared" si="1"/>
        <v>1.5</v>
      </c>
      <c r="M1144" s="17">
        <f t="shared" si="2"/>
        <v>3.5</v>
      </c>
      <c r="N1144" s="18">
        <f t="shared" si="3"/>
        <v>19.605</v>
      </c>
      <c r="O1144" s="18">
        <f t="shared" si="4"/>
        <v>45.745</v>
      </c>
      <c r="P1144" s="18">
        <f t="shared" si="5"/>
        <v>45.745</v>
      </c>
      <c r="Q1144" s="8">
        <v>0.0</v>
      </c>
      <c r="R1144" s="18">
        <f t="shared" si="6"/>
        <v>13.07</v>
      </c>
      <c r="S1144" s="19" t="s">
        <v>29</v>
      </c>
      <c r="T1144" s="19" t="s">
        <v>30</v>
      </c>
      <c r="U1144" s="20" t="s">
        <v>374</v>
      </c>
      <c r="V1144" s="37"/>
      <c r="W1144" s="7"/>
      <c r="X1144" s="7"/>
      <c r="Y1144" s="7"/>
      <c r="Z1144" s="7"/>
      <c r="AA1144" s="7"/>
    </row>
    <row r="1145" ht="18.75" customHeight="1">
      <c r="A1145" s="22" t="s">
        <v>1168</v>
      </c>
      <c r="B1145" s="102" t="s">
        <v>1178</v>
      </c>
      <c r="C1145" s="23" t="s">
        <v>294</v>
      </c>
      <c r="D1145" s="24">
        <v>2684.0</v>
      </c>
      <c r="E1145" s="23" t="s">
        <v>1366</v>
      </c>
      <c r="F1145" s="25" t="s">
        <v>26</v>
      </c>
      <c r="G1145" s="26" t="s">
        <v>27</v>
      </c>
      <c r="H1145" s="27">
        <v>65.35</v>
      </c>
      <c r="I1145" s="28">
        <v>5.0</v>
      </c>
      <c r="J1145" s="101" t="s">
        <v>54</v>
      </c>
      <c r="K1145" s="30">
        <v>0.3</v>
      </c>
      <c r="L1145" s="31">
        <f t="shared" si="1"/>
        <v>1.5</v>
      </c>
      <c r="M1145" s="31">
        <f t="shared" si="2"/>
        <v>3.5</v>
      </c>
      <c r="N1145" s="32">
        <f t="shared" si="3"/>
        <v>19.605</v>
      </c>
      <c r="O1145" s="32">
        <f t="shared" si="4"/>
        <v>45.745</v>
      </c>
      <c r="P1145" s="32">
        <f t="shared" si="5"/>
        <v>45.745</v>
      </c>
      <c r="Q1145" s="22">
        <v>0.0</v>
      </c>
      <c r="R1145" s="32">
        <f t="shared" si="6"/>
        <v>13.07</v>
      </c>
      <c r="S1145" s="33" t="s">
        <v>29</v>
      </c>
      <c r="T1145" s="33" t="s">
        <v>30</v>
      </c>
      <c r="U1145" s="34" t="s">
        <v>374</v>
      </c>
      <c r="V1145" s="35"/>
      <c r="W1145" s="7"/>
      <c r="X1145" s="7"/>
      <c r="Y1145" s="7"/>
      <c r="Z1145" s="7"/>
      <c r="AA1145" s="7"/>
    </row>
    <row r="1146" ht="18.75" customHeight="1">
      <c r="A1146" s="8" t="s">
        <v>1168</v>
      </c>
      <c r="B1146" s="103" t="s">
        <v>1178</v>
      </c>
      <c r="C1146" s="9" t="s">
        <v>294</v>
      </c>
      <c r="D1146" s="10">
        <v>2685.0</v>
      </c>
      <c r="E1146" s="9" t="s">
        <v>1367</v>
      </c>
      <c r="F1146" s="11" t="s">
        <v>26</v>
      </c>
      <c r="G1146" s="12" t="s">
        <v>27</v>
      </c>
      <c r="H1146" s="13">
        <v>65.35</v>
      </c>
      <c r="I1146" s="14">
        <v>5.0</v>
      </c>
      <c r="J1146" s="100" t="s">
        <v>54</v>
      </c>
      <c r="K1146" s="16">
        <v>0.3</v>
      </c>
      <c r="L1146" s="17">
        <f t="shared" si="1"/>
        <v>1.5</v>
      </c>
      <c r="M1146" s="17">
        <f t="shared" si="2"/>
        <v>3.5</v>
      </c>
      <c r="N1146" s="18">
        <f t="shared" si="3"/>
        <v>19.605</v>
      </c>
      <c r="O1146" s="18">
        <f t="shared" si="4"/>
        <v>45.745</v>
      </c>
      <c r="P1146" s="18">
        <f t="shared" si="5"/>
        <v>45.745</v>
      </c>
      <c r="Q1146" s="8">
        <v>0.0</v>
      </c>
      <c r="R1146" s="18">
        <f t="shared" si="6"/>
        <v>13.07</v>
      </c>
      <c r="S1146" s="19" t="s">
        <v>29</v>
      </c>
      <c r="T1146" s="19" t="s">
        <v>30</v>
      </c>
      <c r="U1146" s="20" t="s">
        <v>374</v>
      </c>
      <c r="V1146" s="37"/>
      <c r="W1146" s="7"/>
      <c r="X1146" s="7"/>
      <c r="Y1146" s="7"/>
      <c r="Z1146" s="7"/>
      <c r="AA1146" s="7"/>
    </row>
    <row r="1147" ht="18.75" customHeight="1">
      <c r="A1147" s="22" t="s">
        <v>1168</v>
      </c>
      <c r="B1147" s="102" t="s">
        <v>1178</v>
      </c>
      <c r="C1147" s="23" t="s">
        <v>294</v>
      </c>
      <c r="D1147" s="24">
        <v>2686.0</v>
      </c>
      <c r="E1147" s="23" t="s">
        <v>1367</v>
      </c>
      <c r="F1147" s="25" t="s">
        <v>26</v>
      </c>
      <c r="G1147" s="26" t="s">
        <v>27</v>
      </c>
      <c r="H1147" s="27">
        <v>65.35</v>
      </c>
      <c r="I1147" s="28">
        <v>5.0</v>
      </c>
      <c r="J1147" s="101" t="s">
        <v>54</v>
      </c>
      <c r="K1147" s="30">
        <v>0.3</v>
      </c>
      <c r="L1147" s="31">
        <f t="shared" si="1"/>
        <v>1.5</v>
      </c>
      <c r="M1147" s="31">
        <f t="shared" si="2"/>
        <v>3.5</v>
      </c>
      <c r="N1147" s="32">
        <f t="shared" si="3"/>
        <v>19.605</v>
      </c>
      <c r="O1147" s="32">
        <f t="shared" si="4"/>
        <v>45.745</v>
      </c>
      <c r="P1147" s="32">
        <f t="shared" si="5"/>
        <v>45.745</v>
      </c>
      <c r="Q1147" s="22">
        <v>0.0</v>
      </c>
      <c r="R1147" s="32">
        <f t="shared" si="6"/>
        <v>13.07</v>
      </c>
      <c r="S1147" s="33" t="s">
        <v>29</v>
      </c>
      <c r="T1147" s="33" t="s">
        <v>30</v>
      </c>
      <c r="U1147" s="34" t="s">
        <v>374</v>
      </c>
      <c r="V1147" s="35"/>
      <c r="W1147" s="7"/>
      <c r="X1147" s="7"/>
      <c r="Y1147" s="7"/>
      <c r="Z1147" s="7"/>
      <c r="AA1147" s="7"/>
    </row>
    <row r="1148" ht="18.75" customHeight="1">
      <c r="A1148" s="8" t="s">
        <v>1168</v>
      </c>
      <c r="B1148" s="103" t="s">
        <v>1178</v>
      </c>
      <c r="C1148" s="9" t="s">
        <v>294</v>
      </c>
      <c r="D1148" s="10">
        <v>2687.0</v>
      </c>
      <c r="E1148" s="9" t="s">
        <v>1368</v>
      </c>
      <c r="F1148" s="11" t="s">
        <v>26</v>
      </c>
      <c r="G1148" s="12" t="s">
        <v>27</v>
      </c>
      <c r="H1148" s="13">
        <v>65.35</v>
      </c>
      <c r="I1148" s="14">
        <v>5.0</v>
      </c>
      <c r="J1148" s="100" t="s">
        <v>54</v>
      </c>
      <c r="K1148" s="16">
        <v>0.3</v>
      </c>
      <c r="L1148" s="17">
        <f t="shared" si="1"/>
        <v>1.5</v>
      </c>
      <c r="M1148" s="17">
        <f t="shared" si="2"/>
        <v>3.5</v>
      </c>
      <c r="N1148" s="18">
        <f t="shared" si="3"/>
        <v>19.605</v>
      </c>
      <c r="O1148" s="18">
        <f t="shared" si="4"/>
        <v>45.745</v>
      </c>
      <c r="P1148" s="18">
        <f t="shared" si="5"/>
        <v>45.745</v>
      </c>
      <c r="Q1148" s="8">
        <v>0.0</v>
      </c>
      <c r="R1148" s="18">
        <f t="shared" si="6"/>
        <v>13.07</v>
      </c>
      <c r="S1148" s="19" t="s">
        <v>29</v>
      </c>
      <c r="T1148" s="19" t="s">
        <v>30</v>
      </c>
      <c r="U1148" s="20" t="s">
        <v>374</v>
      </c>
      <c r="V1148" s="37"/>
      <c r="W1148" s="7"/>
      <c r="X1148" s="7"/>
      <c r="Y1148" s="7"/>
      <c r="Z1148" s="7"/>
      <c r="AA1148" s="7"/>
    </row>
    <row r="1149" ht="18.75" customHeight="1">
      <c r="A1149" s="22" t="s">
        <v>1168</v>
      </c>
      <c r="B1149" s="102" t="s">
        <v>1178</v>
      </c>
      <c r="C1149" s="23" t="s">
        <v>294</v>
      </c>
      <c r="D1149" s="24">
        <v>2688.0</v>
      </c>
      <c r="E1149" s="23" t="s">
        <v>1368</v>
      </c>
      <c r="F1149" s="25" t="s">
        <v>26</v>
      </c>
      <c r="G1149" s="26" t="s">
        <v>27</v>
      </c>
      <c r="H1149" s="27">
        <v>65.35</v>
      </c>
      <c r="I1149" s="28">
        <v>5.0</v>
      </c>
      <c r="J1149" s="101" t="s">
        <v>54</v>
      </c>
      <c r="K1149" s="30">
        <v>0.3</v>
      </c>
      <c r="L1149" s="31">
        <f t="shared" si="1"/>
        <v>1.5</v>
      </c>
      <c r="M1149" s="31">
        <f t="shared" si="2"/>
        <v>3.5</v>
      </c>
      <c r="N1149" s="32">
        <f t="shared" si="3"/>
        <v>19.605</v>
      </c>
      <c r="O1149" s="32">
        <f t="shared" si="4"/>
        <v>45.745</v>
      </c>
      <c r="P1149" s="32">
        <f t="shared" si="5"/>
        <v>45.745</v>
      </c>
      <c r="Q1149" s="22">
        <v>0.0</v>
      </c>
      <c r="R1149" s="32">
        <f t="shared" si="6"/>
        <v>13.07</v>
      </c>
      <c r="S1149" s="33" t="s">
        <v>29</v>
      </c>
      <c r="T1149" s="33" t="s">
        <v>30</v>
      </c>
      <c r="U1149" s="34" t="s">
        <v>374</v>
      </c>
      <c r="V1149" s="35"/>
      <c r="W1149" s="7"/>
      <c r="X1149" s="7"/>
      <c r="Y1149" s="7"/>
      <c r="Z1149" s="7"/>
      <c r="AA1149" s="7"/>
    </row>
    <row r="1150" ht="18.75" customHeight="1">
      <c r="A1150" s="8" t="s">
        <v>1168</v>
      </c>
      <c r="B1150" s="103" t="s">
        <v>1178</v>
      </c>
      <c r="C1150" s="9" t="s">
        <v>294</v>
      </c>
      <c r="D1150" s="10">
        <v>2689.0</v>
      </c>
      <c r="E1150" s="9" t="s">
        <v>1369</v>
      </c>
      <c r="F1150" s="11" t="s">
        <v>26</v>
      </c>
      <c r="G1150" s="12" t="s">
        <v>27</v>
      </c>
      <c r="H1150" s="13">
        <v>65.35</v>
      </c>
      <c r="I1150" s="14">
        <v>5.0</v>
      </c>
      <c r="J1150" s="100" t="s">
        <v>54</v>
      </c>
      <c r="K1150" s="16">
        <v>0.3</v>
      </c>
      <c r="L1150" s="17">
        <f t="shared" si="1"/>
        <v>1.5</v>
      </c>
      <c r="M1150" s="17">
        <f t="shared" si="2"/>
        <v>3.5</v>
      </c>
      <c r="N1150" s="18">
        <f t="shared" si="3"/>
        <v>19.605</v>
      </c>
      <c r="O1150" s="18">
        <f t="shared" si="4"/>
        <v>45.745</v>
      </c>
      <c r="P1150" s="18">
        <f t="shared" si="5"/>
        <v>45.745</v>
      </c>
      <c r="Q1150" s="8">
        <v>0.0</v>
      </c>
      <c r="R1150" s="18">
        <f t="shared" si="6"/>
        <v>13.07</v>
      </c>
      <c r="S1150" s="19" t="s">
        <v>29</v>
      </c>
      <c r="T1150" s="19" t="s">
        <v>30</v>
      </c>
      <c r="U1150" s="20" t="s">
        <v>374</v>
      </c>
      <c r="V1150" s="37"/>
      <c r="W1150" s="7"/>
      <c r="X1150" s="7"/>
      <c r="Y1150" s="7"/>
      <c r="Z1150" s="7"/>
      <c r="AA1150" s="7"/>
    </row>
    <row r="1151" ht="18.75" customHeight="1">
      <c r="A1151" s="22" t="s">
        <v>1168</v>
      </c>
      <c r="B1151" s="102" t="s">
        <v>1178</v>
      </c>
      <c r="C1151" s="23" t="s">
        <v>294</v>
      </c>
      <c r="D1151" s="24">
        <v>2690.0</v>
      </c>
      <c r="E1151" s="23" t="s">
        <v>1369</v>
      </c>
      <c r="F1151" s="25" t="s">
        <v>26</v>
      </c>
      <c r="G1151" s="26" t="s">
        <v>27</v>
      </c>
      <c r="H1151" s="27">
        <v>65.35</v>
      </c>
      <c r="I1151" s="28">
        <v>5.0</v>
      </c>
      <c r="J1151" s="101" t="s">
        <v>54</v>
      </c>
      <c r="K1151" s="30">
        <v>0.3</v>
      </c>
      <c r="L1151" s="31">
        <f t="shared" si="1"/>
        <v>1.5</v>
      </c>
      <c r="M1151" s="31">
        <f t="shared" si="2"/>
        <v>3.5</v>
      </c>
      <c r="N1151" s="32">
        <f t="shared" si="3"/>
        <v>19.605</v>
      </c>
      <c r="O1151" s="32">
        <f t="shared" si="4"/>
        <v>45.745</v>
      </c>
      <c r="P1151" s="32">
        <f t="shared" si="5"/>
        <v>45.745</v>
      </c>
      <c r="Q1151" s="22">
        <v>0.0</v>
      </c>
      <c r="R1151" s="32">
        <f t="shared" si="6"/>
        <v>13.07</v>
      </c>
      <c r="S1151" s="33" t="s">
        <v>29</v>
      </c>
      <c r="T1151" s="33" t="s">
        <v>30</v>
      </c>
      <c r="U1151" s="34" t="s">
        <v>374</v>
      </c>
      <c r="V1151" s="35"/>
      <c r="W1151" s="7"/>
      <c r="X1151" s="7"/>
      <c r="Y1151" s="7"/>
      <c r="Z1151" s="7"/>
      <c r="AA1151" s="7"/>
    </row>
    <row r="1152" ht="18.75" customHeight="1">
      <c r="A1152" s="8" t="s">
        <v>1168</v>
      </c>
      <c r="B1152" s="9" t="s">
        <v>1067</v>
      </c>
      <c r="C1152" s="9" t="s">
        <v>253</v>
      </c>
      <c r="D1152" s="10">
        <v>2729.0</v>
      </c>
      <c r="E1152" s="115" t="s">
        <v>1370</v>
      </c>
      <c r="F1152" s="11" t="s">
        <v>26</v>
      </c>
      <c r="G1152" s="39"/>
      <c r="H1152" s="116">
        <v>3959.0</v>
      </c>
      <c r="I1152" s="14">
        <v>5.0</v>
      </c>
      <c r="J1152" s="100" t="s">
        <v>54</v>
      </c>
      <c r="K1152" s="16">
        <v>0.3</v>
      </c>
      <c r="L1152" s="17">
        <f t="shared" si="1"/>
        <v>1.5</v>
      </c>
      <c r="M1152" s="17">
        <f t="shared" si="2"/>
        <v>3.5</v>
      </c>
      <c r="N1152" s="18">
        <f t="shared" si="3"/>
        <v>1187.7</v>
      </c>
      <c r="O1152" s="18">
        <f t="shared" si="4"/>
        <v>2771.3</v>
      </c>
      <c r="P1152" s="18">
        <f t="shared" si="5"/>
        <v>2771.3</v>
      </c>
      <c r="Q1152" s="8">
        <v>0.0</v>
      </c>
      <c r="R1152" s="18">
        <f t="shared" si="6"/>
        <v>791.8</v>
      </c>
      <c r="S1152" s="19" t="s">
        <v>29</v>
      </c>
      <c r="T1152" s="19" t="s">
        <v>30</v>
      </c>
      <c r="U1152" s="20" t="s">
        <v>1371</v>
      </c>
      <c r="V1152" s="37"/>
      <c r="W1152" s="7"/>
      <c r="X1152" s="7"/>
      <c r="Y1152" s="7"/>
      <c r="Z1152" s="7"/>
      <c r="AA1152" s="7"/>
    </row>
    <row r="1153" ht="18.75" customHeight="1">
      <c r="A1153" s="45" t="s">
        <v>1168</v>
      </c>
      <c r="B1153" s="41" t="s">
        <v>1372</v>
      </c>
      <c r="C1153" s="111" t="s">
        <v>1085</v>
      </c>
      <c r="D1153" s="112">
        <v>2730.0</v>
      </c>
      <c r="E1153" s="111" t="s">
        <v>1370</v>
      </c>
      <c r="F1153" s="25" t="s">
        <v>26</v>
      </c>
      <c r="G1153" s="108"/>
      <c r="H1153" s="83">
        <v>3959.0</v>
      </c>
      <c r="I1153" s="28">
        <v>5.0</v>
      </c>
      <c r="J1153" s="41" t="s">
        <v>54</v>
      </c>
      <c r="K1153" s="30">
        <v>0.3</v>
      </c>
      <c r="L1153" s="31">
        <f t="shared" si="1"/>
        <v>1.5</v>
      </c>
      <c r="M1153" s="31">
        <f t="shared" si="2"/>
        <v>3.5</v>
      </c>
      <c r="N1153" s="32">
        <f t="shared" si="3"/>
        <v>1187.7</v>
      </c>
      <c r="O1153" s="32">
        <f t="shared" si="4"/>
        <v>2771.3</v>
      </c>
      <c r="P1153" s="32">
        <f t="shared" si="5"/>
        <v>2771.3</v>
      </c>
      <c r="Q1153" s="22">
        <v>0.0</v>
      </c>
      <c r="R1153" s="32">
        <f t="shared" si="6"/>
        <v>791.8</v>
      </c>
      <c r="S1153" s="33" t="s">
        <v>29</v>
      </c>
      <c r="T1153" s="33" t="s">
        <v>30</v>
      </c>
      <c r="U1153" s="34" t="s">
        <v>1373</v>
      </c>
      <c r="V1153" s="35"/>
      <c r="W1153" s="7"/>
      <c r="X1153" s="7"/>
      <c r="Y1153" s="7"/>
      <c r="Z1153" s="7"/>
      <c r="AA1153" s="7"/>
    </row>
    <row r="1154" ht="18.75" customHeight="1">
      <c r="A1154" s="8" t="s">
        <v>1168</v>
      </c>
      <c r="B1154" s="103" t="s">
        <v>1178</v>
      </c>
      <c r="C1154" s="9" t="s">
        <v>1082</v>
      </c>
      <c r="D1154" s="10">
        <v>2733.0</v>
      </c>
      <c r="E1154" s="115" t="s">
        <v>1370</v>
      </c>
      <c r="F1154" s="11" t="s">
        <v>26</v>
      </c>
      <c r="G1154" s="39"/>
      <c r="H1154" s="116">
        <v>3959.0</v>
      </c>
      <c r="I1154" s="14">
        <v>5.0</v>
      </c>
      <c r="J1154" s="101" t="s">
        <v>54</v>
      </c>
      <c r="K1154" s="16">
        <v>0.3</v>
      </c>
      <c r="L1154" s="17">
        <f t="shared" si="1"/>
        <v>1.5</v>
      </c>
      <c r="M1154" s="17">
        <f t="shared" si="2"/>
        <v>3.5</v>
      </c>
      <c r="N1154" s="18">
        <f t="shared" si="3"/>
        <v>1187.7</v>
      </c>
      <c r="O1154" s="18">
        <f t="shared" si="4"/>
        <v>2771.3</v>
      </c>
      <c r="P1154" s="18">
        <f t="shared" si="5"/>
        <v>2771.3</v>
      </c>
      <c r="Q1154" s="8">
        <v>0.0</v>
      </c>
      <c r="R1154" s="18">
        <f t="shared" si="6"/>
        <v>791.8</v>
      </c>
      <c r="S1154" s="19" t="s">
        <v>29</v>
      </c>
      <c r="T1154" s="19" t="s">
        <v>30</v>
      </c>
      <c r="U1154" s="20" t="s">
        <v>1374</v>
      </c>
      <c r="V1154" s="37"/>
      <c r="W1154" s="7"/>
      <c r="X1154" s="7"/>
      <c r="Y1154" s="7"/>
      <c r="Z1154" s="7"/>
      <c r="AA1154" s="7"/>
    </row>
    <row r="1155" ht="18.75" customHeight="1">
      <c r="A1155" s="22" t="s">
        <v>1168</v>
      </c>
      <c r="B1155" s="102" t="s">
        <v>1178</v>
      </c>
      <c r="C1155" s="23" t="s">
        <v>294</v>
      </c>
      <c r="D1155" s="24">
        <v>2734.0</v>
      </c>
      <c r="E1155" s="114" t="s">
        <v>1375</v>
      </c>
      <c r="F1155" s="25" t="s">
        <v>26</v>
      </c>
      <c r="G1155" s="40"/>
      <c r="H1155" s="117">
        <v>8541.17</v>
      </c>
      <c r="I1155" s="28">
        <v>5.0</v>
      </c>
      <c r="J1155" s="100" t="s">
        <v>54</v>
      </c>
      <c r="K1155" s="30">
        <v>0.3</v>
      </c>
      <c r="L1155" s="31">
        <f t="shared" si="1"/>
        <v>1.5</v>
      </c>
      <c r="M1155" s="31">
        <f t="shared" si="2"/>
        <v>3.5</v>
      </c>
      <c r="N1155" s="32">
        <f t="shared" si="3"/>
        <v>2562.351</v>
      </c>
      <c r="O1155" s="32">
        <f t="shared" si="4"/>
        <v>5978.819</v>
      </c>
      <c r="P1155" s="32">
        <f t="shared" si="5"/>
        <v>5978.819</v>
      </c>
      <c r="Q1155" s="22">
        <v>0.0</v>
      </c>
      <c r="R1155" s="32">
        <f t="shared" si="6"/>
        <v>1708.234</v>
      </c>
      <c r="S1155" s="33" t="s">
        <v>29</v>
      </c>
      <c r="T1155" s="33" t="s">
        <v>30</v>
      </c>
      <c r="U1155" s="80" t="s">
        <v>1376</v>
      </c>
      <c r="V1155" s="35"/>
      <c r="W1155" s="7"/>
      <c r="X1155" s="7"/>
      <c r="Y1155" s="7"/>
      <c r="Z1155" s="7"/>
      <c r="AA1155" s="7"/>
    </row>
    <row r="1156" ht="18.75" customHeight="1">
      <c r="A1156" s="8" t="s">
        <v>1168</v>
      </c>
      <c r="B1156" s="103" t="s">
        <v>1178</v>
      </c>
      <c r="C1156" s="9" t="s">
        <v>294</v>
      </c>
      <c r="D1156" s="10">
        <v>2735.0</v>
      </c>
      <c r="E1156" s="115" t="s">
        <v>1375</v>
      </c>
      <c r="F1156" s="11" t="s">
        <v>26</v>
      </c>
      <c r="G1156" s="39"/>
      <c r="H1156" s="117">
        <v>8541.17</v>
      </c>
      <c r="I1156" s="14">
        <v>5.0</v>
      </c>
      <c r="J1156" s="101" t="s">
        <v>54</v>
      </c>
      <c r="K1156" s="16">
        <v>0.3</v>
      </c>
      <c r="L1156" s="17">
        <f t="shared" si="1"/>
        <v>1.5</v>
      </c>
      <c r="M1156" s="17">
        <f t="shared" si="2"/>
        <v>3.5</v>
      </c>
      <c r="N1156" s="18">
        <f t="shared" si="3"/>
        <v>2562.351</v>
      </c>
      <c r="O1156" s="18">
        <f t="shared" si="4"/>
        <v>5978.819</v>
      </c>
      <c r="P1156" s="18">
        <f t="shared" si="5"/>
        <v>5978.819</v>
      </c>
      <c r="Q1156" s="8">
        <v>0.0</v>
      </c>
      <c r="R1156" s="18">
        <f t="shared" si="6"/>
        <v>1708.234</v>
      </c>
      <c r="S1156" s="19" t="s">
        <v>29</v>
      </c>
      <c r="T1156" s="19" t="s">
        <v>30</v>
      </c>
      <c r="U1156" s="118" t="s">
        <v>1377</v>
      </c>
      <c r="V1156" s="37"/>
      <c r="W1156" s="7"/>
      <c r="X1156" s="7"/>
      <c r="Y1156" s="7"/>
      <c r="Z1156" s="7"/>
      <c r="AA1156" s="7"/>
    </row>
    <row r="1157" ht="18.75" customHeight="1">
      <c r="A1157" s="22" t="s">
        <v>1168</v>
      </c>
      <c r="B1157" s="23" t="s">
        <v>1089</v>
      </c>
      <c r="C1157" s="23" t="s">
        <v>1175</v>
      </c>
      <c r="D1157" s="24">
        <v>2739.0</v>
      </c>
      <c r="E1157" s="114" t="s">
        <v>1375</v>
      </c>
      <c r="F1157" s="25" t="s">
        <v>26</v>
      </c>
      <c r="G1157" s="40"/>
      <c r="H1157" s="117">
        <v>8541.17</v>
      </c>
      <c r="I1157" s="28">
        <v>5.0</v>
      </c>
      <c r="J1157" s="100" t="s">
        <v>54</v>
      </c>
      <c r="K1157" s="30">
        <v>0.3</v>
      </c>
      <c r="L1157" s="31">
        <f t="shared" si="1"/>
        <v>1.5</v>
      </c>
      <c r="M1157" s="31">
        <f t="shared" si="2"/>
        <v>3.5</v>
      </c>
      <c r="N1157" s="32">
        <f t="shared" si="3"/>
        <v>2562.351</v>
      </c>
      <c r="O1157" s="32">
        <f t="shared" si="4"/>
        <v>5978.819</v>
      </c>
      <c r="P1157" s="32">
        <f t="shared" si="5"/>
        <v>5978.819</v>
      </c>
      <c r="Q1157" s="22">
        <v>0.0</v>
      </c>
      <c r="R1157" s="32">
        <f t="shared" si="6"/>
        <v>1708.234</v>
      </c>
      <c r="S1157" s="33" t="s">
        <v>29</v>
      </c>
      <c r="T1157" s="33" t="s">
        <v>30</v>
      </c>
      <c r="U1157" s="80" t="s">
        <v>1378</v>
      </c>
      <c r="V1157" s="35"/>
      <c r="W1157" s="7"/>
      <c r="X1157" s="7"/>
      <c r="Y1157" s="7"/>
      <c r="Z1157" s="7"/>
      <c r="AA1157" s="7"/>
    </row>
    <row r="1158" ht="18.75" customHeight="1">
      <c r="A1158" s="8" t="s">
        <v>1168</v>
      </c>
      <c r="B1158" s="9" t="s">
        <v>1089</v>
      </c>
      <c r="C1158" s="9" t="s">
        <v>1175</v>
      </c>
      <c r="D1158" s="10">
        <v>2740.0</v>
      </c>
      <c r="E1158" s="115" t="s">
        <v>1375</v>
      </c>
      <c r="F1158" s="11" t="s">
        <v>26</v>
      </c>
      <c r="G1158" s="39"/>
      <c r="H1158" s="117">
        <v>8541.17</v>
      </c>
      <c r="I1158" s="14">
        <v>5.0</v>
      </c>
      <c r="J1158" s="101" t="s">
        <v>54</v>
      </c>
      <c r="K1158" s="16">
        <v>0.3</v>
      </c>
      <c r="L1158" s="17">
        <f t="shared" si="1"/>
        <v>1.5</v>
      </c>
      <c r="M1158" s="17">
        <f t="shared" si="2"/>
        <v>3.5</v>
      </c>
      <c r="N1158" s="18">
        <f t="shared" si="3"/>
        <v>2562.351</v>
      </c>
      <c r="O1158" s="18">
        <f t="shared" si="4"/>
        <v>5978.819</v>
      </c>
      <c r="P1158" s="18">
        <f t="shared" si="5"/>
        <v>5978.819</v>
      </c>
      <c r="Q1158" s="8">
        <v>0.0</v>
      </c>
      <c r="R1158" s="18">
        <f t="shared" si="6"/>
        <v>1708.234</v>
      </c>
      <c r="S1158" s="19" t="s">
        <v>29</v>
      </c>
      <c r="T1158" s="19" t="s">
        <v>30</v>
      </c>
      <c r="U1158" s="118" t="s">
        <v>1379</v>
      </c>
      <c r="V1158" s="37"/>
      <c r="W1158" s="7"/>
      <c r="X1158" s="7"/>
      <c r="Y1158" s="7"/>
      <c r="Z1158" s="7"/>
      <c r="AA1158" s="7"/>
    </row>
    <row r="1159" ht="18.75" customHeight="1">
      <c r="A1159" s="22" t="s">
        <v>1168</v>
      </c>
      <c r="B1159" s="23" t="s">
        <v>1219</v>
      </c>
      <c r="C1159" s="23" t="s">
        <v>287</v>
      </c>
      <c r="D1159" s="24">
        <v>2741.0</v>
      </c>
      <c r="E1159" s="114" t="s">
        <v>1375</v>
      </c>
      <c r="F1159" s="25" t="s">
        <v>26</v>
      </c>
      <c r="G1159" s="40"/>
      <c r="H1159" s="117">
        <v>8541.17</v>
      </c>
      <c r="I1159" s="28">
        <v>5.0</v>
      </c>
      <c r="J1159" s="100" t="s">
        <v>54</v>
      </c>
      <c r="K1159" s="30">
        <v>0.3</v>
      </c>
      <c r="L1159" s="31">
        <f t="shared" si="1"/>
        <v>1.5</v>
      </c>
      <c r="M1159" s="31">
        <f t="shared" si="2"/>
        <v>3.5</v>
      </c>
      <c r="N1159" s="32">
        <f t="shared" si="3"/>
        <v>2562.351</v>
      </c>
      <c r="O1159" s="32">
        <f t="shared" si="4"/>
        <v>5978.819</v>
      </c>
      <c r="P1159" s="32">
        <f t="shared" si="5"/>
        <v>5978.819</v>
      </c>
      <c r="Q1159" s="22">
        <v>0.0</v>
      </c>
      <c r="R1159" s="32">
        <f t="shared" si="6"/>
        <v>1708.234</v>
      </c>
      <c r="S1159" s="33" t="s">
        <v>29</v>
      </c>
      <c r="T1159" s="33" t="s">
        <v>30</v>
      </c>
      <c r="U1159" s="80" t="s">
        <v>1380</v>
      </c>
      <c r="V1159" s="35"/>
      <c r="W1159" s="7"/>
      <c r="X1159" s="7"/>
      <c r="Y1159" s="7"/>
      <c r="Z1159" s="7"/>
      <c r="AA1159" s="7"/>
    </row>
    <row r="1160" ht="18.75" customHeight="1">
      <c r="A1160" s="8" t="s">
        <v>1168</v>
      </c>
      <c r="B1160" s="9" t="s">
        <v>1219</v>
      </c>
      <c r="C1160" s="9" t="s">
        <v>287</v>
      </c>
      <c r="D1160" s="10">
        <v>2742.0</v>
      </c>
      <c r="E1160" s="115" t="s">
        <v>1375</v>
      </c>
      <c r="F1160" s="11" t="s">
        <v>26</v>
      </c>
      <c r="G1160" s="39"/>
      <c r="H1160" s="117">
        <v>8541.17</v>
      </c>
      <c r="I1160" s="14">
        <v>5.0</v>
      </c>
      <c r="J1160" s="101" t="s">
        <v>54</v>
      </c>
      <c r="K1160" s="16">
        <v>0.3</v>
      </c>
      <c r="L1160" s="17">
        <f t="shared" si="1"/>
        <v>1.5</v>
      </c>
      <c r="M1160" s="17">
        <f t="shared" si="2"/>
        <v>3.5</v>
      </c>
      <c r="N1160" s="18">
        <f t="shared" si="3"/>
        <v>2562.351</v>
      </c>
      <c r="O1160" s="18">
        <f t="shared" si="4"/>
        <v>5978.819</v>
      </c>
      <c r="P1160" s="18">
        <f t="shared" si="5"/>
        <v>5978.819</v>
      </c>
      <c r="Q1160" s="8">
        <v>0.0</v>
      </c>
      <c r="R1160" s="18">
        <f t="shared" si="6"/>
        <v>1708.234</v>
      </c>
      <c r="S1160" s="19" t="s">
        <v>29</v>
      </c>
      <c r="T1160" s="19" t="s">
        <v>30</v>
      </c>
      <c r="U1160" s="118" t="s">
        <v>1381</v>
      </c>
      <c r="V1160" s="37"/>
      <c r="W1160" s="7"/>
      <c r="X1160" s="7"/>
      <c r="Y1160" s="7"/>
      <c r="Z1160" s="7"/>
      <c r="AA1160" s="7"/>
    </row>
    <row r="1161" ht="18.75" customHeight="1">
      <c r="A1161" s="45" t="s">
        <v>1168</v>
      </c>
      <c r="B1161" s="111" t="s">
        <v>1089</v>
      </c>
      <c r="C1161" s="111" t="s">
        <v>1382</v>
      </c>
      <c r="D1161" s="112">
        <v>2751.0</v>
      </c>
      <c r="E1161" s="111" t="s">
        <v>1375</v>
      </c>
      <c r="F1161" s="25" t="s">
        <v>26</v>
      </c>
      <c r="G1161" s="108"/>
      <c r="H1161" s="117">
        <v>8541.17</v>
      </c>
      <c r="I1161" s="28">
        <v>5.0</v>
      </c>
      <c r="J1161" s="41" t="s">
        <v>54</v>
      </c>
      <c r="K1161" s="30">
        <v>0.3</v>
      </c>
      <c r="L1161" s="31">
        <f t="shared" si="1"/>
        <v>1.5</v>
      </c>
      <c r="M1161" s="31">
        <f t="shared" si="2"/>
        <v>3.5</v>
      </c>
      <c r="N1161" s="32">
        <f t="shared" si="3"/>
        <v>2562.351</v>
      </c>
      <c r="O1161" s="32">
        <f t="shared" si="4"/>
        <v>5978.819</v>
      </c>
      <c r="P1161" s="32">
        <f t="shared" si="5"/>
        <v>5978.819</v>
      </c>
      <c r="Q1161" s="22">
        <v>0.0</v>
      </c>
      <c r="R1161" s="32">
        <f t="shared" si="6"/>
        <v>1708.234</v>
      </c>
      <c r="S1161" s="33" t="s">
        <v>29</v>
      </c>
      <c r="T1161" s="33" t="s">
        <v>30</v>
      </c>
      <c r="U1161" s="80" t="s">
        <v>1383</v>
      </c>
      <c r="V1161" s="35"/>
      <c r="W1161" s="7"/>
      <c r="X1161" s="7"/>
      <c r="Y1161" s="7"/>
      <c r="Z1161" s="7"/>
      <c r="AA1161" s="7"/>
    </row>
    <row r="1162" ht="18.75" customHeight="1">
      <c r="A1162" s="8" t="s">
        <v>1168</v>
      </c>
      <c r="B1162" s="9" t="s">
        <v>1191</v>
      </c>
      <c r="C1162" s="9" t="s">
        <v>1192</v>
      </c>
      <c r="D1162" s="10">
        <v>2752.0</v>
      </c>
      <c r="E1162" s="115" t="s">
        <v>1370</v>
      </c>
      <c r="F1162" s="11" t="s">
        <v>26</v>
      </c>
      <c r="G1162" s="39"/>
      <c r="H1162" s="116">
        <v>3959.0</v>
      </c>
      <c r="I1162" s="14">
        <v>5.0</v>
      </c>
      <c r="J1162" s="100" t="s">
        <v>54</v>
      </c>
      <c r="K1162" s="16">
        <v>0.3</v>
      </c>
      <c r="L1162" s="17">
        <f t="shared" si="1"/>
        <v>1.5</v>
      </c>
      <c r="M1162" s="17">
        <f t="shared" si="2"/>
        <v>3.5</v>
      </c>
      <c r="N1162" s="18">
        <f t="shared" si="3"/>
        <v>1187.7</v>
      </c>
      <c r="O1162" s="18">
        <f t="shared" si="4"/>
        <v>2771.3</v>
      </c>
      <c r="P1162" s="18">
        <f t="shared" si="5"/>
        <v>2771.3</v>
      </c>
      <c r="Q1162" s="8">
        <v>0.0</v>
      </c>
      <c r="R1162" s="18">
        <f t="shared" si="6"/>
        <v>791.8</v>
      </c>
      <c r="S1162" s="19" t="s">
        <v>29</v>
      </c>
      <c r="T1162" s="19" t="s">
        <v>30</v>
      </c>
      <c r="U1162" s="20" t="s">
        <v>1384</v>
      </c>
      <c r="V1162" s="37"/>
      <c r="W1162" s="7"/>
      <c r="X1162" s="7"/>
      <c r="Y1162" s="7"/>
      <c r="Z1162" s="7"/>
      <c r="AA1162" s="7"/>
    </row>
    <row r="1163" ht="18.75" customHeight="1">
      <c r="A1163" s="45" t="s">
        <v>1168</v>
      </c>
      <c r="B1163" s="41" t="s">
        <v>1385</v>
      </c>
      <c r="C1163" s="111" t="s">
        <v>1386</v>
      </c>
      <c r="D1163" s="112">
        <v>2753.0</v>
      </c>
      <c r="E1163" s="111" t="s">
        <v>1370</v>
      </c>
      <c r="F1163" s="25" t="s">
        <v>26</v>
      </c>
      <c r="G1163" s="108"/>
      <c r="H1163" s="83">
        <v>3959.0</v>
      </c>
      <c r="I1163" s="28">
        <v>5.0</v>
      </c>
      <c r="J1163" s="41" t="s">
        <v>54</v>
      </c>
      <c r="K1163" s="30">
        <v>0.3</v>
      </c>
      <c r="L1163" s="31">
        <f t="shared" si="1"/>
        <v>1.5</v>
      </c>
      <c r="M1163" s="31">
        <f t="shared" si="2"/>
        <v>3.5</v>
      </c>
      <c r="N1163" s="32">
        <f t="shared" si="3"/>
        <v>1187.7</v>
      </c>
      <c r="O1163" s="32">
        <f t="shared" si="4"/>
        <v>2771.3</v>
      </c>
      <c r="P1163" s="32">
        <f t="shared" si="5"/>
        <v>2771.3</v>
      </c>
      <c r="Q1163" s="22">
        <v>0.0</v>
      </c>
      <c r="R1163" s="32">
        <f t="shared" si="6"/>
        <v>791.8</v>
      </c>
      <c r="S1163" s="33" t="s">
        <v>29</v>
      </c>
      <c r="T1163" s="33" t="s">
        <v>30</v>
      </c>
      <c r="U1163" s="34" t="s">
        <v>1387</v>
      </c>
      <c r="V1163" s="35"/>
      <c r="W1163" s="7"/>
      <c r="X1163" s="7"/>
      <c r="Y1163" s="7"/>
      <c r="Z1163" s="7"/>
      <c r="AA1163" s="7"/>
    </row>
    <row r="1164" ht="18.75" customHeight="1">
      <c r="A1164" s="8" t="s">
        <v>1168</v>
      </c>
      <c r="B1164" s="9" t="s">
        <v>1208</v>
      </c>
      <c r="C1164" s="9" t="s">
        <v>1208</v>
      </c>
      <c r="D1164" s="10">
        <v>2754.0</v>
      </c>
      <c r="E1164" s="115" t="s">
        <v>1349</v>
      </c>
      <c r="F1164" s="11" t="s">
        <v>26</v>
      </c>
      <c r="G1164" s="39"/>
      <c r="H1164" s="13">
        <v>4314.74</v>
      </c>
      <c r="I1164" s="14">
        <v>5.0</v>
      </c>
      <c r="J1164" s="101" t="s">
        <v>54</v>
      </c>
      <c r="K1164" s="16">
        <v>0.3</v>
      </c>
      <c r="L1164" s="17">
        <f t="shared" si="1"/>
        <v>1.5</v>
      </c>
      <c r="M1164" s="17">
        <f t="shared" si="2"/>
        <v>3.5</v>
      </c>
      <c r="N1164" s="18">
        <f t="shared" si="3"/>
        <v>1294.422</v>
      </c>
      <c r="O1164" s="18">
        <f t="shared" si="4"/>
        <v>3020.318</v>
      </c>
      <c r="P1164" s="18">
        <f t="shared" si="5"/>
        <v>3020.318</v>
      </c>
      <c r="Q1164" s="8">
        <v>0.0</v>
      </c>
      <c r="R1164" s="18">
        <f t="shared" si="6"/>
        <v>862.948</v>
      </c>
      <c r="S1164" s="19" t="s">
        <v>29</v>
      </c>
      <c r="T1164" s="19" t="s">
        <v>30</v>
      </c>
      <c r="U1164" s="36" t="s">
        <v>1030</v>
      </c>
      <c r="V1164" s="37"/>
      <c r="W1164" s="7"/>
      <c r="X1164" s="7"/>
      <c r="Y1164" s="7"/>
      <c r="Z1164" s="7"/>
      <c r="AA1164" s="7"/>
    </row>
    <row r="1165" ht="18.75" customHeight="1">
      <c r="A1165" s="22" t="s">
        <v>1168</v>
      </c>
      <c r="B1165" s="23" t="s">
        <v>1211</v>
      </c>
      <c r="C1165" s="23" t="s">
        <v>1212</v>
      </c>
      <c r="D1165" s="24">
        <v>2755.0</v>
      </c>
      <c r="E1165" s="114" t="s">
        <v>1349</v>
      </c>
      <c r="F1165" s="25" t="s">
        <v>26</v>
      </c>
      <c r="G1165" s="40"/>
      <c r="H1165" s="27">
        <v>4314.74</v>
      </c>
      <c r="I1165" s="28">
        <v>5.0</v>
      </c>
      <c r="J1165" s="100" t="s">
        <v>54</v>
      </c>
      <c r="K1165" s="30">
        <v>0.3</v>
      </c>
      <c r="L1165" s="31">
        <f t="shared" si="1"/>
        <v>1.5</v>
      </c>
      <c r="M1165" s="31">
        <f t="shared" si="2"/>
        <v>3.5</v>
      </c>
      <c r="N1165" s="32">
        <f t="shared" si="3"/>
        <v>1294.422</v>
      </c>
      <c r="O1165" s="32">
        <f t="shared" si="4"/>
        <v>3020.318</v>
      </c>
      <c r="P1165" s="32">
        <f t="shared" si="5"/>
        <v>3020.318</v>
      </c>
      <c r="Q1165" s="22">
        <v>0.0</v>
      </c>
      <c r="R1165" s="32">
        <f t="shared" si="6"/>
        <v>862.948</v>
      </c>
      <c r="S1165" s="33" t="s">
        <v>29</v>
      </c>
      <c r="T1165" s="33" t="s">
        <v>30</v>
      </c>
      <c r="U1165" s="38" t="s">
        <v>1030</v>
      </c>
      <c r="V1165" s="35"/>
      <c r="W1165" s="7"/>
      <c r="X1165" s="7"/>
      <c r="Y1165" s="7"/>
      <c r="Z1165" s="7"/>
      <c r="AA1165" s="7"/>
    </row>
    <row r="1166" ht="18.75" customHeight="1">
      <c r="A1166" s="8" t="s">
        <v>1168</v>
      </c>
      <c r="B1166" s="9" t="s">
        <v>1169</v>
      </c>
      <c r="C1166" s="9" t="s">
        <v>1170</v>
      </c>
      <c r="D1166" s="10">
        <v>2756.0</v>
      </c>
      <c r="E1166" s="115" t="s">
        <v>1375</v>
      </c>
      <c r="F1166" s="11" t="s">
        <v>26</v>
      </c>
      <c r="G1166" s="39"/>
      <c r="H1166" s="117">
        <v>8541.17</v>
      </c>
      <c r="I1166" s="14">
        <v>5.0</v>
      </c>
      <c r="J1166" s="101" t="s">
        <v>54</v>
      </c>
      <c r="K1166" s="16">
        <v>0.3</v>
      </c>
      <c r="L1166" s="17">
        <f t="shared" si="1"/>
        <v>1.5</v>
      </c>
      <c r="M1166" s="17">
        <f t="shared" si="2"/>
        <v>3.5</v>
      </c>
      <c r="N1166" s="18">
        <f t="shared" si="3"/>
        <v>2562.351</v>
      </c>
      <c r="O1166" s="18">
        <f t="shared" si="4"/>
        <v>5978.819</v>
      </c>
      <c r="P1166" s="18">
        <f t="shared" si="5"/>
        <v>5978.819</v>
      </c>
      <c r="Q1166" s="8">
        <v>0.0</v>
      </c>
      <c r="R1166" s="18">
        <f t="shared" si="6"/>
        <v>1708.234</v>
      </c>
      <c r="S1166" s="19" t="s">
        <v>29</v>
      </c>
      <c r="T1166" s="19" t="s">
        <v>30</v>
      </c>
      <c r="U1166" s="118" t="s">
        <v>1388</v>
      </c>
      <c r="V1166" s="37"/>
      <c r="W1166" s="7"/>
      <c r="X1166" s="7"/>
      <c r="Y1166" s="7"/>
      <c r="Z1166" s="7"/>
      <c r="AA1166" s="7"/>
    </row>
    <row r="1167" ht="18.75" customHeight="1">
      <c r="A1167" s="45" t="s">
        <v>1168</v>
      </c>
      <c r="B1167" s="111" t="s">
        <v>1211</v>
      </c>
      <c r="C1167" s="111" t="s">
        <v>1326</v>
      </c>
      <c r="D1167" s="112">
        <v>2757.0</v>
      </c>
      <c r="E1167" s="111" t="s">
        <v>1370</v>
      </c>
      <c r="F1167" s="25" t="s">
        <v>26</v>
      </c>
      <c r="G1167" s="108"/>
      <c r="H1167" s="83">
        <v>3959.0</v>
      </c>
      <c r="I1167" s="28">
        <v>5.0</v>
      </c>
      <c r="J1167" s="41" t="s">
        <v>54</v>
      </c>
      <c r="K1167" s="30">
        <v>0.3</v>
      </c>
      <c r="L1167" s="31">
        <f t="shared" si="1"/>
        <v>1.5</v>
      </c>
      <c r="M1167" s="31">
        <f t="shared" si="2"/>
        <v>3.5</v>
      </c>
      <c r="N1167" s="32">
        <f t="shared" si="3"/>
        <v>1187.7</v>
      </c>
      <c r="O1167" s="32">
        <f t="shared" si="4"/>
        <v>2771.3</v>
      </c>
      <c r="P1167" s="32">
        <f t="shared" si="5"/>
        <v>2771.3</v>
      </c>
      <c r="Q1167" s="22">
        <v>0.0</v>
      </c>
      <c r="R1167" s="32">
        <f t="shared" si="6"/>
        <v>791.8</v>
      </c>
      <c r="S1167" s="33" t="s">
        <v>29</v>
      </c>
      <c r="T1167" s="33" t="s">
        <v>30</v>
      </c>
      <c r="U1167" s="34" t="s">
        <v>1389</v>
      </c>
      <c r="V1167" s="35"/>
      <c r="W1167" s="7"/>
      <c r="X1167" s="7"/>
      <c r="Y1167" s="7"/>
      <c r="Z1167" s="7"/>
      <c r="AA1167" s="7"/>
    </row>
    <row r="1168" ht="18.75" customHeight="1">
      <c r="A1168" s="48" t="s">
        <v>1168</v>
      </c>
      <c r="B1168" s="46" t="s">
        <v>1390</v>
      </c>
      <c r="C1168" s="119" t="s">
        <v>588</v>
      </c>
      <c r="D1168" s="120">
        <v>2758.0</v>
      </c>
      <c r="E1168" s="119" t="s">
        <v>1375</v>
      </c>
      <c r="F1168" s="11" t="s">
        <v>26</v>
      </c>
      <c r="G1168" s="73"/>
      <c r="H1168" s="117">
        <v>8541.17</v>
      </c>
      <c r="I1168" s="14">
        <v>5.0</v>
      </c>
      <c r="J1168" s="46" t="s">
        <v>54</v>
      </c>
      <c r="K1168" s="16">
        <v>0.3</v>
      </c>
      <c r="L1168" s="17">
        <f t="shared" si="1"/>
        <v>1.5</v>
      </c>
      <c r="M1168" s="17">
        <f t="shared" si="2"/>
        <v>3.5</v>
      </c>
      <c r="N1168" s="18">
        <f t="shared" si="3"/>
        <v>2562.351</v>
      </c>
      <c r="O1168" s="18">
        <f t="shared" si="4"/>
        <v>5978.819</v>
      </c>
      <c r="P1168" s="18">
        <f t="shared" si="5"/>
        <v>5978.819</v>
      </c>
      <c r="Q1168" s="8">
        <v>0.0</v>
      </c>
      <c r="R1168" s="18">
        <f t="shared" si="6"/>
        <v>1708.234</v>
      </c>
      <c r="S1168" s="19" t="s">
        <v>29</v>
      </c>
      <c r="T1168" s="19" t="s">
        <v>30</v>
      </c>
      <c r="U1168" s="118" t="s">
        <v>1391</v>
      </c>
      <c r="V1168" s="37"/>
      <c r="W1168" s="7"/>
      <c r="X1168" s="7"/>
      <c r="Y1168" s="7"/>
      <c r="Z1168" s="7"/>
      <c r="AA1168" s="7"/>
    </row>
    <row r="1169" ht="18.75" customHeight="1">
      <c r="A1169" s="45" t="s">
        <v>1168</v>
      </c>
      <c r="B1169" s="41" t="s">
        <v>1390</v>
      </c>
      <c r="C1169" s="111" t="s">
        <v>588</v>
      </c>
      <c r="D1169" s="112">
        <v>2760.0</v>
      </c>
      <c r="E1169" s="111" t="s">
        <v>1375</v>
      </c>
      <c r="F1169" s="25" t="s">
        <v>26</v>
      </c>
      <c r="G1169" s="108"/>
      <c r="H1169" s="117">
        <v>8541.17</v>
      </c>
      <c r="I1169" s="28">
        <v>5.0</v>
      </c>
      <c r="J1169" s="41" t="s">
        <v>54</v>
      </c>
      <c r="K1169" s="30">
        <v>0.3</v>
      </c>
      <c r="L1169" s="31">
        <f t="shared" si="1"/>
        <v>1.5</v>
      </c>
      <c r="M1169" s="31">
        <f t="shared" si="2"/>
        <v>3.5</v>
      </c>
      <c r="N1169" s="32">
        <f t="shared" si="3"/>
        <v>2562.351</v>
      </c>
      <c r="O1169" s="32">
        <f t="shared" si="4"/>
        <v>5978.819</v>
      </c>
      <c r="P1169" s="32">
        <f t="shared" si="5"/>
        <v>5978.819</v>
      </c>
      <c r="Q1169" s="22">
        <v>0.0</v>
      </c>
      <c r="R1169" s="32">
        <f t="shared" si="6"/>
        <v>1708.234</v>
      </c>
      <c r="S1169" s="33" t="s">
        <v>29</v>
      </c>
      <c r="T1169" s="33" t="s">
        <v>30</v>
      </c>
      <c r="U1169" s="80" t="s">
        <v>1392</v>
      </c>
      <c r="V1169" s="35"/>
      <c r="W1169" s="7"/>
      <c r="X1169" s="7"/>
      <c r="Y1169" s="7"/>
      <c r="Z1169" s="7"/>
      <c r="AA1169" s="7"/>
    </row>
    <row r="1170" ht="18.75" customHeight="1">
      <c r="A1170" s="8" t="s">
        <v>1168</v>
      </c>
      <c r="B1170" s="9" t="s">
        <v>1201</v>
      </c>
      <c r="C1170" s="9" t="s">
        <v>626</v>
      </c>
      <c r="D1170" s="10">
        <v>2761.0</v>
      </c>
      <c r="E1170" s="9" t="s">
        <v>1393</v>
      </c>
      <c r="F1170" s="11" t="s">
        <v>26</v>
      </c>
      <c r="G1170" s="39"/>
      <c r="H1170" s="13">
        <v>1725.896</v>
      </c>
      <c r="I1170" s="14">
        <v>5.0</v>
      </c>
      <c r="J1170" s="100" t="s">
        <v>54</v>
      </c>
      <c r="K1170" s="16">
        <v>0.3</v>
      </c>
      <c r="L1170" s="17">
        <f t="shared" si="1"/>
        <v>1.5</v>
      </c>
      <c r="M1170" s="17">
        <f t="shared" si="2"/>
        <v>3.5</v>
      </c>
      <c r="N1170" s="18">
        <f t="shared" si="3"/>
        <v>517.7688</v>
      </c>
      <c r="O1170" s="18">
        <f t="shared" si="4"/>
        <v>1208.1272</v>
      </c>
      <c r="P1170" s="18">
        <f t="shared" si="5"/>
        <v>1208.1272</v>
      </c>
      <c r="Q1170" s="8">
        <v>0.0</v>
      </c>
      <c r="R1170" s="18">
        <f t="shared" si="6"/>
        <v>345.1792</v>
      </c>
      <c r="S1170" s="19" t="s">
        <v>29</v>
      </c>
      <c r="T1170" s="19" t="s">
        <v>30</v>
      </c>
      <c r="U1170" s="36" t="s">
        <v>1030</v>
      </c>
      <c r="V1170" s="37"/>
      <c r="W1170" s="7"/>
      <c r="X1170" s="7"/>
      <c r="Y1170" s="7"/>
      <c r="Z1170" s="7"/>
      <c r="AA1170" s="7"/>
    </row>
    <row r="1171" ht="18.75" customHeight="1">
      <c r="A1171" s="45" t="s">
        <v>1168</v>
      </c>
      <c r="B1171" s="113" t="s">
        <v>1201</v>
      </c>
      <c r="C1171" s="111" t="s">
        <v>626</v>
      </c>
      <c r="D1171" s="112">
        <v>2761.0</v>
      </c>
      <c r="E1171" s="111" t="s">
        <v>1370</v>
      </c>
      <c r="F1171" s="25" t="s">
        <v>26</v>
      </c>
      <c r="G1171" s="108"/>
      <c r="H1171" s="83">
        <v>3959.0</v>
      </c>
      <c r="I1171" s="28">
        <v>5.0</v>
      </c>
      <c r="J1171" s="41" t="s">
        <v>54</v>
      </c>
      <c r="K1171" s="30">
        <v>0.3</v>
      </c>
      <c r="L1171" s="31">
        <f t="shared" si="1"/>
        <v>1.5</v>
      </c>
      <c r="M1171" s="31">
        <f t="shared" si="2"/>
        <v>3.5</v>
      </c>
      <c r="N1171" s="32">
        <f t="shared" si="3"/>
        <v>1187.7</v>
      </c>
      <c r="O1171" s="32">
        <f t="shared" si="4"/>
        <v>2771.3</v>
      </c>
      <c r="P1171" s="32">
        <f t="shared" si="5"/>
        <v>2771.3</v>
      </c>
      <c r="Q1171" s="22">
        <v>0.0</v>
      </c>
      <c r="R1171" s="32">
        <f t="shared" si="6"/>
        <v>791.8</v>
      </c>
      <c r="S1171" s="33" t="s">
        <v>29</v>
      </c>
      <c r="T1171" s="33" t="s">
        <v>30</v>
      </c>
      <c r="U1171" s="34" t="s">
        <v>1394</v>
      </c>
      <c r="V1171" s="35"/>
      <c r="W1171" s="7"/>
      <c r="X1171" s="7"/>
      <c r="Y1171" s="7"/>
      <c r="Z1171" s="7"/>
      <c r="AA1171" s="7"/>
    </row>
    <row r="1172" ht="18.75" customHeight="1">
      <c r="A1172" s="8" t="s">
        <v>1168</v>
      </c>
      <c r="B1172" s="9" t="s">
        <v>1201</v>
      </c>
      <c r="C1172" s="9" t="s">
        <v>626</v>
      </c>
      <c r="D1172" s="10">
        <v>2762.0</v>
      </c>
      <c r="E1172" s="9" t="s">
        <v>1395</v>
      </c>
      <c r="F1172" s="11" t="s">
        <v>26</v>
      </c>
      <c r="G1172" s="39"/>
      <c r="H1172" s="13">
        <v>4314.74</v>
      </c>
      <c r="I1172" s="14">
        <v>5.0</v>
      </c>
      <c r="J1172" s="101" t="s">
        <v>54</v>
      </c>
      <c r="K1172" s="16">
        <v>0.3</v>
      </c>
      <c r="L1172" s="17">
        <f t="shared" si="1"/>
        <v>1.5</v>
      </c>
      <c r="M1172" s="17">
        <f t="shared" si="2"/>
        <v>3.5</v>
      </c>
      <c r="N1172" s="18">
        <f t="shared" si="3"/>
        <v>1294.422</v>
      </c>
      <c r="O1172" s="18">
        <f t="shared" si="4"/>
        <v>3020.318</v>
      </c>
      <c r="P1172" s="18">
        <f t="shared" si="5"/>
        <v>3020.318</v>
      </c>
      <c r="Q1172" s="8">
        <v>0.0</v>
      </c>
      <c r="R1172" s="18">
        <f t="shared" si="6"/>
        <v>862.948</v>
      </c>
      <c r="S1172" s="19" t="s">
        <v>29</v>
      </c>
      <c r="T1172" s="19" t="s">
        <v>30</v>
      </c>
      <c r="U1172" s="36" t="s">
        <v>1030</v>
      </c>
      <c r="V1172" s="37"/>
      <c r="W1172" s="7"/>
      <c r="X1172" s="7"/>
      <c r="Y1172" s="7"/>
      <c r="Z1172" s="7"/>
      <c r="AA1172" s="7"/>
    </row>
    <row r="1173" ht="18.75" customHeight="1">
      <c r="A1173" s="45" t="s">
        <v>1168</v>
      </c>
      <c r="B1173" s="113" t="s">
        <v>1201</v>
      </c>
      <c r="C1173" s="111" t="s">
        <v>626</v>
      </c>
      <c r="D1173" s="112">
        <v>2762.0</v>
      </c>
      <c r="E1173" s="111" t="s">
        <v>1370</v>
      </c>
      <c r="F1173" s="25" t="s">
        <v>26</v>
      </c>
      <c r="G1173" s="108"/>
      <c r="H1173" s="83">
        <v>3959.0</v>
      </c>
      <c r="I1173" s="28">
        <v>5.0</v>
      </c>
      <c r="J1173" s="41" t="s">
        <v>54</v>
      </c>
      <c r="K1173" s="30">
        <v>0.3</v>
      </c>
      <c r="L1173" s="31">
        <f t="shared" si="1"/>
        <v>1.5</v>
      </c>
      <c r="M1173" s="31">
        <f t="shared" si="2"/>
        <v>3.5</v>
      </c>
      <c r="N1173" s="32">
        <f t="shared" si="3"/>
        <v>1187.7</v>
      </c>
      <c r="O1173" s="32">
        <f t="shared" si="4"/>
        <v>2771.3</v>
      </c>
      <c r="P1173" s="32">
        <f t="shared" si="5"/>
        <v>2771.3</v>
      </c>
      <c r="Q1173" s="22">
        <v>0.0</v>
      </c>
      <c r="R1173" s="32">
        <f t="shared" si="6"/>
        <v>791.8</v>
      </c>
      <c r="S1173" s="33" t="s">
        <v>29</v>
      </c>
      <c r="T1173" s="33" t="s">
        <v>30</v>
      </c>
      <c r="U1173" s="34" t="s">
        <v>1396</v>
      </c>
      <c r="V1173" s="35"/>
      <c r="W1173" s="7"/>
      <c r="X1173" s="7"/>
      <c r="Y1173" s="7"/>
      <c r="Z1173" s="7"/>
      <c r="AA1173" s="7"/>
    </row>
    <row r="1174" ht="18.75" customHeight="1">
      <c r="A1174" s="48" t="s">
        <v>1168</v>
      </c>
      <c r="B1174" s="113" t="s">
        <v>1201</v>
      </c>
      <c r="C1174" s="115" t="s">
        <v>626</v>
      </c>
      <c r="D1174" s="120">
        <v>2763.0</v>
      </c>
      <c r="E1174" s="119" t="s">
        <v>1397</v>
      </c>
      <c r="F1174" s="11" t="s">
        <v>26</v>
      </c>
      <c r="G1174" s="73"/>
      <c r="H1174" s="13">
        <v>2101.05</v>
      </c>
      <c r="I1174" s="14">
        <v>5.0</v>
      </c>
      <c r="J1174" s="46" t="s">
        <v>54</v>
      </c>
      <c r="K1174" s="16">
        <v>0.3</v>
      </c>
      <c r="L1174" s="17">
        <f t="shared" si="1"/>
        <v>1.5</v>
      </c>
      <c r="M1174" s="17">
        <f t="shared" si="2"/>
        <v>3.5</v>
      </c>
      <c r="N1174" s="18">
        <f t="shared" si="3"/>
        <v>630.315</v>
      </c>
      <c r="O1174" s="18">
        <f t="shared" si="4"/>
        <v>1470.735</v>
      </c>
      <c r="P1174" s="18">
        <f t="shared" si="5"/>
        <v>1470.735</v>
      </c>
      <c r="Q1174" s="8">
        <v>0.0</v>
      </c>
      <c r="R1174" s="18">
        <f t="shared" si="6"/>
        <v>420.21</v>
      </c>
      <c r="S1174" s="19" t="s">
        <v>29</v>
      </c>
      <c r="T1174" s="19" t="s">
        <v>30</v>
      </c>
      <c r="U1174" s="20" t="s">
        <v>102</v>
      </c>
      <c r="V1174" s="37"/>
      <c r="W1174" s="7"/>
      <c r="X1174" s="7"/>
      <c r="Y1174" s="7"/>
      <c r="Z1174" s="7"/>
      <c r="AA1174" s="7"/>
    </row>
    <row r="1175" ht="18.75" customHeight="1">
      <c r="A1175" s="22" t="s">
        <v>1168</v>
      </c>
      <c r="B1175" s="23" t="s">
        <v>1089</v>
      </c>
      <c r="C1175" s="23" t="s">
        <v>1214</v>
      </c>
      <c r="D1175" s="24">
        <v>2764.0</v>
      </c>
      <c r="E1175" s="114" t="s">
        <v>1375</v>
      </c>
      <c r="F1175" s="25" t="s">
        <v>26</v>
      </c>
      <c r="G1175" s="40"/>
      <c r="H1175" s="117">
        <v>8541.17</v>
      </c>
      <c r="I1175" s="28">
        <v>5.0</v>
      </c>
      <c r="J1175" s="100" t="s">
        <v>54</v>
      </c>
      <c r="K1175" s="30">
        <v>0.3</v>
      </c>
      <c r="L1175" s="31">
        <f t="shared" si="1"/>
        <v>1.5</v>
      </c>
      <c r="M1175" s="31">
        <f t="shared" si="2"/>
        <v>3.5</v>
      </c>
      <c r="N1175" s="32">
        <f t="shared" si="3"/>
        <v>2562.351</v>
      </c>
      <c r="O1175" s="32">
        <f t="shared" si="4"/>
        <v>5978.819</v>
      </c>
      <c r="P1175" s="32">
        <f t="shared" si="5"/>
        <v>5978.819</v>
      </c>
      <c r="Q1175" s="22">
        <v>0.0</v>
      </c>
      <c r="R1175" s="32">
        <f t="shared" si="6"/>
        <v>1708.234</v>
      </c>
      <c r="S1175" s="33" t="s">
        <v>29</v>
      </c>
      <c r="T1175" s="33" t="s">
        <v>30</v>
      </c>
      <c r="U1175" s="80" t="s">
        <v>1398</v>
      </c>
      <c r="V1175" s="35"/>
      <c r="W1175" s="7"/>
      <c r="X1175" s="7"/>
      <c r="Y1175" s="7"/>
      <c r="Z1175" s="7"/>
      <c r="AA1175" s="7"/>
    </row>
    <row r="1176" ht="18.75" customHeight="1">
      <c r="A1176" s="8" t="s">
        <v>1168</v>
      </c>
      <c r="B1176" s="9" t="s">
        <v>1180</v>
      </c>
      <c r="C1176" s="9" t="s">
        <v>1181</v>
      </c>
      <c r="D1176" s="10">
        <v>2765.0</v>
      </c>
      <c r="E1176" s="115" t="s">
        <v>1375</v>
      </c>
      <c r="F1176" s="11" t="s">
        <v>26</v>
      </c>
      <c r="G1176" s="39"/>
      <c r="H1176" s="117">
        <v>8541.17</v>
      </c>
      <c r="I1176" s="14">
        <v>5.0</v>
      </c>
      <c r="J1176" s="101" t="s">
        <v>54</v>
      </c>
      <c r="K1176" s="16">
        <v>0.3</v>
      </c>
      <c r="L1176" s="17">
        <f t="shared" si="1"/>
        <v>1.5</v>
      </c>
      <c r="M1176" s="17">
        <f t="shared" si="2"/>
        <v>3.5</v>
      </c>
      <c r="N1176" s="18">
        <f t="shared" si="3"/>
        <v>2562.351</v>
      </c>
      <c r="O1176" s="18">
        <f t="shared" si="4"/>
        <v>5978.819</v>
      </c>
      <c r="P1176" s="18">
        <f t="shared" si="5"/>
        <v>5978.819</v>
      </c>
      <c r="Q1176" s="8">
        <v>0.0</v>
      </c>
      <c r="R1176" s="18">
        <f t="shared" si="6"/>
        <v>1708.234</v>
      </c>
      <c r="S1176" s="19" t="s">
        <v>29</v>
      </c>
      <c r="T1176" s="19" t="s">
        <v>30</v>
      </c>
      <c r="U1176" s="118" t="s">
        <v>1399</v>
      </c>
      <c r="V1176" s="37"/>
      <c r="W1176" s="7"/>
      <c r="X1176" s="7"/>
      <c r="Y1176" s="7"/>
      <c r="Z1176" s="7"/>
      <c r="AA1176" s="7"/>
    </row>
    <row r="1177" ht="18.75" customHeight="1">
      <c r="A1177" s="45" t="s">
        <v>1168</v>
      </c>
      <c r="B1177" s="111" t="s">
        <v>1089</v>
      </c>
      <c r="C1177" s="111" t="s">
        <v>1382</v>
      </c>
      <c r="D1177" s="112">
        <v>2766.0</v>
      </c>
      <c r="E1177" s="111" t="s">
        <v>1375</v>
      </c>
      <c r="F1177" s="25" t="s">
        <v>26</v>
      </c>
      <c r="G1177" s="108"/>
      <c r="H1177" s="117">
        <v>8541.17</v>
      </c>
      <c r="I1177" s="28">
        <v>5.0</v>
      </c>
      <c r="J1177" s="41" t="s">
        <v>54</v>
      </c>
      <c r="K1177" s="30">
        <v>0.3</v>
      </c>
      <c r="L1177" s="31">
        <f t="shared" si="1"/>
        <v>1.5</v>
      </c>
      <c r="M1177" s="31">
        <f t="shared" si="2"/>
        <v>3.5</v>
      </c>
      <c r="N1177" s="32">
        <f t="shared" si="3"/>
        <v>2562.351</v>
      </c>
      <c r="O1177" s="32">
        <f t="shared" si="4"/>
        <v>5978.819</v>
      </c>
      <c r="P1177" s="32">
        <f t="shared" si="5"/>
        <v>5978.819</v>
      </c>
      <c r="Q1177" s="22">
        <v>0.0</v>
      </c>
      <c r="R1177" s="32">
        <f t="shared" si="6"/>
        <v>1708.234</v>
      </c>
      <c r="S1177" s="33" t="s">
        <v>29</v>
      </c>
      <c r="T1177" s="33" t="s">
        <v>30</v>
      </c>
      <c r="U1177" s="80" t="s">
        <v>1400</v>
      </c>
      <c r="V1177" s="35"/>
      <c r="W1177" s="7"/>
      <c r="X1177" s="7"/>
      <c r="Y1177" s="7"/>
      <c r="Z1177" s="7"/>
      <c r="AA1177" s="7"/>
    </row>
    <row r="1178" ht="18.75" customHeight="1">
      <c r="A1178" s="8" t="s">
        <v>1168</v>
      </c>
      <c r="B1178" s="9" t="s">
        <v>1187</v>
      </c>
      <c r="C1178" s="9" t="s">
        <v>1093</v>
      </c>
      <c r="D1178" s="10">
        <v>2767.0</v>
      </c>
      <c r="E1178" s="115" t="s">
        <v>1375</v>
      </c>
      <c r="F1178" s="11" t="s">
        <v>26</v>
      </c>
      <c r="G1178" s="39"/>
      <c r="H1178" s="117">
        <v>8541.17</v>
      </c>
      <c r="I1178" s="14">
        <v>5.0</v>
      </c>
      <c r="J1178" s="100" t="s">
        <v>54</v>
      </c>
      <c r="K1178" s="16">
        <v>0.3</v>
      </c>
      <c r="L1178" s="17">
        <f t="shared" si="1"/>
        <v>1.5</v>
      </c>
      <c r="M1178" s="17">
        <f t="shared" si="2"/>
        <v>3.5</v>
      </c>
      <c r="N1178" s="18">
        <f t="shared" si="3"/>
        <v>2562.351</v>
      </c>
      <c r="O1178" s="18">
        <f t="shared" si="4"/>
        <v>5978.819</v>
      </c>
      <c r="P1178" s="18">
        <f t="shared" si="5"/>
        <v>5978.819</v>
      </c>
      <c r="Q1178" s="8">
        <v>0.0</v>
      </c>
      <c r="R1178" s="18">
        <f t="shared" si="6"/>
        <v>1708.234</v>
      </c>
      <c r="S1178" s="19" t="s">
        <v>29</v>
      </c>
      <c r="T1178" s="19" t="s">
        <v>30</v>
      </c>
      <c r="U1178" s="20"/>
      <c r="V1178" s="37"/>
      <c r="W1178" s="7"/>
      <c r="X1178" s="7"/>
      <c r="Y1178" s="7"/>
      <c r="Z1178" s="7"/>
      <c r="AA1178" s="7"/>
    </row>
    <row r="1179" ht="18.75" customHeight="1">
      <c r="A1179" s="45" t="s">
        <v>1168</v>
      </c>
      <c r="B1179" s="41" t="s">
        <v>1390</v>
      </c>
      <c r="C1179" s="111" t="s">
        <v>588</v>
      </c>
      <c r="D1179" s="112">
        <v>2768.0</v>
      </c>
      <c r="E1179" s="111" t="s">
        <v>1356</v>
      </c>
      <c r="F1179" s="25" t="s">
        <v>26</v>
      </c>
      <c r="G1179" s="108"/>
      <c r="H1179" s="83">
        <v>1964.55</v>
      </c>
      <c r="I1179" s="28">
        <v>5.0</v>
      </c>
      <c r="J1179" s="41" t="s">
        <v>54</v>
      </c>
      <c r="K1179" s="30">
        <v>0.3</v>
      </c>
      <c r="L1179" s="31">
        <f t="shared" si="1"/>
        <v>1.5</v>
      </c>
      <c r="M1179" s="31">
        <f t="shared" si="2"/>
        <v>3.5</v>
      </c>
      <c r="N1179" s="32">
        <f t="shared" si="3"/>
        <v>589.365</v>
      </c>
      <c r="O1179" s="32">
        <f t="shared" si="4"/>
        <v>1375.185</v>
      </c>
      <c r="P1179" s="32">
        <f t="shared" si="5"/>
        <v>1375.185</v>
      </c>
      <c r="Q1179" s="22">
        <v>0.0</v>
      </c>
      <c r="R1179" s="32">
        <f t="shared" si="6"/>
        <v>392.91</v>
      </c>
      <c r="S1179" s="33" t="s">
        <v>29</v>
      </c>
      <c r="T1179" s="33" t="s">
        <v>30</v>
      </c>
      <c r="U1179" s="34" t="s">
        <v>1401</v>
      </c>
      <c r="V1179" s="35"/>
      <c r="W1179" s="7"/>
      <c r="X1179" s="7"/>
      <c r="Y1179" s="7"/>
      <c r="Z1179" s="7"/>
      <c r="AA1179" s="7"/>
    </row>
    <row r="1180" ht="18.75" customHeight="1">
      <c r="A1180" s="8" t="s">
        <v>1168</v>
      </c>
      <c r="B1180" s="103" t="s">
        <v>1178</v>
      </c>
      <c r="C1180" s="9" t="s">
        <v>1206</v>
      </c>
      <c r="D1180" s="10">
        <v>2769.0</v>
      </c>
      <c r="E1180" s="115" t="s">
        <v>1356</v>
      </c>
      <c r="F1180" s="11" t="s">
        <v>26</v>
      </c>
      <c r="G1180" s="39"/>
      <c r="H1180" s="116">
        <v>1964.55</v>
      </c>
      <c r="I1180" s="14">
        <v>5.0</v>
      </c>
      <c r="J1180" s="101" t="s">
        <v>54</v>
      </c>
      <c r="K1180" s="16">
        <v>0.3</v>
      </c>
      <c r="L1180" s="17">
        <f t="shared" si="1"/>
        <v>1.5</v>
      </c>
      <c r="M1180" s="17">
        <f t="shared" si="2"/>
        <v>3.5</v>
      </c>
      <c r="N1180" s="18">
        <f t="shared" si="3"/>
        <v>589.365</v>
      </c>
      <c r="O1180" s="18">
        <f t="shared" si="4"/>
        <v>1375.185</v>
      </c>
      <c r="P1180" s="18">
        <f t="shared" si="5"/>
        <v>1375.185</v>
      </c>
      <c r="Q1180" s="8">
        <v>0.0</v>
      </c>
      <c r="R1180" s="18">
        <f t="shared" si="6"/>
        <v>392.91</v>
      </c>
      <c r="S1180" s="19" t="s">
        <v>29</v>
      </c>
      <c r="T1180" s="19" t="s">
        <v>30</v>
      </c>
      <c r="U1180" s="20" t="s">
        <v>1402</v>
      </c>
      <c r="V1180" s="37"/>
      <c r="W1180" s="7"/>
      <c r="X1180" s="7"/>
      <c r="Y1180" s="7"/>
      <c r="Z1180" s="7"/>
      <c r="AA1180" s="7"/>
    </row>
    <row r="1181" ht="18.75" customHeight="1">
      <c r="A1181" s="22" t="s">
        <v>1168</v>
      </c>
      <c r="B1181" s="102" t="s">
        <v>1178</v>
      </c>
      <c r="C1181" s="23" t="s">
        <v>294</v>
      </c>
      <c r="D1181" s="24">
        <v>2774.0</v>
      </c>
      <c r="E1181" s="23" t="s">
        <v>1403</v>
      </c>
      <c r="F1181" s="25" t="s">
        <v>26</v>
      </c>
      <c r="G1181" s="26" t="s">
        <v>27</v>
      </c>
      <c r="H1181" s="27">
        <v>65.35</v>
      </c>
      <c r="I1181" s="28">
        <v>5.0</v>
      </c>
      <c r="J1181" s="100" t="s">
        <v>54</v>
      </c>
      <c r="K1181" s="30">
        <v>0.3</v>
      </c>
      <c r="L1181" s="31">
        <f t="shared" si="1"/>
        <v>1.5</v>
      </c>
      <c r="M1181" s="31">
        <f t="shared" si="2"/>
        <v>3.5</v>
      </c>
      <c r="N1181" s="32">
        <f t="shared" si="3"/>
        <v>19.605</v>
      </c>
      <c r="O1181" s="32">
        <f t="shared" si="4"/>
        <v>45.745</v>
      </c>
      <c r="P1181" s="32">
        <f t="shared" si="5"/>
        <v>45.745</v>
      </c>
      <c r="Q1181" s="22">
        <v>0.0</v>
      </c>
      <c r="R1181" s="32">
        <f t="shared" si="6"/>
        <v>13.07</v>
      </c>
      <c r="S1181" s="33" t="s">
        <v>29</v>
      </c>
      <c r="T1181" s="33" t="s">
        <v>30</v>
      </c>
      <c r="U1181" s="34" t="s">
        <v>374</v>
      </c>
      <c r="V1181" s="35"/>
      <c r="W1181" s="7"/>
      <c r="X1181" s="7"/>
      <c r="Y1181" s="7"/>
      <c r="Z1181" s="7"/>
      <c r="AA1181" s="7"/>
    </row>
    <row r="1182" ht="18.75" customHeight="1">
      <c r="A1182" s="8" t="s">
        <v>1168</v>
      </c>
      <c r="B1182" s="103" t="s">
        <v>1178</v>
      </c>
      <c r="C1182" s="9" t="s">
        <v>294</v>
      </c>
      <c r="D1182" s="10">
        <v>2775.0</v>
      </c>
      <c r="E1182" s="9" t="s">
        <v>1403</v>
      </c>
      <c r="F1182" s="11" t="s">
        <v>26</v>
      </c>
      <c r="G1182" s="12" t="s">
        <v>27</v>
      </c>
      <c r="H1182" s="13">
        <v>65.35</v>
      </c>
      <c r="I1182" s="14">
        <v>5.0</v>
      </c>
      <c r="J1182" s="101" t="s">
        <v>54</v>
      </c>
      <c r="K1182" s="16">
        <v>0.3</v>
      </c>
      <c r="L1182" s="17">
        <f t="shared" si="1"/>
        <v>1.5</v>
      </c>
      <c r="M1182" s="17">
        <f t="shared" si="2"/>
        <v>3.5</v>
      </c>
      <c r="N1182" s="18">
        <f t="shared" si="3"/>
        <v>19.605</v>
      </c>
      <c r="O1182" s="18">
        <f t="shared" si="4"/>
        <v>45.745</v>
      </c>
      <c r="P1182" s="18">
        <f t="shared" si="5"/>
        <v>45.745</v>
      </c>
      <c r="Q1182" s="8">
        <v>0.0</v>
      </c>
      <c r="R1182" s="18">
        <f t="shared" si="6"/>
        <v>13.07</v>
      </c>
      <c r="S1182" s="19" t="s">
        <v>29</v>
      </c>
      <c r="T1182" s="19" t="s">
        <v>30</v>
      </c>
      <c r="U1182" s="20" t="s">
        <v>374</v>
      </c>
      <c r="V1182" s="37"/>
      <c r="W1182" s="7"/>
      <c r="X1182" s="7"/>
      <c r="Y1182" s="7"/>
      <c r="Z1182" s="7"/>
      <c r="AA1182" s="7"/>
    </row>
    <row r="1183" ht="18.75" customHeight="1">
      <c r="A1183" s="22" t="s">
        <v>1168</v>
      </c>
      <c r="B1183" s="23" t="s">
        <v>1180</v>
      </c>
      <c r="C1183" s="23" t="s">
        <v>1181</v>
      </c>
      <c r="D1183" s="24">
        <v>2847.0</v>
      </c>
      <c r="E1183" s="23" t="s">
        <v>1404</v>
      </c>
      <c r="F1183" s="25" t="s">
        <v>26</v>
      </c>
      <c r="G1183" s="40"/>
      <c r="H1183" s="121">
        <v>3459.0</v>
      </c>
      <c r="I1183" s="28">
        <v>5.0</v>
      </c>
      <c r="J1183" s="29" t="s">
        <v>81</v>
      </c>
      <c r="K1183" s="30">
        <v>0.15</v>
      </c>
      <c r="L1183" s="31">
        <f t="shared" si="1"/>
        <v>0.75</v>
      </c>
      <c r="M1183" s="31">
        <f t="shared" si="2"/>
        <v>4.25</v>
      </c>
      <c r="N1183" s="32">
        <f t="shared" si="3"/>
        <v>518.85</v>
      </c>
      <c r="O1183" s="32">
        <f t="shared" si="4"/>
        <v>2940.15</v>
      </c>
      <c r="P1183" s="32">
        <f t="shared" si="5"/>
        <v>2940.15</v>
      </c>
      <c r="Q1183" s="22">
        <v>0.0</v>
      </c>
      <c r="R1183" s="32">
        <f t="shared" si="6"/>
        <v>691.8</v>
      </c>
      <c r="S1183" s="33" t="s">
        <v>29</v>
      </c>
      <c r="T1183" s="33" t="s">
        <v>30</v>
      </c>
      <c r="U1183" s="80" t="s">
        <v>1405</v>
      </c>
      <c r="V1183" s="35"/>
      <c r="W1183" s="7"/>
      <c r="X1183" s="7"/>
      <c r="Y1183" s="7"/>
      <c r="Z1183" s="7"/>
      <c r="AA1183" s="7"/>
    </row>
    <row r="1184" ht="18.75" customHeight="1">
      <c r="A1184" s="8" t="s">
        <v>1168</v>
      </c>
      <c r="B1184" s="9" t="s">
        <v>1187</v>
      </c>
      <c r="C1184" s="9" t="s">
        <v>1093</v>
      </c>
      <c r="D1184" s="10">
        <v>2850.0</v>
      </c>
      <c r="E1184" s="9" t="s">
        <v>1406</v>
      </c>
      <c r="F1184" s="11" t="s">
        <v>26</v>
      </c>
      <c r="G1184" s="39"/>
      <c r="H1184" s="13">
        <v>1088.9</v>
      </c>
      <c r="I1184" s="14">
        <v>5.0</v>
      </c>
      <c r="J1184" s="15" t="s">
        <v>81</v>
      </c>
      <c r="K1184" s="16">
        <v>0.15</v>
      </c>
      <c r="L1184" s="17">
        <f t="shared" si="1"/>
        <v>0.75</v>
      </c>
      <c r="M1184" s="17">
        <f t="shared" si="2"/>
        <v>4.25</v>
      </c>
      <c r="N1184" s="18">
        <f t="shared" si="3"/>
        <v>163.335</v>
      </c>
      <c r="O1184" s="18">
        <f t="shared" si="4"/>
        <v>925.565</v>
      </c>
      <c r="P1184" s="18">
        <f t="shared" si="5"/>
        <v>925.565</v>
      </c>
      <c r="Q1184" s="8">
        <v>0.0</v>
      </c>
      <c r="R1184" s="18">
        <f t="shared" si="6"/>
        <v>217.78</v>
      </c>
      <c r="S1184" s="19" t="s">
        <v>29</v>
      </c>
      <c r="T1184" s="19" t="s">
        <v>30</v>
      </c>
      <c r="U1184" s="36" t="s">
        <v>1407</v>
      </c>
      <c r="V1184" s="37"/>
      <c r="W1184" s="7"/>
      <c r="X1184" s="7"/>
      <c r="Y1184" s="7"/>
      <c r="Z1184" s="7"/>
      <c r="AA1184" s="7"/>
    </row>
    <row r="1185" ht="18.75" customHeight="1">
      <c r="A1185" s="22" t="s">
        <v>1168</v>
      </c>
      <c r="B1185" s="23" t="s">
        <v>1089</v>
      </c>
      <c r="C1185" s="23" t="s">
        <v>1214</v>
      </c>
      <c r="D1185" s="24">
        <v>2861.0</v>
      </c>
      <c r="E1185" s="23" t="s">
        <v>1408</v>
      </c>
      <c r="F1185" s="25" t="s">
        <v>26</v>
      </c>
      <c r="G1185" s="40"/>
      <c r="H1185" s="122">
        <v>427.5</v>
      </c>
      <c r="I1185" s="28">
        <v>5.0</v>
      </c>
      <c r="J1185" s="29" t="s">
        <v>81</v>
      </c>
      <c r="K1185" s="30">
        <v>0.15</v>
      </c>
      <c r="L1185" s="31">
        <f t="shared" si="1"/>
        <v>0.75</v>
      </c>
      <c r="M1185" s="31">
        <f t="shared" si="2"/>
        <v>4.25</v>
      </c>
      <c r="N1185" s="32">
        <f t="shared" si="3"/>
        <v>64.125</v>
      </c>
      <c r="O1185" s="32">
        <f t="shared" si="4"/>
        <v>363.375</v>
      </c>
      <c r="P1185" s="32">
        <f t="shared" si="5"/>
        <v>363.375</v>
      </c>
      <c r="Q1185" s="22">
        <v>0.0</v>
      </c>
      <c r="R1185" s="32">
        <f t="shared" si="6"/>
        <v>85.5</v>
      </c>
      <c r="S1185" s="33" t="s">
        <v>29</v>
      </c>
      <c r="T1185" s="33" t="s">
        <v>30</v>
      </c>
      <c r="U1185" s="80" t="s">
        <v>1409</v>
      </c>
      <c r="V1185" s="35"/>
      <c r="W1185" s="7"/>
      <c r="X1185" s="7"/>
      <c r="Y1185" s="7"/>
      <c r="Z1185" s="7"/>
      <c r="AA1185" s="7"/>
    </row>
    <row r="1186" ht="18.75" customHeight="1">
      <c r="A1186" s="8" t="s">
        <v>1168</v>
      </c>
      <c r="B1186" s="9" t="s">
        <v>1187</v>
      </c>
      <c r="C1186" s="9" t="s">
        <v>1093</v>
      </c>
      <c r="D1186" s="10">
        <v>2862.0</v>
      </c>
      <c r="E1186" s="9" t="s">
        <v>1410</v>
      </c>
      <c r="F1186" s="11" t="s">
        <v>26</v>
      </c>
      <c r="G1186" s="39"/>
      <c r="H1186" s="13">
        <v>379.5</v>
      </c>
      <c r="I1186" s="14">
        <v>5.0</v>
      </c>
      <c r="J1186" s="15" t="s">
        <v>81</v>
      </c>
      <c r="K1186" s="16">
        <v>0.15</v>
      </c>
      <c r="L1186" s="17">
        <f t="shared" si="1"/>
        <v>0.75</v>
      </c>
      <c r="M1186" s="17">
        <f t="shared" si="2"/>
        <v>4.25</v>
      </c>
      <c r="N1186" s="18">
        <f t="shared" si="3"/>
        <v>56.925</v>
      </c>
      <c r="O1186" s="18">
        <f t="shared" si="4"/>
        <v>322.575</v>
      </c>
      <c r="P1186" s="18">
        <f t="shared" si="5"/>
        <v>322.575</v>
      </c>
      <c r="Q1186" s="8">
        <v>0.0</v>
      </c>
      <c r="R1186" s="18">
        <f t="shared" si="6"/>
        <v>75.9</v>
      </c>
      <c r="S1186" s="19" t="s">
        <v>29</v>
      </c>
      <c r="T1186" s="19" t="s">
        <v>30</v>
      </c>
      <c r="U1186" s="36" t="s">
        <v>1411</v>
      </c>
      <c r="V1186" s="37"/>
      <c r="W1186" s="7"/>
      <c r="X1186" s="7"/>
      <c r="Y1186" s="7"/>
      <c r="Z1186" s="7"/>
      <c r="AA1186" s="7"/>
    </row>
    <row r="1187" ht="18.75" customHeight="1">
      <c r="A1187" s="22" t="s">
        <v>1168</v>
      </c>
      <c r="B1187" s="23" t="s">
        <v>1187</v>
      </c>
      <c r="C1187" s="23" t="s">
        <v>1093</v>
      </c>
      <c r="D1187" s="24">
        <v>2863.0</v>
      </c>
      <c r="E1187" s="23" t="s">
        <v>1410</v>
      </c>
      <c r="F1187" s="25" t="s">
        <v>26</v>
      </c>
      <c r="G1187" s="40"/>
      <c r="H1187" s="27">
        <v>379.5</v>
      </c>
      <c r="I1187" s="28">
        <v>5.0</v>
      </c>
      <c r="J1187" s="29" t="s">
        <v>81</v>
      </c>
      <c r="K1187" s="30">
        <v>0.15</v>
      </c>
      <c r="L1187" s="31">
        <f t="shared" si="1"/>
        <v>0.75</v>
      </c>
      <c r="M1187" s="31">
        <f t="shared" si="2"/>
        <v>4.25</v>
      </c>
      <c r="N1187" s="32">
        <f t="shared" si="3"/>
        <v>56.925</v>
      </c>
      <c r="O1187" s="32">
        <f t="shared" si="4"/>
        <v>322.575</v>
      </c>
      <c r="P1187" s="32">
        <f t="shared" si="5"/>
        <v>322.575</v>
      </c>
      <c r="Q1187" s="22">
        <v>0.0</v>
      </c>
      <c r="R1187" s="32">
        <f t="shared" si="6"/>
        <v>75.9</v>
      </c>
      <c r="S1187" s="33" t="s">
        <v>29</v>
      </c>
      <c r="T1187" s="33" t="s">
        <v>30</v>
      </c>
      <c r="U1187" s="38" t="s">
        <v>1411</v>
      </c>
      <c r="V1187" s="35"/>
      <c r="W1187" s="7"/>
      <c r="X1187" s="7"/>
      <c r="Y1187" s="7"/>
      <c r="Z1187" s="7"/>
      <c r="AA1187" s="7"/>
    </row>
    <row r="1188" ht="18.75" customHeight="1">
      <c r="A1188" s="8" t="s">
        <v>1168</v>
      </c>
      <c r="B1188" s="9" t="s">
        <v>1187</v>
      </c>
      <c r="C1188" s="9" t="s">
        <v>1093</v>
      </c>
      <c r="D1188" s="10">
        <v>2866.0</v>
      </c>
      <c r="E1188" s="9" t="s">
        <v>128</v>
      </c>
      <c r="F1188" s="11" t="s">
        <v>128</v>
      </c>
      <c r="G1188" s="12" t="s">
        <v>27</v>
      </c>
      <c r="H1188" s="13">
        <v>1669.0</v>
      </c>
      <c r="I1188" s="14">
        <v>5.0</v>
      </c>
      <c r="J1188" s="15" t="s">
        <v>38</v>
      </c>
      <c r="K1188" s="16">
        <v>0.5</v>
      </c>
      <c r="L1188" s="17">
        <f t="shared" si="1"/>
        <v>2.5</v>
      </c>
      <c r="M1188" s="17">
        <f t="shared" si="2"/>
        <v>2.5</v>
      </c>
      <c r="N1188" s="18">
        <f t="shared" si="3"/>
        <v>834.5</v>
      </c>
      <c r="O1188" s="18">
        <f t="shared" si="4"/>
        <v>834.5</v>
      </c>
      <c r="P1188" s="18">
        <f t="shared" si="5"/>
        <v>834.5</v>
      </c>
      <c r="Q1188" s="8">
        <v>0.0</v>
      </c>
      <c r="R1188" s="18">
        <f t="shared" si="6"/>
        <v>333.8</v>
      </c>
      <c r="S1188" s="19" t="s">
        <v>29</v>
      </c>
      <c r="T1188" s="19" t="s">
        <v>30</v>
      </c>
      <c r="U1188" s="20" t="s">
        <v>129</v>
      </c>
      <c r="V1188" s="37"/>
      <c r="W1188" s="7"/>
      <c r="X1188" s="7"/>
      <c r="Y1188" s="7"/>
      <c r="Z1188" s="7"/>
      <c r="AA1188" s="7"/>
    </row>
    <row r="1189" ht="18.75" customHeight="1">
      <c r="A1189" s="22" t="s">
        <v>1168</v>
      </c>
      <c r="B1189" s="23" t="s">
        <v>1187</v>
      </c>
      <c r="C1189" s="23" t="s">
        <v>1093</v>
      </c>
      <c r="D1189" s="24">
        <v>2867.0</v>
      </c>
      <c r="E1189" s="23" t="s">
        <v>1412</v>
      </c>
      <c r="F1189" s="25" t="s">
        <v>26</v>
      </c>
      <c r="G1189" s="40"/>
      <c r="H1189" s="27">
        <v>495.0</v>
      </c>
      <c r="I1189" s="28">
        <v>5.0</v>
      </c>
      <c r="J1189" s="29" t="s">
        <v>81</v>
      </c>
      <c r="K1189" s="30">
        <v>0.15</v>
      </c>
      <c r="L1189" s="31">
        <f t="shared" si="1"/>
        <v>0.75</v>
      </c>
      <c r="M1189" s="31">
        <f t="shared" si="2"/>
        <v>4.25</v>
      </c>
      <c r="N1189" s="32">
        <f t="shared" si="3"/>
        <v>74.25</v>
      </c>
      <c r="O1189" s="32">
        <f t="shared" si="4"/>
        <v>420.75</v>
      </c>
      <c r="P1189" s="32">
        <f t="shared" si="5"/>
        <v>420.75</v>
      </c>
      <c r="Q1189" s="22">
        <v>0.0</v>
      </c>
      <c r="R1189" s="32">
        <f t="shared" si="6"/>
        <v>99</v>
      </c>
      <c r="S1189" s="33" t="s">
        <v>29</v>
      </c>
      <c r="T1189" s="33" t="s">
        <v>30</v>
      </c>
      <c r="U1189" s="38" t="s">
        <v>1413</v>
      </c>
      <c r="V1189" s="35"/>
      <c r="W1189" s="7"/>
      <c r="X1189" s="7"/>
      <c r="Y1189" s="7"/>
      <c r="Z1189" s="7"/>
      <c r="AA1189" s="7"/>
    </row>
    <row r="1190" ht="18.75" customHeight="1">
      <c r="A1190" s="8" t="s">
        <v>1168</v>
      </c>
      <c r="B1190" s="103" t="s">
        <v>1178</v>
      </c>
      <c r="C1190" s="9" t="s">
        <v>1082</v>
      </c>
      <c r="D1190" s="10">
        <v>2884.0</v>
      </c>
      <c r="E1190" s="9" t="s">
        <v>1414</v>
      </c>
      <c r="F1190" s="11" t="s">
        <v>37</v>
      </c>
      <c r="G1190" s="73">
        <v>45532.0</v>
      </c>
      <c r="H1190" s="13">
        <v>2014.8</v>
      </c>
      <c r="I1190" s="14">
        <v>10.0</v>
      </c>
      <c r="J1190" s="15" t="s">
        <v>81</v>
      </c>
      <c r="K1190" s="16">
        <v>0.15</v>
      </c>
      <c r="L1190" s="17">
        <f t="shared" si="1"/>
        <v>1.5</v>
      </c>
      <c r="M1190" s="17">
        <f t="shared" si="2"/>
        <v>8.5</v>
      </c>
      <c r="N1190" s="18">
        <f t="shared" si="3"/>
        <v>302.22</v>
      </c>
      <c r="O1190" s="18">
        <f t="shared" si="4"/>
        <v>1712.58</v>
      </c>
      <c r="P1190" s="18">
        <f t="shared" si="5"/>
        <v>1712.58</v>
      </c>
      <c r="Q1190" s="8">
        <v>0.0</v>
      </c>
      <c r="R1190" s="18">
        <f t="shared" si="6"/>
        <v>201.48</v>
      </c>
      <c r="S1190" s="19" t="s">
        <v>29</v>
      </c>
      <c r="T1190" s="19" t="s">
        <v>30</v>
      </c>
      <c r="U1190" s="20"/>
      <c r="V1190" s="37"/>
      <c r="W1190" s="7"/>
      <c r="X1190" s="7"/>
      <c r="Y1190" s="7"/>
      <c r="Z1190" s="7"/>
      <c r="AA1190" s="7"/>
    </row>
    <row r="1191" ht="18.75" customHeight="1">
      <c r="A1191" s="22" t="s">
        <v>1168</v>
      </c>
      <c r="B1191" s="23" t="s">
        <v>1208</v>
      </c>
      <c r="C1191" s="23" t="s">
        <v>1208</v>
      </c>
      <c r="D1191" s="24">
        <v>2888.0</v>
      </c>
      <c r="E1191" s="23" t="s">
        <v>1415</v>
      </c>
      <c r="F1191" s="25" t="s">
        <v>202</v>
      </c>
      <c r="G1191" s="60">
        <v>45805.0</v>
      </c>
      <c r="H1191" s="27">
        <v>1954.45</v>
      </c>
      <c r="I1191" s="28">
        <v>5.0</v>
      </c>
      <c r="J1191" s="29" t="s">
        <v>81</v>
      </c>
      <c r="K1191" s="30">
        <v>0.15</v>
      </c>
      <c r="L1191" s="31">
        <f t="shared" si="1"/>
        <v>0.75</v>
      </c>
      <c r="M1191" s="31">
        <f t="shared" si="2"/>
        <v>4.25</v>
      </c>
      <c r="N1191" s="32">
        <f t="shared" si="3"/>
        <v>293.1675</v>
      </c>
      <c r="O1191" s="32">
        <f t="shared" si="4"/>
        <v>1661.2825</v>
      </c>
      <c r="P1191" s="32">
        <f t="shared" si="5"/>
        <v>1661.2825</v>
      </c>
      <c r="Q1191" s="22">
        <v>0.0</v>
      </c>
      <c r="R1191" s="32">
        <f t="shared" si="6"/>
        <v>390.89</v>
      </c>
      <c r="S1191" s="33" t="s">
        <v>29</v>
      </c>
      <c r="T1191" s="33" t="s">
        <v>30</v>
      </c>
      <c r="U1191" s="34"/>
      <c r="V1191" s="35">
        <v>674460.0</v>
      </c>
      <c r="W1191" s="7"/>
      <c r="X1191" s="7"/>
      <c r="Y1191" s="7"/>
      <c r="Z1191" s="7"/>
      <c r="AA1191" s="7"/>
    </row>
    <row r="1192" ht="18.75" customHeight="1">
      <c r="A1192" s="8" t="s">
        <v>1168</v>
      </c>
      <c r="B1192" s="9" t="s">
        <v>1211</v>
      </c>
      <c r="C1192" s="9" t="s">
        <v>1212</v>
      </c>
      <c r="D1192" s="10">
        <v>2889.0</v>
      </c>
      <c r="E1192" s="46" t="s">
        <v>1416</v>
      </c>
      <c r="F1192" s="11" t="s">
        <v>26</v>
      </c>
      <c r="G1192" s="39"/>
      <c r="H1192" s="116">
        <v>740.05</v>
      </c>
      <c r="I1192" s="14">
        <v>5.0</v>
      </c>
      <c r="J1192" s="15" t="s">
        <v>81</v>
      </c>
      <c r="K1192" s="16">
        <v>0.150000000000001</v>
      </c>
      <c r="L1192" s="17">
        <f t="shared" si="1"/>
        <v>0.75</v>
      </c>
      <c r="M1192" s="17">
        <f t="shared" si="2"/>
        <v>4.25</v>
      </c>
      <c r="N1192" s="18">
        <f t="shared" si="3"/>
        <v>111.0075</v>
      </c>
      <c r="O1192" s="18">
        <f t="shared" si="4"/>
        <v>629.0425</v>
      </c>
      <c r="P1192" s="18">
        <f t="shared" si="5"/>
        <v>629.0425</v>
      </c>
      <c r="Q1192" s="8">
        <v>0.0</v>
      </c>
      <c r="R1192" s="18">
        <f t="shared" si="6"/>
        <v>148.01</v>
      </c>
      <c r="S1192" s="19" t="s">
        <v>29</v>
      </c>
      <c r="T1192" s="19" t="s">
        <v>30</v>
      </c>
      <c r="U1192" s="118" t="s">
        <v>1417</v>
      </c>
      <c r="V1192" s="37"/>
      <c r="W1192" s="7"/>
      <c r="X1192" s="7"/>
      <c r="Y1192" s="7"/>
      <c r="Z1192" s="7"/>
      <c r="AA1192" s="7"/>
    </row>
    <row r="1193" ht="18.75" customHeight="1">
      <c r="A1193" s="22" t="s">
        <v>1168</v>
      </c>
      <c r="B1193" s="23" t="s">
        <v>1211</v>
      </c>
      <c r="C1193" s="23" t="s">
        <v>1212</v>
      </c>
      <c r="D1193" s="24">
        <v>2894.0</v>
      </c>
      <c r="E1193" s="23" t="s">
        <v>1418</v>
      </c>
      <c r="F1193" s="25" t="s">
        <v>26</v>
      </c>
      <c r="G1193" s="40"/>
      <c r="H1193" s="27">
        <v>815.9</v>
      </c>
      <c r="I1193" s="28">
        <v>5.0</v>
      </c>
      <c r="J1193" s="29" t="s">
        <v>81</v>
      </c>
      <c r="K1193" s="30">
        <v>0.150000000000001</v>
      </c>
      <c r="L1193" s="31">
        <f t="shared" si="1"/>
        <v>0.75</v>
      </c>
      <c r="M1193" s="31">
        <f t="shared" si="2"/>
        <v>4.25</v>
      </c>
      <c r="N1193" s="32">
        <f t="shared" si="3"/>
        <v>122.385</v>
      </c>
      <c r="O1193" s="32">
        <f t="shared" si="4"/>
        <v>693.515</v>
      </c>
      <c r="P1193" s="32">
        <f t="shared" si="5"/>
        <v>693.515</v>
      </c>
      <c r="Q1193" s="22">
        <v>0.0</v>
      </c>
      <c r="R1193" s="32">
        <f t="shared" si="6"/>
        <v>163.18</v>
      </c>
      <c r="S1193" s="33" t="s">
        <v>29</v>
      </c>
      <c r="T1193" s="33" t="s">
        <v>30</v>
      </c>
      <c r="U1193" s="38" t="s">
        <v>1419</v>
      </c>
      <c r="V1193" s="35"/>
      <c r="W1193" s="7"/>
      <c r="X1193" s="7"/>
      <c r="Y1193" s="7"/>
      <c r="Z1193" s="7"/>
      <c r="AA1193" s="7"/>
    </row>
    <row r="1194" ht="18.75" customHeight="1">
      <c r="A1194" s="8" t="s">
        <v>1168</v>
      </c>
      <c r="B1194" s="9" t="s">
        <v>1180</v>
      </c>
      <c r="C1194" s="9" t="s">
        <v>1181</v>
      </c>
      <c r="D1194" s="10">
        <v>2905.0</v>
      </c>
      <c r="E1194" s="9" t="s">
        <v>1420</v>
      </c>
      <c r="F1194" s="11" t="s">
        <v>202</v>
      </c>
      <c r="G1194" s="39"/>
      <c r="H1194" s="13">
        <v>1350.0</v>
      </c>
      <c r="I1194" s="14">
        <v>5.0</v>
      </c>
      <c r="J1194" s="15" t="s">
        <v>81</v>
      </c>
      <c r="K1194" s="16">
        <v>0.150000000000001</v>
      </c>
      <c r="L1194" s="17">
        <f t="shared" si="1"/>
        <v>0.75</v>
      </c>
      <c r="M1194" s="17">
        <f t="shared" si="2"/>
        <v>4.25</v>
      </c>
      <c r="N1194" s="18">
        <f t="shared" si="3"/>
        <v>202.5</v>
      </c>
      <c r="O1194" s="18">
        <f t="shared" si="4"/>
        <v>1147.5</v>
      </c>
      <c r="P1194" s="18">
        <f t="shared" si="5"/>
        <v>1147.5</v>
      </c>
      <c r="Q1194" s="8">
        <v>0.0</v>
      </c>
      <c r="R1194" s="18">
        <f t="shared" si="6"/>
        <v>270</v>
      </c>
      <c r="S1194" s="19" t="s">
        <v>29</v>
      </c>
      <c r="T1194" s="19" t="s">
        <v>30</v>
      </c>
      <c r="U1194" s="36" t="s">
        <v>1421</v>
      </c>
      <c r="V1194" s="37"/>
      <c r="W1194" s="7"/>
      <c r="X1194" s="7"/>
      <c r="Y1194" s="7"/>
      <c r="Z1194" s="7"/>
      <c r="AA1194" s="7"/>
    </row>
    <row r="1195" ht="18.75" customHeight="1">
      <c r="A1195" s="22" t="s">
        <v>1168</v>
      </c>
      <c r="B1195" s="23" t="s">
        <v>1219</v>
      </c>
      <c r="C1195" s="23" t="s">
        <v>287</v>
      </c>
      <c r="D1195" s="24">
        <v>2907.0</v>
      </c>
      <c r="E1195" s="23" t="s">
        <v>1422</v>
      </c>
      <c r="F1195" s="25" t="s">
        <v>37</v>
      </c>
      <c r="G1195" s="108">
        <v>45532.0</v>
      </c>
      <c r="H1195" s="27">
        <v>3838.7</v>
      </c>
      <c r="I1195" s="28">
        <v>10.0</v>
      </c>
      <c r="J1195" s="29" t="s">
        <v>81</v>
      </c>
      <c r="K1195" s="30">
        <v>0.150000000000001</v>
      </c>
      <c r="L1195" s="31">
        <f t="shared" si="1"/>
        <v>1.5</v>
      </c>
      <c r="M1195" s="31">
        <f t="shared" si="2"/>
        <v>8.5</v>
      </c>
      <c r="N1195" s="32">
        <f t="shared" si="3"/>
        <v>575.805</v>
      </c>
      <c r="O1195" s="32">
        <f t="shared" si="4"/>
        <v>3262.895</v>
      </c>
      <c r="P1195" s="32">
        <f t="shared" si="5"/>
        <v>3262.895</v>
      </c>
      <c r="Q1195" s="22">
        <v>0.0</v>
      </c>
      <c r="R1195" s="32">
        <f t="shared" si="6"/>
        <v>383.87</v>
      </c>
      <c r="S1195" s="33" t="s">
        <v>29</v>
      </c>
      <c r="T1195" s="33" t="s">
        <v>30</v>
      </c>
      <c r="U1195" s="34"/>
      <c r="V1195" s="35"/>
      <c r="W1195" s="7"/>
      <c r="X1195" s="7"/>
      <c r="Y1195" s="7"/>
      <c r="Z1195" s="7"/>
      <c r="AA1195" s="7"/>
    </row>
    <row r="1196" ht="18.75" customHeight="1">
      <c r="A1196" s="8" t="s">
        <v>1168</v>
      </c>
      <c r="B1196" s="9" t="s">
        <v>1219</v>
      </c>
      <c r="C1196" s="9" t="s">
        <v>287</v>
      </c>
      <c r="D1196" s="10">
        <v>2907.0</v>
      </c>
      <c r="E1196" s="9" t="s">
        <v>1423</v>
      </c>
      <c r="F1196" s="11" t="s">
        <v>37</v>
      </c>
      <c r="G1196" s="73">
        <v>45532.0</v>
      </c>
      <c r="H1196" s="13">
        <v>2186.15</v>
      </c>
      <c r="I1196" s="14">
        <v>10.0</v>
      </c>
      <c r="J1196" s="15" t="s">
        <v>81</v>
      </c>
      <c r="K1196" s="16">
        <v>0.150000000000001</v>
      </c>
      <c r="L1196" s="17">
        <f t="shared" si="1"/>
        <v>1.5</v>
      </c>
      <c r="M1196" s="17">
        <f t="shared" si="2"/>
        <v>8.5</v>
      </c>
      <c r="N1196" s="18">
        <f t="shared" si="3"/>
        <v>327.9225</v>
      </c>
      <c r="O1196" s="18">
        <f t="shared" si="4"/>
        <v>1858.2275</v>
      </c>
      <c r="P1196" s="18">
        <f t="shared" si="5"/>
        <v>1858.2275</v>
      </c>
      <c r="Q1196" s="8">
        <v>0.0</v>
      </c>
      <c r="R1196" s="18">
        <f t="shared" si="6"/>
        <v>218.615</v>
      </c>
      <c r="S1196" s="19" t="s">
        <v>29</v>
      </c>
      <c r="T1196" s="19" t="s">
        <v>30</v>
      </c>
      <c r="U1196" s="20"/>
      <c r="V1196" s="37"/>
      <c r="W1196" s="7"/>
      <c r="X1196" s="7"/>
      <c r="Y1196" s="7"/>
      <c r="Z1196" s="7"/>
      <c r="AA1196" s="7"/>
    </row>
    <row r="1197" ht="18.75" customHeight="1">
      <c r="A1197" s="22" t="s">
        <v>1168</v>
      </c>
      <c r="B1197" s="23" t="s">
        <v>1219</v>
      </c>
      <c r="C1197" s="23" t="s">
        <v>287</v>
      </c>
      <c r="D1197" s="24">
        <v>2908.0</v>
      </c>
      <c r="E1197" s="23" t="s">
        <v>1422</v>
      </c>
      <c r="F1197" s="25" t="s">
        <v>37</v>
      </c>
      <c r="G1197" s="108">
        <v>45532.0</v>
      </c>
      <c r="H1197" s="27">
        <v>3838.7</v>
      </c>
      <c r="I1197" s="28">
        <v>10.0</v>
      </c>
      <c r="J1197" s="29" t="s">
        <v>81</v>
      </c>
      <c r="K1197" s="30">
        <v>0.150000000000001</v>
      </c>
      <c r="L1197" s="31">
        <f t="shared" si="1"/>
        <v>1.5</v>
      </c>
      <c r="M1197" s="31">
        <f t="shared" si="2"/>
        <v>8.5</v>
      </c>
      <c r="N1197" s="32">
        <f t="shared" si="3"/>
        <v>575.805</v>
      </c>
      <c r="O1197" s="32">
        <f t="shared" si="4"/>
        <v>3262.895</v>
      </c>
      <c r="P1197" s="32">
        <f t="shared" si="5"/>
        <v>3262.895</v>
      </c>
      <c r="Q1197" s="22">
        <v>0.0</v>
      </c>
      <c r="R1197" s="32">
        <f t="shared" si="6"/>
        <v>383.87</v>
      </c>
      <c r="S1197" s="33" t="s">
        <v>29</v>
      </c>
      <c r="T1197" s="33" t="s">
        <v>30</v>
      </c>
      <c r="U1197" s="34"/>
      <c r="V1197" s="35"/>
      <c r="W1197" s="7"/>
      <c r="X1197" s="7"/>
      <c r="Y1197" s="7"/>
      <c r="Z1197" s="7"/>
      <c r="AA1197" s="7"/>
    </row>
    <row r="1198" ht="18.75" customHeight="1">
      <c r="A1198" s="8" t="s">
        <v>1168</v>
      </c>
      <c r="B1198" s="9" t="s">
        <v>1219</v>
      </c>
      <c r="C1198" s="9" t="s">
        <v>287</v>
      </c>
      <c r="D1198" s="10">
        <v>2909.0</v>
      </c>
      <c r="E1198" s="9" t="s">
        <v>1422</v>
      </c>
      <c r="F1198" s="11" t="s">
        <v>37</v>
      </c>
      <c r="G1198" s="73">
        <v>45532.0</v>
      </c>
      <c r="H1198" s="13">
        <v>3838.7</v>
      </c>
      <c r="I1198" s="14">
        <v>10.0</v>
      </c>
      <c r="J1198" s="15" t="s">
        <v>81</v>
      </c>
      <c r="K1198" s="16">
        <v>0.150000000000001</v>
      </c>
      <c r="L1198" s="17">
        <f t="shared" si="1"/>
        <v>1.5</v>
      </c>
      <c r="M1198" s="17">
        <f t="shared" si="2"/>
        <v>8.5</v>
      </c>
      <c r="N1198" s="18">
        <f t="shared" si="3"/>
        <v>575.805</v>
      </c>
      <c r="O1198" s="18">
        <f t="shared" si="4"/>
        <v>3262.895</v>
      </c>
      <c r="P1198" s="18">
        <f t="shared" si="5"/>
        <v>3262.895</v>
      </c>
      <c r="Q1198" s="8">
        <v>0.0</v>
      </c>
      <c r="R1198" s="18">
        <f t="shared" si="6"/>
        <v>383.87</v>
      </c>
      <c r="S1198" s="19" t="s">
        <v>29</v>
      </c>
      <c r="T1198" s="19" t="s">
        <v>30</v>
      </c>
      <c r="U1198" s="20"/>
      <c r="V1198" s="37"/>
      <c r="W1198" s="7"/>
      <c r="X1198" s="7"/>
      <c r="Y1198" s="7"/>
      <c r="Z1198" s="7"/>
      <c r="AA1198" s="7"/>
    </row>
    <row r="1199" ht="18.75" customHeight="1">
      <c r="A1199" s="22" t="s">
        <v>1168</v>
      </c>
      <c r="B1199" s="23" t="s">
        <v>1219</v>
      </c>
      <c r="C1199" s="23" t="s">
        <v>287</v>
      </c>
      <c r="D1199" s="24">
        <v>2910.0</v>
      </c>
      <c r="E1199" s="23" t="s">
        <v>1422</v>
      </c>
      <c r="F1199" s="25" t="s">
        <v>37</v>
      </c>
      <c r="G1199" s="108">
        <v>45532.0</v>
      </c>
      <c r="H1199" s="27">
        <v>3838.7</v>
      </c>
      <c r="I1199" s="28">
        <v>10.0</v>
      </c>
      <c r="J1199" s="29" t="s">
        <v>81</v>
      </c>
      <c r="K1199" s="30">
        <v>0.150000000000001</v>
      </c>
      <c r="L1199" s="31">
        <f t="shared" si="1"/>
        <v>1.5</v>
      </c>
      <c r="M1199" s="31">
        <f t="shared" si="2"/>
        <v>8.5</v>
      </c>
      <c r="N1199" s="32">
        <f t="shared" si="3"/>
        <v>575.805</v>
      </c>
      <c r="O1199" s="32">
        <f t="shared" si="4"/>
        <v>3262.895</v>
      </c>
      <c r="P1199" s="32">
        <f t="shared" si="5"/>
        <v>3262.895</v>
      </c>
      <c r="Q1199" s="22">
        <v>0.0</v>
      </c>
      <c r="R1199" s="32">
        <f t="shared" si="6"/>
        <v>383.87</v>
      </c>
      <c r="S1199" s="33" t="s">
        <v>29</v>
      </c>
      <c r="T1199" s="33" t="s">
        <v>30</v>
      </c>
      <c r="U1199" s="34"/>
      <c r="V1199" s="35"/>
      <c r="W1199" s="7"/>
      <c r="X1199" s="7"/>
      <c r="Y1199" s="7"/>
      <c r="Z1199" s="7"/>
      <c r="AA1199" s="7"/>
    </row>
    <row r="1200" ht="18.75" customHeight="1">
      <c r="A1200" s="8" t="s">
        <v>1168</v>
      </c>
      <c r="B1200" s="9" t="s">
        <v>1187</v>
      </c>
      <c r="C1200" s="9" t="s">
        <v>1093</v>
      </c>
      <c r="D1200" s="10">
        <v>2911.0</v>
      </c>
      <c r="E1200" s="9" t="s">
        <v>1424</v>
      </c>
      <c r="F1200" s="11" t="s">
        <v>26</v>
      </c>
      <c r="G1200" s="39"/>
      <c r="H1200" s="13">
        <v>314.0</v>
      </c>
      <c r="I1200" s="14">
        <v>10.0</v>
      </c>
      <c r="J1200" s="15" t="s">
        <v>81</v>
      </c>
      <c r="K1200" s="16">
        <v>0.150000000000001</v>
      </c>
      <c r="L1200" s="17">
        <f t="shared" si="1"/>
        <v>1.5</v>
      </c>
      <c r="M1200" s="17">
        <f t="shared" si="2"/>
        <v>8.5</v>
      </c>
      <c r="N1200" s="18">
        <f t="shared" si="3"/>
        <v>47.1</v>
      </c>
      <c r="O1200" s="18">
        <f t="shared" si="4"/>
        <v>266.9</v>
      </c>
      <c r="P1200" s="18">
        <f t="shared" si="5"/>
        <v>266.9</v>
      </c>
      <c r="Q1200" s="8">
        <v>0.0</v>
      </c>
      <c r="R1200" s="18">
        <f t="shared" si="6"/>
        <v>31.4</v>
      </c>
      <c r="S1200" s="19" t="s">
        <v>29</v>
      </c>
      <c r="T1200" s="19" t="s">
        <v>30</v>
      </c>
      <c r="U1200" s="36" t="s">
        <v>1425</v>
      </c>
      <c r="V1200" s="37"/>
      <c r="W1200" s="7"/>
      <c r="X1200" s="7"/>
      <c r="Y1200" s="7"/>
      <c r="Z1200" s="7"/>
      <c r="AA1200" s="7"/>
    </row>
    <row r="1201" ht="18.75" customHeight="1">
      <c r="A1201" s="22" t="s">
        <v>1168</v>
      </c>
      <c r="B1201" s="23" t="s">
        <v>1187</v>
      </c>
      <c r="C1201" s="23" t="s">
        <v>1093</v>
      </c>
      <c r="D1201" s="24">
        <v>2912.0</v>
      </c>
      <c r="E1201" s="123" t="s">
        <v>1426</v>
      </c>
      <c r="F1201" s="25" t="s">
        <v>26</v>
      </c>
      <c r="G1201" s="40"/>
      <c r="H1201" s="121">
        <v>4899.9</v>
      </c>
      <c r="I1201" s="28">
        <v>5.0</v>
      </c>
      <c r="J1201" s="29" t="s">
        <v>81</v>
      </c>
      <c r="K1201" s="30">
        <v>0.150000000000001</v>
      </c>
      <c r="L1201" s="31">
        <f t="shared" si="1"/>
        <v>0.75</v>
      </c>
      <c r="M1201" s="31">
        <f t="shared" si="2"/>
        <v>4.25</v>
      </c>
      <c r="N1201" s="32">
        <f t="shared" si="3"/>
        <v>734.985</v>
      </c>
      <c r="O1201" s="32">
        <f t="shared" si="4"/>
        <v>4164.915</v>
      </c>
      <c r="P1201" s="32">
        <f t="shared" si="5"/>
        <v>4164.915</v>
      </c>
      <c r="Q1201" s="22">
        <v>0.0</v>
      </c>
      <c r="R1201" s="32">
        <f t="shared" si="6"/>
        <v>979.98</v>
      </c>
      <c r="S1201" s="33" t="s">
        <v>29</v>
      </c>
      <c r="T1201" s="33" t="s">
        <v>30</v>
      </c>
      <c r="U1201" s="80" t="s">
        <v>1427</v>
      </c>
      <c r="V1201" s="35"/>
      <c r="W1201" s="7"/>
      <c r="X1201" s="7"/>
      <c r="Y1201" s="7"/>
      <c r="Z1201" s="7"/>
      <c r="AA1201" s="7"/>
    </row>
    <row r="1202" ht="18.75" customHeight="1">
      <c r="A1202" s="8" t="s">
        <v>1168</v>
      </c>
      <c r="B1202" s="9" t="s">
        <v>1219</v>
      </c>
      <c r="C1202" s="9" t="s">
        <v>287</v>
      </c>
      <c r="D1202" s="10">
        <v>2916.0</v>
      </c>
      <c r="E1202" s="9" t="s">
        <v>1422</v>
      </c>
      <c r="F1202" s="11" t="s">
        <v>37</v>
      </c>
      <c r="G1202" s="73">
        <v>45532.0</v>
      </c>
      <c r="H1202" s="13">
        <v>3838.7</v>
      </c>
      <c r="I1202" s="14">
        <v>10.0</v>
      </c>
      <c r="J1202" s="15" t="s">
        <v>81</v>
      </c>
      <c r="K1202" s="16">
        <v>0.150000000000001</v>
      </c>
      <c r="L1202" s="17">
        <f t="shared" si="1"/>
        <v>1.5</v>
      </c>
      <c r="M1202" s="17">
        <f t="shared" si="2"/>
        <v>8.5</v>
      </c>
      <c r="N1202" s="18">
        <f t="shared" si="3"/>
        <v>575.805</v>
      </c>
      <c r="O1202" s="18">
        <f t="shared" si="4"/>
        <v>3262.895</v>
      </c>
      <c r="P1202" s="18">
        <f t="shared" si="5"/>
        <v>3262.895</v>
      </c>
      <c r="Q1202" s="8">
        <v>0.0</v>
      </c>
      <c r="R1202" s="18">
        <f t="shared" si="6"/>
        <v>383.87</v>
      </c>
      <c r="S1202" s="19" t="s">
        <v>29</v>
      </c>
      <c r="T1202" s="19" t="s">
        <v>30</v>
      </c>
      <c r="U1202" s="20"/>
      <c r="V1202" s="37"/>
      <c r="W1202" s="7"/>
      <c r="X1202" s="7"/>
      <c r="Y1202" s="7"/>
      <c r="Z1202" s="7"/>
      <c r="AA1202" s="7"/>
    </row>
    <row r="1203" ht="18.75" customHeight="1">
      <c r="A1203" s="22" t="s">
        <v>1168</v>
      </c>
      <c r="B1203" s="23" t="s">
        <v>1219</v>
      </c>
      <c r="C1203" s="23" t="s">
        <v>287</v>
      </c>
      <c r="D1203" s="24">
        <v>2917.0</v>
      </c>
      <c r="E1203" s="23" t="s">
        <v>1428</v>
      </c>
      <c r="F1203" s="25" t="s">
        <v>37</v>
      </c>
      <c r="G1203" s="108">
        <v>45532.0</v>
      </c>
      <c r="H1203" s="27">
        <v>3799.6</v>
      </c>
      <c r="I1203" s="28">
        <v>10.0</v>
      </c>
      <c r="J1203" s="29" t="s">
        <v>81</v>
      </c>
      <c r="K1203" s="30">
        <v>0.150000000000001</v>
      </c>
      <c r="L1203" s="31">
        <f t="shared" si="1"/>
        <v>1.5</v>
      </c>
      <c r="M1203" s="31">
        <f t="shared" si="2"/>
        <v>8.5</v>
      </c>
      <c r="N1203" s="32">
        <f t="shared" si="3"/>
        <v>569.94</v>
      </c>
      <c r="O1203" s="32">
        <f t="shared" si="4"/>
        <v>3229.66</v>
      </c>
      <c r="P1203" s="32">
        <f t="shared" si="5"/>
        <v>3229.66</v>
      </c>
      <c r="Q1203" s="22">
        <v>0.0</v>
      </c>
      <c r="R1203" s="32">
        <f t="shared" si="6"/>
        <v>379.96</v>
      </c>
      <c r="S1203" s="33" t="s">
        <v>29</v>
      </c>
      <c r="T1203" s="33" t="s">
        <v>30</v>
      </c>
      <c r="U1203" s="34"/>
      <c r="V1203" s="35"/>
      <c r="W1203" s="7"/>
      <c r="X1203" s="7"/>
      <c r="Y1203" s="7"/>
      <c r="Z1203" s="7"/>
      <c r="AA1203" s="7"/>
    </row>
    <row r="1204" ht="18.75" customHeight="1">
      <c r="A1204" s="8" t="s">
        <v>1168</v>
      </c>
      <c r="B1204" s="9" t="s">
        <v>1067</v>
      </c>
      <c r="C1204" s="9" t="s">
        <v>253</v>
      </c>
      <c r="D1204" s="10">
        <v>2924.0</v>
      </c>
      <c r="E1204" s="9" t="s">
        <v>1429</v>
      </c>
      <c r="F1204" s="11" t="s">
        <v>37</v>
      </c>
      <c r="G1204" s="73">
        <v>45532.0</v>
      </c>
      <c r="H1204" s="13">
        <v>492.2</v>
      </c>
      <c r="I1204" s="14">
        <v>10.0</v>
      </c>
      <c r="J1204" s="15" t="s">
        <v>81</v>
      </c>
      <c r="K1204" s="16">
        <v>0.150000000000001</v>
      </c>
      <c r="L1204" s="17">
        <f t="shared" si="1"/>
        <v>1.5</v>
      </c>
      <c r="M1204" s="17">
        <f t="shared" si="2"/>
        <v>8.5</v>
      </c>
      <c r="N1204" s="18">
        <f t="shared" si="3"/>
        <v>73.83</v>
      </c>
      <c r="O1204" s="18">
        <f t="shared" si="4"/>
        <v>418.37</v>
      </c>
      <c r="P1204" s="18">
        <f t="shared" si="5"/>
        <v>418.37</v>
      </c>
      <c r="Q1204" s="8">
        <v>0.0</v>
      </c>
      <c r="R1204" s="18">
        <f t="shared" si="6"/>
        <v>49.22</v>
      </c>
      <c r="S1204" s="19" t="s">
        <v>29</v>
      </c>
      <c r="T1204" s="19" t="s">
        <v>30</v>
      </c>
      <c r="U1204" s="20"/>
      <c r="V1204" s="37"/>
      <c r="W1204" s="7"/>
      <c r="X1204" s="7"/>
      <c r="Y1204" s="7"/>
      <c r="Z1204" s="7"/>
      <c r="AA1204" s="7"/>
    </row>
    <row r="1205" ht="18.75" customHeight="1">
      <c r="A1205" s="22" t="s">
        <v>1168</v>
      </c>
      <c r="B1205" s="23" t="s">
        <v>1067</v>
      </c>
      <c r="C1205" s="23" t="s">
        <v>253</v>
      </c>
      <c r="D1205" s="24">
        <v>2925.0</v>
      </c>
      <c r="E1205" s="23" t="s">
        <v>1429</v>
      </c>
      <c r="F1205" s="25" t="s">
        <v>37</v>
      </c>
      <c r="G1205" s="108">
        <v>45532.0</v>
      </c>
      <c r="H1205" s="27">
        <v>492.2</v>
      </c>
      <c r="I1205" s="28">
        <v>10.0</v>
      </c>
      <c r="J1205" s="29" t="s">
        <v>81</v>
      </c>
      <c r="K1205" s="30">
        <v>0.150000000000001</v>
      </c>
      <c r="L1205" s="31">
        <f t="shared" si="1"/>
        <v>1.5</v>
      </c>
      <c r="M1205" s="31">
        <f t="shared" si="2"/>
        <v>8.5</v>
      </c>
      <c r="N1205" s="32">
        <f t="shared" si="3"/>
        <v>73.83</v>
      </c>
      <c r="O1205" s="32">
        <f t="shared" si="4"/>
        <v>418.37</v>
      </c>
      <c r="P1205" s="32">
        <f t="shared" si="5"/>
        <v>418.37</v>
      </c>
      <c r="Q1205" s="22">
        <v>0.0</v>
      </c>
      <c r="R1205" s="32">
        <f t="shared" si="6"/>
        <v>49.22</v>
      </c>
      <c r="S1205" s="33" t="s">
        <v>29</v>
      </c>
      <c r="T1205" s="33" t="s">
        <v>30</v>
      </c>
      <c r="U1205" s="34"/>
      <c r="V1205" s="35"/>
      <c r="W1205" s="7"/>
      <c r="X1205" s="7"/>
      <c r="Y1205" s="7"/>
      <c r="Z1205" s="7"/>
      <c r="AA1205" s="7"/>
    </row>
    <row r="1206" ht="18.75" customHeight="1">
      <c r="A1206" s="8" t="s">
        <v>1168</v>
      </c>
      <c r="B1206" s="9" t="s">
        <v>1067</v>
      </c>
      <c r="C1206" s="9" t="s">
        <v>253</v>
      </c>
      <c r="D1206" s="10">
        <v>2926.0</v>
      </c>
      <c r="E1206" s="9" t="s">
        <v>1429</v>
      </c>
      <c r="F1206" s="11" t="s">
        <v>37</v>
      </c>
      <c r="G1206" s="73">
        <v>45532.0</v>
      </c>
      <c r="H1206" s="13">
        <v>492.2</v>
      </c>
      <c r="I1206" s="14">
        <v>10.0</v>
      </c>
      <c r="J1206" s="15" t="s">
        <v>81</v>
      </c>
      <c r="K1206" s="16">
        <v>0.150000000000001</v>
      </c>
      <c r="L1206" s="17">
        <f t="shared" si="1"/>
        <v>1.5</v>
      </c>
      <c r="M1206" s="17">
        <f t="shared" si="2"/>
        <v>8.5</v>
      </c>
      <c r="N1206" s="18">
        <f t="shared" si="3"/>
        <v>73.83</v>
      </c>
      <c r="O1206" s="18">
        <f t="shared" si="4"/>
        <v>418.37</v>
      </c>
      <c r="P1206" s="18">
        <f t="shared" si="5"/>
        <v>418.37</v>
      </c>
      <c r="Q1206" s="8">
        <v>0.0</v>
      </c>
      <c r="R1206" s="18">
        <f t="shared" si="6"/>
        <v>49.22</v>
      </c>
      <c r="S1206" s="19" t="s">
        <v>29</v>
      </c>
      <c r="T1206" s="19" t="s">
        <v>30</v>
      </c>
      <c r="U1206" s="20"/>
      <c r="V1206" s="37"/>
      <c r="W1206" s="7"/>
      <c r="X1206" s="7"/>
      <c r="Y1206" s="7"/>
      <c r="Z1206" s="7"/>
      <c r="AA1206" s="7"/>
    </row>
    <row r="1207" ht="18.75" customHeight="1">
      <c r="A1207" s="22" t="s">
        <v>1168</v>
      </c>
      <c r="B1207" s="23" t="s">
        <v>1067</v>
      </c>
      <c r="C1207" s="23" t="s">
        <v>253</v>
      </c>
      <c r="D1207" s="24">
        <v>2927.0</v>
      </c>
      <c r="E1207" s="23" t="s">
        <v>1429</v>
      </c>
      <c r="F1207" s="25" t="s">
        <v>37</v>
      </c>
      <c r="G1207" s="108">
        <v>45532.0</v>
      </c>
      <c r="H1207" s="27">
        <v>492.2</v>
      </c>
      <c r="I1207" s="28">
        <v>10.0</v>
      </c>
      <c r="J1207" s="29" t="s">
        <v>81</v>
      </c>
      <c r="K1207" s="30">
        <v>0.150000000000001</v>
      </c>
      <c r="L1207" s="31">
        <f t="shared" si="1"/>
        <v>1.5</v>
      </c>
      <c r="M1207" s="31">
        <f t="shared" si="2"/>
        <v>8.5</v>
      </c>
      <c r="N1207" s="32">
        <f t="shared" si="3"/>
        <v>73.83</v>
      </c>
      <c r="O1207" s="32">
        <f t="shared" si="4"/>
        <v>418.37</v>
      </c>
      <c r="P1207" s="32">
        <f t="shared" si="5"/>
        <v>418.37</v>
      </c>
      <c r="Q1207" s="22">
        <v>0.0</v>
      </c>
      <c r="R1207" s="32">
        <f t="shared" si="6"/>
        <v>49.22</v>
      </c>
      <c r="S1207" s="33" t="s">
        <v>29</v>
      </c>
      <c r="T1207" s="33" t="s">
        <v>30</v>
      </c>
      <c r="U1207" s="34"/>
      <c r="V1207" s="35"/>
      <c r="W1207" s="7"/>
      <c r="X1207" s="7"/>
      <c r="Y1207" s="7"/>
      <c r="Z1207" s="7"/>
      <c r="AA1207" s="7"/>
    </row>
    <row r="1208" ht="18.75" customHeight="1">
      <c r="A1208" s="8" t="s">
        <v>1168</v>
      </c>
      <c r="B1208" s="9" t="s">
        <v>1067</v>
      </c>
      <c r="C1208" s="9" t="s">
        <v>253</v>
      </c>
      <c r="D1208" s="10">
        <v>2928.0</v>
      </c>
      <c r="E1208" s="9" t="s">
        <v>1429</v>
      </c>
      <c r="F1208" s="11" t="s">
        <v>37</v>
      </c>
      <c r="G1208" s="73">
        <v>45532.0</v>
      </c>
      <c r="H1208" s="13">
        <v>492.2</v>
      </c>
      <c r="I1208" s="14">
        <v>10.0</v>
      </c>
      <c r="J1208" s="15" t="s">
        <v>81</v>
      </c>
      <c r="K1208" s="16">
        <v>0.150000000000001</v>
      </c>
      <c r="L1208" s="17">
        <f t="shared" si="1"/>
        <v>1.5</v>
      </c>
      <c r="M1208" s="17">
        <f t="shared" si="2"/>
        <v>8.5</v>
      </c>
      <c r="N1208" s="18">
        <f t="shared" si="3"/>
        <v>73.83</v>
      </c>
      <c r="O1208" s="18">
        <f t="shared" si="4"/>
        <v>418.37</v>
      </c>
      <c r="P1208" s="18">
        <f t="shared" si="5"/>
        <v>418.37</v>
      </c>
      <c r="Q1208" s="8">
        <v>0.0</v>
      </c>
      <c r="R1208" s="18">
        <f t="shared" si="6"/>
        <v>49.22</v>
      </c>
      <c r="S1208" s="19" t="s">
        <v>29</v>
      </c>
      <c r="T1208" s="19" t="s">
        <v>30</v>
      </c>
      <c r="U1208" s="20"/>
      <c r="V1208" s="37"/>
      <c r="W1208" s="7"/>
      <c r="X1208" s="7"/>
      <c r="Y1208" s="7"/>
      <c r="Z1208" s="7"/>
      <c r="AA1208" s="7"/>
    </row>
    <row r="1209" ht="18.75" customHeight="1">
      <c r="A1209" s="22" t="s">
        <v>1168</v>
      </c>
      <c r="B1209" s="23" t="s">
        <v>1067</v>
      </c>
      <c r="C1209" s="23" t="s">
        <v>253</v>
      </c>
      <c r="D1209" s="24">
        <v>2929.0</v>
      </c>
      <c r="E1209" s="23" t="s">
        <v>1429</v>
      </c>
      <c r="F1209" s="25" t="s">
        <v>37</v>
      </c>
      <c r="G1209" s="108">
        <v>45532.0</v>
      </c>
      <c r="H1209" s="27">
        <v>492.2</v>
      </c>
      <c r="I1209" s="28">
        <v>10.0</v>
      </c>
      <c r="J1209" s="29" t="s">
        <v>81</v>
      </c>
      <c r="K1209" s="30">
        <v>0.150000000000001</v>
      </c>
      <c r="L1209" s="31">
        <f t="shared" si="1"/>
        <v>1.5</v>
      </c>
      <c r="M1209" s="31">
        <f t="shared" si="2"/>
        <v>8.5</v>
      </c>
      <c r="N1209" s="32">
        <f t="shared" si="3"/>
        <v>73.83</v>
      </c>
      <c r="O1209" s="32">
        <f t="shared" si="4"/>
        <v>418.37</v>
      </c>
      <c r="P1209" s="32">
        <f t="shared" si="5"/>
        <v>418.37</v>
      </c>
      <c r="Q1209" s="22">
        <v>0.0</v>
      </c>
      <c r="R1209" s="32">
        <f t="shared" si="6"/>
        <v>49.22</v>
      </c>
      <c r="S1209" s="33" t="s">
        <v>29</v>
      </c>
      <c r="T1209" s="33" t="s">
        <v>30</v>
      </c>
      <c r="U1209" s="34"/>
      <c r="V1209" s="35"/>
      <c r="W1209" s="7"/>
      <c r="X1209" s="7"/>
      <c r="Y1209" s="7"/>
      <c r="Z1209" s="7"/>
      <c r="AA1209" s="7"/>
    </row>
    <row r="1210" ht="18.75" customHeight="1">
      <c r="A1210" s="8" t="s">
        <v>1168</v>
      </c>
      <c r="B1210" s="9" t="s">
        <v>1067</v>
      </c>
      <c r="C1210" s="9" t="s">
        <v>253</v>
      </c>
      <c r="D1210" s="10">
        <v>2930.0</v>
      </c>
      <c r="E1210" s="9" t="s">
        <v>1429</v>
      </c>
      <c r="F1210" s="11" t="s">
        <v>37</v>
      </c>
      <c r="G1210" s="73">
        <v>45532.0</v>
      </c>
      <c r="H1210" s="13">
        <v>492.2</v>
      </c>
      <c r="I1210" s="14">
        <v>10.0</v>
      </c>
      <c r="J1210" s="15" t="s">
        <v>81</v>
      </c>
      <c r="K1210" s="16">
        <v>0.150000000000001</v>
      </c>
      <c r="L1210" s="17">
        <f t="shared" si="1"/>
        <v>1.5</v>
      </c>
      <c r="M1210" s="17">
        <f t="shared" si="2"/>
        <v>8.5</v>
      </c>
      <c r="N1210" s="18">
        <f t="shared" si="3"/>
        <v>73.83</v>
      </c>
      <c r="O1210" s="18">
        <f t="shared" si="4"/>
        <v>418.37</v>
      </c>
      <c r="P1210" s="18">
        <f t="shared" si="5"/>
        <v>418.37</v>
      </c>
      <c r="Q1210" s="8">
        <v>0.0</v>
      </c>
      <c r="R1210" s="18">
        <f t="shared" si="6"/>
        <v>49.22</v>
      </c>
      <c r="S1210" s="19" t="s">
        <v>29</v>
      </c>
      <c r="T1210" s="19" t="s">
        <v>30</v>
      </c>
      <c r="U1210" s="20"/>
      <c r="V1210" s="37"/>
      <c r="W1210" s="7"/>
      <c r="X1210" s="7"/>
      <c r="Y1210" s="7"/>
      <c r="Z1210" s="7"/>
      <c r="AA1210" s="7"/>
    </row>
    <row r="1211" ht="18.75" customHeight="1">
      <c r="A1211" s="22" t="s">
        <v>1168</v>
      </c>
      <c r="B1211" s="23" t="s">
        <v>1067</v>
      </c>
      <c r="C1211" s="23" t="s">
        <v>253</v>
      </c>
      <c r="D1211" s="24">
        <v>2931.0</v>
      </c>
      <c r="E1211" s="23" t="s">
        <v>1429</v>
      </c>
      <c r="F1211" s="25" t="s">
        <v>37</v>
      </c>
      <c r="G1211" s="108">
        <v>45532.0</v>
      </c>
      <c r="H1211" s="27">
        <v>492.2</v>
      </c>
      <c r="I1211" s="28">
        <v>10.0</v>
      </c>
      <c r="J1211" s="29" t="s">
        <v>81</v>
      </c>
      <c r="K1211" s="30">
        <v>0.150000000000001</v>
      </c>
      <c r="L1211" s="31">
        <f t="shared" si="1"/>
        <v>1.5</v>
      </c>
      <c r="M1211" s="31">
        <f t="shared" si="2"/>
        <v>8.5</v>
      </c>
      <c r="N1211" s="32">
        <f t="shared" si="3"/>
        <v>73.83</v>
      </c>
      <c r="O1211" s="32">
        <f t="shared" si="4"/>
        <v>418.37</v>
      </c>
      <c r="P1211" s="32">
        <f t="shared" si="5"/>
        <v>418.37</v>
      </c>
      <c r="Q1211" s="22">
        <v>0.0</v>
      </c>
      <c r="R1211" s="32">
        <f t="shared" si="6"/>
        <v>49.22</v>
      </c>
      <c r="S1211" s="33" t="s">
        <v>29</v>
      </c>
      <c r="T1211" s="33" t="s">
        <v>30</v>
      </c>
      <c r="U1211" s="34"/>
      <c r="V1211" s="35"/>
      <c r="W1211" s="7"/>
      <c r="X1211" s="7"/>
      <c r="Y1211" s="7"/>
      <c r="Z1211" s="7"/>
      <c r="AA1211" s="7"/>
    </row>
    <row r="1212" ht="18.75" customHeight="1">
      <c r="A1212" s="8" t="s">
        <v>1168</v>
      </c>
      <c r="B1212" s="9" t="s">
        <v>1067</v>
      </c>
      <c r="C1212" s="9" t="s">
        <v>253</v>
      </c>
      <c r="D1212" s="10">
        <v>2932.0</v>
      </c>
      <c r="E1212" s="9" t="s">
        <v>1429</v>
      </c>
      <c r="F1212" s="11" t="s">
        <v>37</v>
      </c>
      <c r="G1212" s="73">
        <v>45532.0</v>
      </c>
      <c r="H1212" s="13">
        <v>492.2</v>
      </c>
      <c r="I1212" s="14">
        <v>10.0</v>
      </c>
      <c r="J1212" s="15" t="s">
        <v>81</v>
      </c>
      <c r="K1212" s="16">
        <v>0.150000000000001</v>
      </c>
      <c r="L1212" s="17">
        <f t="shared" si="1"/>
        <v>1.5</v>
      </c>
      <c r="M1212" s="17">
        <f t="shared" si="2"/>
        <v>8.5</v>
      </c>
      <c r="N1212" s="18">
        <f t="shared" si="3"/>
        <v>73.83</v>
      </c>
      <c r="O1212" s="18">
        <f t="shared" si="4"/>
        <v>418.37</v>
      </c>
      <c r="P1212" s="18">
        <f t="shared" si="5"/>
        <v>418.37</v>
      </c>
      <c r="Q1212" s="8">
        <v>0.0</v>
      </c>
      <c r="R1212" s="18">
        <f t="shared" si="6"/>
        <v>49.22</v>
      </c>
      <c r="S1212" s="19" t="s">
        <v>29</v>
      </c>
      <c r="T1212" s="19" t="s">
        <v>30</v>
      </c>
      <c r="U1212" s="20"/>
      <c r="V1212" s="37"/>
      <c r="W1212" s="7"/>
      <c r="X1212" s="7"/>
      <c r="Y1212" s="7"/>
      <c r="Z1212" s="7"/>
      <c r="AA1212" s="7"/>
    </row>
    <row r="1213" ht="18.75" customHeight="1">
      <c r="A1213" s="22" t="s">
        <v>1168</v>
      </c>
      <c r="B1213" s="23" t="s">
        <v>1067</v>
      </c>
      <c r="C1213" s="23" t="s">
        <v>253</v>
      </c>
      <c r="D1213" s="24">
        <v>2933.0</v>
      </c>
      <c r="E1213" s="23" t="s">
        <v>1429</v>
      </c>
      <c r="F1213" s="25" t="s">
        <v>37</v>
      </c>
      <c r="G1213" s="108">
        <v>45532.0</v>
      </c>
      <c r="H1213" s="27">
        <v>492.2</v>
      </c>
      <c r="I1213" s="28">
        <v>10.0</v>
      </c>
      <c r="J1213" s="29" t="s">
        <v>81</v>
      </c>
      <c r="K1213" s="30">
        <v>0.150000000000001</v>
      </c>
      <c r="L1213" s="31">
        <f t="shared" si="1"/>
        <v>1.5</v>
      </c>
      <c r="M1213" s="31">
        <f t="shared" si="2"/>
        <v>8.5</v>
      </c>
      <c r="N1213" s="32">
        <f t="shared" si="3"/>
        <v>73.83</v>
      </c>
      <c r="O1213" s="32">
        <f t="shared" si="4"/>
        <v>418.37</v>
      </c>
      <c r="P1213" s="32">
        <f t="shared" si="5"/>
        <v>418.37</v>
      </c>
      <c r="Q1213" s="22">
        <v>0.0</v>
      </c>
      <c r="R1213" s="32">
        <f t="shared" si="6"/>
        <v>49.22</v>
      </c>
      <c r="S1213" s="33" t="s">
        <v>29</v>
      </c>
      <c r="T1213" s="33" t="s">
        <v>30</v>
      </c>
      <c r="U1213" s="34"/>
      <c r="V1213" s="35"/>
      <c r="W1213" s="7"/>
      <c r="X1213" s="7"/>
      <c r="Y1213" s="7"/>
      <c r="Z1213" s="7"/>
      <c r="AA1213" s="7"/>
    </row>
    <row r="1214" ht="18.75" customHeight="1">
      <c r="A1214" s="8" t="s">
        <v>1168</v>
      </c>
      <c r="B1214" s="9" t="s">
        <v>1067</v>
      </c>
      <c r="C1214" s="9" t="s">
        <v>253</v>
      </c>
      <c r="D1214" s="10">
        <v>2934.0</v>
      </c>
      <c r="E1214" s="9" t="s">
        <v>1429</v>
      </c>
      <c r="F1214" s="11" t="s">
        <v>37</v>
      </c>
      <c r="G1214" s="73">
        <v>45532.0</v>
      </c>
      <c r="H1214" s="13">
        <v>492.2</v>
      </c>
      <c r="I1214" s="14">
        <v>10.0</v>
      </c>
      <c r="J1214" s="15" t="s">
        <v>81</v>
      </c>
      <c r="K1214" s="16">
        <v>0.150000000000001</v>
      </c>
      <c r="L1214" s="17">
        <f t="shared" si="1"/>
        <v>1.5</v>
      </c>
      <c r="M1214" s="17">
        <f t="shared" si="2"/>
        <v>8.5</v>
      </c>
      <c r="N1214" s="18">
        <f t="shared" si="3"/>
        <v>73.83</v>
      </c>
      <c r="O1214" s="18">
        <f t="shared" si="4"/>
        <v>418.37</v>
      </c>
      <c r="P1214" s="18">
        <f t="shared" si="5"/>
        <v>418.37</v>
      </c>
      <c r="Q1214" s="8">
        <v>0.0</v>
      </c>
      <c r="R1214" s="18">
        <f t="shared" si="6"/>
        <v>49.22</v>
      </c>
      <c r="S1214" s="19" t="s">
        <v>29</v>
      </c>
      <c r="T1214" s="19" t="s">
        <v>30</v>
      </c>
      <c r="U1214" s="20"/>
      <c r="V1214" s="37"/>
      <c r="W1214" s="7"/>
      <c r="X1214" s="7"/>
      <c r="Y1214" s="7"/>
      <c r="Z1214" s="7"/>
      <c r="AA1214" s="7"/>
    </row>
    <row r="1215" ht="18.75" customHeight="1">
      <c r="A1215" s="22" t="s">
        <v>1168</v>
      </c>
      <c r="B1215" s="23" t="s">
        <v>1067</v>
      </c>
      <c r="C1215" s="23" t="s">
        <v>253</v>
      </c>
      <c r="D1215" s="24">
        <v>2935.0</v>
      </c>
      <c r="E1215" s="23" t="s">
        <v>1429</v>
      </c>
      <c r="F1215" s="25" t="s">
        <v>37</v>
      </c>
      <c r="G1215" s="108">
        <v>45532.0</v>
      </c>
      <c r="H1215" s="27">
        <v>492.2</v>
      </c>
      <c r="I1215" s="28">
        <v>10.0</v>
      </c>
      <c r="J1215" s="29" t="s">
        <v>81</v>
      </c>
      <c r="K1215" s="30">
        <v>0.150000000000001</v>
      </c>
      <c r="L1215" s="31">
        <f t="shared" si="1"/>
        <v>1.5</v>
      </c>
      <c r="M1215" s="31">
        <f t="shared" si="2"/>
        <v>8.5</v>
      </c>
      <c r="N1215" s="32">
        <f t="shared" si="3"/>
        <v>73.83</v>
      </c>
      <c r="O1215" s="32">
        <f t="shared" si="4"/>
        <v>418.37</v>
      </c>
      <c r="P1215" s="32">
        <f t="shared" si="5"/>
        <v>418.37</v>
      </c>
      <c r="Q1215" s="22">
        <v>0.0</v>
      </c>
      <c r="R1215" s="32">
        <f t="shared" si="6"/>
        <v>49.22</v>
      </c>
      <c r="S1215" s="33" t="s">
        <v>29</v>
      </c>
      <c r="T1215" s="33" t="s">
        <v>30</v>
      </c>
      <c r="U1215" s="34"/>
      <c r="V1215" s="35"/>
      <c r="W1215" s="7"/>
      <c r="X1215" s="7"/>
      <c r="Y1215" s="7"/>
      <c r="Z1215" s="7"/>
      <c r="AA1215" s="7"/>
    </row>
    <row r="1216" ht="18.75" customHeight="1">
      <c r="A1216" s="8" t="s">
        <v>1168</v>
      </c>
      <c r="B1216" s="9" t="s">
        <v>1067</v>
      </c>
      <c r="C1216" s="9" t="s">
        <v>253</v>
      </c>
      <c r="D1216" s="10">
        <v>2936.0</v>
      </c>
      <c r="E1216" s="9" t="s">
        <v>1430</v>
      </c>
      <c r="F1216" s="11" t="s">
        <v>37</v>
      </c>
      <c r="G1216" s="73">
        <v>45532.0</v>
      </c>
      <c r="H1216" s="13">
        <v>2562.76</v>
      </c>
      <c r="I1216" s="14">
        <v>10.0</v>
      </c>
      <c r="J1216" s="15" t="s">
        <v>81</v>
      </c>
      <c r="K1216" s="16">
        <v>0.150000000000001</v>
      </c>
      <c r="L1216" s="17">
        <f t="shared" si="1"/>
        <v>1.5</v>
      </c>
      <c r="M1216" s="17">
        <f t="shared" si="2"/>
        <v>8.5</v>
      </c>
      <c r="N1216" s="18">
        <f t="shared" si="3"/>
        <v>384.414</v>
      </c>
      <c r="O1216" s="18">
        <f t="shared" si="4"/>
        <v>2178.346</v>
      </c>
      <c r="P1216" s="18">
        <f t="shared" si="5"/>
        <v>2178.346</v>
      </c>
      <c r="Q1216" s="8">
        <v>0.0</v>
      </c>
      <c r="R1216" s="18">
        <f t="shared" si="6"/>
        <v>256.276</v>
      </c>
      <c r="S1216" s="19" t="s">
        <v>29</v>
      </c>
      <c r="T1216" s="19" t="s">
        <v>30</v>
      </c>
      <c r="U1216" s="20"/>
      <c r="V1216" s="37"/>
      <c r="W1216" s="7"/>
      <c r="X1216" s="7"/>
      <c r="Y1216" s="7"/>
      <c r="Z1216" s="7"/>
      <c r="AA1216" s="7"/>
    </row>
    <row r="1217" ht="18.75" customHeight="1">
      <c r="A1217" s="22" t="s">
        <v>1168</v>
      </c>
      <c r="B1217" s="23" t="s">
        <v>1067</v>
      </c>
      <c r="C1217" s="23" t="s">
        <v>253</v>
      </c>
      <c r="D1217" s="24">
        <v>2937.0</v>
      </c>
      <c r="E1217" s="23" t="s">
        <v>1430</v>
      </c>
      <c r="F1217" s="25" t="s">
        <v>37</v>
      </c>
      <c r="G1217" s="108">
        <v>45532.0</v>
      </c>
      <c r="H1217" s="27">
        <v>2562.76</v>
      </c>
      <c r="I1217" s="28">
        <v>10.0</v>
      </c>
      <c r="J1217" s="29" t="s">
        <v>81</v>
      </c>
      <c r="K1217" s="30">
        <v>0.150000000000001</v>
      </c>
      <c r="L1217" s="31">
        <f t="shared" si="1"/>
        <v>1.5</v>
      </c>
      <c r="M1217" s="31">
        <f t="shared" si="2"/>
        <v>8.5</v>
      </c>
      <c r="N1217" s="32">
        <f t="shared" si="3"/>
        <v>384.414</v>
      </c>
      <c r="O1217" s="32">
        <f t="shared" si="4"/>
        <v>2178.346</v>
      </c>
      <c r="P1217" s="32">
        <f t="shared" si="5"/>
        <v>2178.346</v>
      </c>
      <c r="Q1217" s="22">
        <v>0.0</v>
      </c>
      <c r="R1217" s="32">
        <f t="shared" si="6"/>
        <v>256.276</v>
      </c>
      <c r="S1217" s="33" t="s">
        <v>29</v>
      </c>
      <c r="T1217" s="33" t="s">
        <v>30</v>
      </c>
      <c r="U1217" s="34"/>
      <c r="V1217" s="35"/>
      <c r="W1217" s="7"/>
      <c r="X1217" s="7"/>
      <c r="Y1217" s="7"/>
      <c r="Z1217" s="7"/>
      <c r="AA1217" s="7"/>
    </row>
    <row r="1218" ht="18.75" customHeight="1">
      <c r="A1218" s="8" t="s">
        <v>1168</v>
      </c>
      <c r="B1218" s="9" t="s">
        <v>1067</v>
      </c>
      <c r="C1218" s="9" t="s">
        <v>253</v>
      </c>
      <c r="D1218" s="10">
        <v>2938.0</v>
      </c>
      <c r="E1218" s="9" t="s">
        <v>1430</v>
      </c>
      <c r="F1218" s="11" t="s">
        <v>37</v>
      </c>
      <c r="G1218" s="73">
        <v>45532.0</v>
      </c>
      <c r="H1218" s="13">
        <v>2562.76</v>
      </c>
      <c r="I1218" s="14">
        <v>10.0</v>
      </c>
      <c r="J1218" s="15" t="s">
        <v>81</v>
      </c>
      <c r="K1218" s="16">
        <v>0.150000000000001</v>
      </c>
      <c r="L1218" s="17">
        <f t="shared" si="1"/>
        <v>1.5</v>
      </c>
      <c r="M1218" s="17">
        <f t="shared" si="2"/>
        <v>8.5</v>
      </c>
      <c r="N1218" s="18">
        <f t="shared" si="3"/>
        <v>384.414</v>
      </c>
      <c r="O1218" s="18">
        <f t="shared" si="4"/>
        <v>2178.346</v>
      </c>
      <c r="P1218" s="18">
        <f t="shared" si="5"/>
        <v>2178.346</v>
      </c>
      <c r="Q1218" s="8">
        <v>0.0</v>
      </c>
      <c r="R1218" s="18">
        <f t="shared" si="6"/>
        <v>256.276</v>
      </c>
      <c r="S1218" s="19" t="s">
        <v>29</v>
      </c>
      <c r="T1218" s="19" t="s">
        <v>30</v>
      </c>
      <c r="U1218" s="20"/>
      <c r="V1218" s="37"/>
      <c r="W1218" s="7"/>
      <c r="X1218" s="7"/>
      <c r="Y1218" s="7"/>
      <c r="Z1218" s="7"/>
      <c r="AA1218" s="7"/>
    </row>
    <row r="1219" ht="18.75" customHeight="1">
      <c r="A1219" s="22" t="s">
        <v>1168</v>
      </c>
      <c r="B1219" s="23" t="s">
        <v>1067</v>
      </c>
      <c r="C1219" s="23" t="s">
        <v>253</v>
      </c>
      <c r="D1219" s="24">
        <v>2939.0</v>
      </c>
      <c r="E1219" s="23" t="s">
        <v>1431</v>
      </c>
      <c r="F1219" s="25" t="s">
        <v>37</v>
      </c>
      <c r="G1219" s="108">
        <v>45532.0</v>
      </c>
      <c r="H1219" s="27">
        <v>753.25</v>
      </c>
      <c r="I1219" s="28">
        <v>10.0</v>
      </c>
      <c r="J1219" s="29" t="s">
        <v>81</v>
      </c>
      <c r="K1219" s="30">
        <v>0.150000000000001</v>
      </c>
      <c r="L1219" s="31">
        <f t="shared" si="1"/>
        <v>1.5</v>
      </c>
      <c r="M1219" s="31">
        <f t="shared" si="2"/>
        <v>8.5</v>
      </c>
      <c r="N1219" s="32">
        <f t="shared" si="3"/>
        <v>112.9875</v>
      </c>
      <c r="O1219" s="32">
        <f t="shared" si="4"/>
        <v>640.2625</v>
      </c>
      <c r="P1219" s="32">
        <f t="shared" si="5"/>
        <v>640.2625</v>
      </c>
      <c r="Q1219" s="22">
        <v>0.0</v>
      </c>
      <c r="R1219" s="32">
        <f t="shared" si="6"/>
        <v>75.325</v>
      </c>
      <c r="S1219" s="33" t="s">
        <v>29</v>
      </c>
      <c r="T1219" s="33" t="s">
        <v>30</v>
      </c>
      <c r="U1219" s="34"/>
      <c r="V1219" s="35"/>
      <c r="W1219" s="7"/>
      <c r="X1219" s="7"/>
      <c r="Y1219" s="7"/>
      <c r="Z1219" s="7"/>
      <c r="AA1219" s="7"/>
    </row>
    <row r="1220" ht="18.75" customHeight="1">
      <c r="A1220" s="8" t="s">
        <v>1168</v>
      </c>
      <c r="B1220" s="9" t="s">
        <v>1067</v>
      </c>
      <c r="C1220" s="9" t="s">
        <v>253</v>
      </c>
      <c r="D1220" s="10">
        <v>2940.0</v>
      </c>
      <c r="E1220" s="9" t="s">
        <v>1431</v>
      </c>
      <c r="F1220" s="11" t="s">
        <v>37</v>
      </c>
      <c r="G1220" s="73">
        <v>45533.0</v>
      </c>
      <c r="H1220" s="13">
        <v>753.25</v>
      </c>
      <c r="I1220" s="14">
        <v>10.0</v>
      </c>
      <c r="J1220" s="15" t="s">
        <v>81</v>
      </c>
      <c r="K1220" s="16">
        <v>0.150000000000001</v>
      </c>
      <c r="L1220" s="17">
        <f t="shared" si="1"/>
        <v>1.5</v>
      </c>
      <c r="M1220" s="17">
        <f t="shared" si="2"/>
        <v>8.5</v>
      </c>
      <c r="N1220" s="18">
        <f t="shared" si="3"/>
        <v>112.9875</v>
      </c>
      <c r="O1220" s="18">
        <f t="shared" si="4"/>
        <v>640.2625</v>
      </c>
      <c r="P1220" s="18">
        <f t="shared" si="5"/>
        <v>640.2625</v>
      </c>
      <c r="Q1220" s="8">
        <v>0.0</v>
      </c>
      <c r="R1220" s="18">
        <f t="shared" si="6"/>
        <v>75.325</v>
      </c>
      <c r="S1220" s="19" t="s">
        <v>29</v>
      </c>
      <c r="T1220" s="19" t="s">
        <v>30</v>
      </c>
      <c r="U1220" s="20"/>
      <c r="V1220" s="37"/>
      <c r="W1220" s="7"/>
      <c r="X1220" s="7"/>
      <c r="Y1220" s="7"/>
      <c r="Z1220" s="7"/>
      <c r="AA1220" s="7"/>
    </row>
    <row r="1221" ht="18.75" customHeight="1">
      <c r="A1221" s="22" t="s">
        <v>1168</v>
      </c>
      <c r="B1221" s="102" t="s">
        <v>1178</v>
      </c>
      <c r="C1221" s="23" t="s">
        <v>1082</v>
      </c>
      <c r="D1221" s="24">
        <v>2965.0</v>
      </c>
      <c r="E1221" s="23" t="s">
        <v>1432</v>
      </c>
      <c r="F1221" s="25" t="s">
        <v>37</v>
      </c>
      <c r="G1221" s="108">
        <v>45532.0</v>
      </c>
      <c r="H1221" s="27">
        <v>6533.63</v>
      </c>
      <c r="I1221" s="28">
        <v>10.0</v>
      </c>
      <c r="J1221" s="29" t="s">
        <v>81</v>
      </c>
      <c r="K1221" s="30">
        <v>0.150000000000001</v>
      </c>
      <c r="L1221" s="31">
        <f t="shared" si="1"/>
        <v>1.5</v>
      </c>
      <c r="M1221" s="31">
        <f t="shared" si="2"/>
        <v>8.5</v>
      </c>
      <c r="N1221" s="32">
        <f t="shared" si="3"/>
        <v>980.0445</v>
      </c>
      <c r="O1221" s="32">
        <f t="shared" si="4"/>
        <v>5553.5855</v>
      </c>
      <c r="P1221" s="32">
        <f t="shared" si="5"/>
        <v>5553.5855</v>
      </c>
      <c r="Q1221" s="22">
        <v>0.0</v>
      </c>
      <c r="R1221" s="32">
        <f t="shared" si="6"/>
        <v>653.363</v>
      </c>
      <c r="S1221" s="33" t="s">
        <v>29</v>
      </c>
      <c r="T1221" s="33" t="s">
        <v>30</v>
      </c>
      <c r="U1221" s="34"/>
      <c r="V1221" s="35"/>
      <c r="W1221" s="7"/>
      <c r="X1221" s="7"/>
      <c r="Y1221" s="7"/>
      <c r="Z1221" s="7"/>
      <c r="AA1221" s="7"/>
    </row>
    <row r="1222" ht="18.75" customHeight="1">
      <c r="A1222" s="8" t="s">
        <v>1168</v>
      </c>
      <c r="B1222" s="103" t="s">
        <v>1178</v>
      </c>
      <c r="C1222" s="9" t="s">
        <v>1082</v>
      </c>
      <c r="D1222" s="10">
        <v>2966.0</v>
      </c>
      <c r="E1222" s="9" t="s">
        <v>1432</v>
      </c>
      <c r="F1222" s="11" t="s">
        <v>37</v>
      </c>
      <c r="G1222" s="73">
        <v>45532.0</v>
      </c>
      <c r="H1222" s="13">
        <v>6533.63</v>
      </c>
      <c r="I1222" s="14">
        <v>10.0</v>
      </c>
      <c r="J1222" s="15" t="s">
        <v>81</v>
      </c>
      <c r="K1222" s="16">
        <v>0.150000000000001</v>
      </c>
      <c r="L1222" s="17">
        <f t="shared" si="1"/>
        <v>1.5</v>
      </c>
      <c r="M1222" s="17">
        <f t="shared" si="2"/>
        <v>8.5</v>
      </c>
      <c r="N1222" s="18">
        <f t="shared" si="3"/>
        <v>980.0445</v>
      </c>
      <c r="O1222" s="18">
        <f t="shared" si="4"/>
        <v>5553.5855</v>
      </c>
      <c r="P1222" s="18">
        <f t="shared" si="5"/>
        <v>5553.5855</v>
      </c>
      <c r="Q1222" s="8">
        <v>0.0</v>
      </c>
      <c r="R1222" s="18">
        <f t="shared" si="6"/>
        <v>653.363</v>
      </c>
      <c r="S1222" s="19" t="s">
        <v>29</v>
      </c>
      <c r="T1222" s="19" t="s">
        <v>30</v>
      </c>
      <c r="U1222" s="20"/>
      <c r="V1222" s="37"/>
      <c r="W1222" s="7"/>
      <c r="X1222" s="7"/>
      <c r="Y1222" s="7"/>
      <c r="Z1222" s="7"/>
      <c r="AA1222" s="7"/>
    </row>
    <row r="1223" ht="18.75" customHeight="1">
      <c r="A1223" s="22" t="s">
        <v>1168</v>
      </c>
      <c r="B1223" s="102" t="s">
        <v>1178</v>
      </c>
      <c r="C1223" s="23" t="s">
        <v>1082</v>
      </c>
      <c r="D1223" s="24">
        <v>2967.0</v>
      </c>
      <c r="E1223" s="23" t="s">
        <v>1432</v>
      </c>
      <c r="F1223" s="25" t="s">
        <v>37</v>
      </c>
      <c r="G1223" s="108">
        <v>45532.0</v>
      </c>
      <c r="H1223" s="27">
        <v>6533.63</v>
      </c>
      <c r="I1223" s="28">
        <v>10.0</v>
      </c>
      <c r="J1223" s="29" t="s">
        <v>81</v>
      </c>
      <c r="K1223" s="30">
        <v>0.150000000000001</v>
      </c>
      <c r="L1223" s="31">
        <f t="shared" si="1"/>
        <v>1.5</v>
      </c>
      <c r="M1223" s="31">
        <f t="shared" si="2"/>
        <v>8.5</v>
      </c>
      <c r="N1223" s="32">
        <f t="shared" si="3"/>
        <v>980.0445</v>
      </c>
      <c r="O1223" s="32">
        <f t="shared" si="4"/>
        <v>5553.5855</v>
      </c>
      <c r="P1223" s="32">
        <f t="shared" si="5"/>
        <v>5553.5855</v>
      </c>
      <c r="Q1223" s="22">
        <v>0.0</v>
      </c>
      <c r="R1223" s="32">
        <f t="shared" si="6"/>
        <v>653.363</v>
      </c>
      <c r="S1223" s="33" t="s">
        <v>29</v>
      </c>
      <c r="T1223" s="33" t="s">
        <v>30</v>
      </c>
      <c r="U1223" s="34"/>
      <c r="V1223" s="35"/>
      <c r="W1223" s="7"/>
      <c r="X1223" s="7"/>
      <c r="Y1223" s="7"/>
      <c r="Z1223" s="7"/>
      <c r="AA1223" s="7"/>
    </row>
    <row r="1224" ht="18.75" customHeight="1">
      <c r="A1224" s="8" t="s">
        <v>1168</v>
      </c>
      <c r="B1224" s="103" t="s">
        <v>1178</v>
      </c>
      <c r="C1224" s="9" t="s">
        <v>1082</v>
      </c>
      <c r="D1224" s="10">
        <v>2968.0</v>
      </c>
      <c r="E1224" s="9" t="s">
        <v>1414</v>
      </c>
      <c r="F1224" s="11" t="s">
        <v>37</v>
      </c>
      <c r="G1224" s="73">
        <v>45532.0</v>
      </c>
      <c r="H1224" s="13">
        <v>2014.8</v>
      </c>
      <c r="I1224" s="14">
        <v>10.0</v>
      </c>
      <c r="J1224" s="15" t="s">
        <v>81</v>
      </c>
      <c r="K1224" s="16">
        <v>0.150000000000001</v>
      </c>
      <c r="L1224" s="17">
        <f t="shared" si="1"/>
        <v>1.5</v>
      </c>
      <c r="M1224" s="17">
        <f t="shared" si="2"/>
        <v>8.5</v>
      </c>
      <c r="N1224" s="18">
        <f t="shared" si="3"/>
        <v>302.22</v>
      </c>
      <c r="O1224" s="18">
        <f t="shared" si="4"/>
        <v>1712.58</v>
      </c>
      <c r="P1224" s="18">
        <f t="shared" si="5"/>
        <v>1712.58</v>
      </c>
      <c r="Q1224" s="8">
        <v>0.0</v>
      </c>
      <c r="R1224" s="18">
        <f t="shared" si="6"/>
        <v>201.48</v>
      </c>
      <c r="S1224" s="19" t="s">
        <v>29</v>
      </c>
      <c r="T1224" s="19" t="s">
        <v>30</v>
      </c>
      <c r="U1224" s="20"/>
      <c r="V1224" s="37"/>
      <c r="W1224" s="7"/>
      <c r="X1224" s="7"/>
      <c r="Y1224" s="7"/>
      <c r="Z1224" s="7"/>
      <c r="AA1224" s="7"/>
    </row>
    <row r="1225" ht="18.75" customHeight="1">
      <c r="A1225" s="22" t="s">
        <v>1168</v>
      </c>
      <c r="B1225" s="102" t="s">
        <v>1178</v>
      </c>
      <c r="C1225" s="23" t="s">
        <v>1082</v>
      </c>
      <c r="D1225" s="24">
        <v>2969.0</v>
      </c>
      <c r="E1225" s="23" t="s">
        <v>1414</v>
      </c>
      <c r="F1225" s="25" t="s">
        <v>37</v>
      </c>
      <c r="G1225" s="108">
        <v>45532.0</v>
      </c>
      <c r="H1225" s="27">
        <v>2014.8</v>
      </c>
      <c r="I1225" s="28">
        <v>10.0</v>
      </c>
      <c r="J1225" s="29" t="s">
        <v>81</v>
      </c>
      <c r="K1225" s="30">
        <v>0.150000000000001</v>
      </c>
      <c r="L1225" s="31">
        <f t="shared" si="1"/>
        <v>1.5</v>
      </c>
      <c r="M1225" s="31">
        <f t="shared" si="2"/>
        <v>8.5</v>
      </c>
      <c r="N1225" s="32">
        <f t="shared" si="3"/>
        <v>302.22</v>
      </c>
      <c r="O1225" s="32">
        <f t="shared" si="4"/>
        <v>1712.58</v>
      </c>
      <c r="P1225" s="32">
        <f t="shared" si="5"/>
        <v>1712.58</v>
      </c>
      <c r="Q1225" s="22">
        <v>0.0</v>
      </c>
      <c r="R1225" s="32">
        <f t="shared" si="6"/>
        <v>201.48</v>
      </c>
      <c r="S1225" s="33" t="s">
        <v>29</v>
      </c>
      <c r="T1225" s="33" t="s">
        <v>30</v>
      </c>
      <c r="U1225" s="34"/>
      <c r="V1225" s="35"/>
      <c r="W1225" s="7"/>
      <c r="X1225" s="7"/>
      <c r="Y1225" s="7"/>
      <c r="Z1225" s="7"/>
      <c r="AA1225" s="7"/>
    </row>
    <row r="1226" ht="18.75" customHeight="1">
      <c r="A1226" s="8" t="s">
        <v>1168</v>
      </c>
      <c r="B1226" s="103" t="s">
        <v>1178</v>
      </c>
      <c r="C1226" s="9" t="s">
        <v>1206</v>
      </c>
      <c r="D1226" s="10">
        <v>2970.0</v>
      </c>
      <c r="E1226" s="9" t="s">
        <v>1414</v>
      </c>
      <c r="F1226" s="11" t="s">
        <v>37</v>
      </c>
      <c r="G1226" s="73">
        <v>45532.0</v>
      </c>
      <c r="H1226" s="13">
        <v>2014.8</v>
      </c>
      <c r="I1226" s="14">
        <v>10.0</v>
      </c>
      <c r="J1226" s="15" t="s">
        <v>81</v>
      </c>
      <c r="K1226" s="16">
        <v>0.150000000000001</v>
      </c>
      <c r="L1226" s="17">
        <f t="shared" si="1"/>
        <v>1.5</v>
      </c>
      <c r="M1226" s="17">
        <f t="shared" si="2"/>
        <v>8.5</v>
      </c>
      <c r="N1226" s="18">
        <f t="shared" si="3"/>
        <v>302.22</v>
      </c>
      <c r="O1226" s="18">
        <f t="shared" si="4"/>
        <v>1712.58</v>
      </c>
      <c r="P1226" s="18">
        <f t="shared" si="5"/>
        <v>1712.58</v>
      </c>
      <c r="Q1226" s="8">
        <v>0.0</v>
      </c>
      <c r="R1226" s="18">
        <f t="shared" si="6"/>
        <v>201.48</v>
      </c>
      <c r="S1226" s="19" t="s">
        <v>29</v>
      </c>
      <c r="T1226" s="19" t="s">
        <v>30</v>
      </c>
      <c r="U1226" s="20"/>
      <c r="V1226" s="37"/>
      <c r="W1226" s="7"/>
      <c r="X1226" s="7"/>
      <c r="Y1226" s="7"/>
      <c r="Z1226" s="7"/>
      <c r="AA1226" s="7"/>
    </row>
    <row r="1227" ht="18.75" customHeight="1">
      <c r="A1227" s="22" t="s">
        <v>1168</v>
      </c>
      <c r="B1227" s="102" t="s">
        <v>1178</v>
      </c>
      <c r="C1227" s="23" t="s">
        <v>1206</v>
      </c>
      <c r="D1227" s="24">
        <v>2973.0</v>
      </c>
      <c r="E1227" s="23" t="s">
        <v>1432</v>
      </c>
      <c r="F1227" s="25" t="s">
        <v>37</v>
      </c>
      <c r="G1227" s="108">
        <v>45532.0</v>
      </c>
      <c r="H1227" s="27">
        <v>6533.63</v>
      </c>
      <c r="I1227" s="28">
        <v>10.0</v>
      </c>
      <c r="J1227" s="29" t="s">
        <v>81</v>
      </c>
      <c r="K1227" s="30">
        <v>0.150000000000001</v>
      </c>
      <c r="L1227" s="31">
        <f t="shared" si="1"/>
        <v>1.5</v>
      </c>
      <c r="M1227" s="31">
        <f t="shared" si="2"/>
        <v>8.5</v>
      </c>
      <c r="N1227" s="32">
        <f t="shared" si="3"/>
        <v>980.0445</v>
      </c>
      <c r="O1227" s="32">
        <f t="shared" si="4"/>
        <v>5553.5855</v>
      </c>
      <c r="P1227" s="32">
        <f t="shared" si="5"/>
        <v>5553.5855</v>
      </c>
      <c r="Q1227" s="22">
        <v>0.0</v>
      </c>
      <c r="R1227" s="32">
        <f t="shared" si="6"/>
        <v>653.363</v>
      </c>
      <c r="S1227" s="33" t="s">
        <v>29</v>
      </c>
      <c r="T1227" s="33" t="s">
        <v>30</v>
      </c>
      <c r="U1227" s="34"/>
      <c r="V1227" s="35"/>
      <c r="W1227" s="7"/>
      <c r="X1227" s="7"/>
      <c r="Y1227" s="7"/>
      <c r="Z1227" s="7"/>
      <c r="AA1227" s="7"/>
    </row>
    <row r="1228" ht="18.75" customHeight="1">
      <c r="A1228" s="8" t="s">
        <v>1168</v>
      </c>
      <c r="B1228" s="103" t="s">
        <v>1178</v>
      </c>
      <c r="C1228" s="9" t="s">
        <v>1206</v>
      </c>
      <c r="D1228" s="10">
        <v>2974.0</v>
      </c>
      <c r="E1228" s="9" t="s">
        <v>1433</v>
      </c>
      <c r="F1228" s="11" t="s">
        <v>37</v>
      </c>
      <c r="G1228" s="73">
        <v>45532.0</v>
      </c>
      <c r="H1228" s="13">
        <v>3039.85</v>
      </c>
      <c r="I1228" s="14">
        <v>10.0</v>
      </c>
      <c r="J1228" s="15" t="s">
        <v>81</v>
      </c>
      <c r="K1228" s="16">
        <v>0.150000000000001</v>
      </c>
      <c r="L1228" s="17">
        <f t="shared" si="1"/>
        <v>1.5</v>
      </c>
      <c r="M1228" s="17">
        <f t="shared" si="2"/>
        <v>8.5</v>
      </c>
      <c r="N1228" s="18">
        <f t="shared" si="3"/>
        <v>455.9775</v>
      </c>
      <c r="O1228" s="18">
        <f t="shared" si="4"/>
        <v>2583.8725</v>
      </c>
      <c r="P1228" s="18">
        <f t="shared" si="5"/>
        <v>2583.8725</v>
      </c>
      <c r="Q1228" s="8">
        <v>0.0</v>
      </c>
      <c r="R1228" s="18">
        <f t="shared" si="6"/>
        <v>303.985</v>
      </c>
      <c r="S1228" s="19" t="s">
        <v>29</v>
      </c>
      <c r="T1228" s="19" t="s">
        <v>30</v>
      </c>
      <c r="U1228" s="20"/>
      <c r="V1228" s="37"/>
      <c r="W1228" s="7"/>
      <c r="X1228" s="7"/>
      <c r="Y1228" s="7"/>
      <c r="Z1228" s="7"/>
      <c r="AA1228" s="7"/>
    </row>
    <row r="1229" ht="18.75" customHeight="1">
      <c r="A1229" s="22" t="s">
        <v>1168</v>
      </c>
      <c r="B1229" s="102" t="s">
        <v>1178</v>
      </c>
      <c r="C1229" s="23" t="s">
        <v>1206</v>
      </c>
      <c r="D1229" s="24">
        <v>2975.0</v>
      </c>
      <c r="E1229" s="23" t="s">
        <v>1434</v>
      </c>
      <c r="F1229" s="25" t="s">
        <v>37</v>
      </c>
      <c r="G1229" s="108">
        <v>45532.0</v>
      </c>
      <c r="H1229" s="27">
        <v>1707.18</v>
      </c>
      <c r="I1229" s="28">
        <v>10.0</v>
      </c>
      <c r="J1229" s="29" t="s">
        <v>81</v>
      </c>
      <c r="K1229" s="30">
        <v>0.150000000000001</v>
      </c>
      <c r="L1229" s="31">
        <f t="shared" si="1"/>
        <v>1.5</v>
      </c>
      <c r="M1229" s="31">
        <f t="shared" si="2"/>
        <v>8.5</v>
      </c>
      <c r="N1229" s="32">
        <f t="shared" si="3"/>
        <v>256.077</v>
      </c>
      <c r="O1229" s="32">
        <f t="shared" si="4"/>
        <v>1451.103</v>
      </c>
      <c r="P1229" s="32">
        <f t="shared" si="5"/>
        <v>1451.103</v>
      </c>
      <c r="Q1229" s="22">
        <v>0.0</v>
      </c>
      <c r="R1229" s="32">
        <f t="shared" si="6"/>
        <v>170.718</v>
      </c>
      <c r="S1229" s="33" t="s">
        <v>29</v>
      </c>
      <c r="T1229" s="33" t="s">
        <v>30</v>
      </c>
      <c r="U1229" s="34"/>
      <c r="V1229" s="35"/>
      <c r="W1229" s="7"/>
      <c r="X1229" s="7"/>
      <c r="Y1229" s="7"/>
      <c r="Z1229" s="7"/>
      <c r="AA1229" s="7"/>
    </row>
    <row r="1230" ht="18.75" customHeight="1">
      <c r="A1230" s="8" t="s">
        <v>1168</v>
      </c>
      <c r="B1230" s="9" t="s">
        <v>1184</v>
      </c>
      <c r="C1230" s="9" t="s">
        <v>844</v>
      </c>
      <c r="D1230" s="10">
        <v>2976.0</v>
      </c>
      <c r="E1230" s="9" t="s">
        <v>1433</v>
      </c>
      <c r="F1230" s="11" t="s">
        <v>37</v>
      </c>
      <c r="G1230" s="73">
        <v>45532.0</v>
      </c>
      <c r="H1230" s="13">
        <v>3039.85</v>
      </c>
      <c r="I1230" s="14">
        <v>10.0</v>
      </c>
      <c r="J1230" s="15" t="s">
        <v>81</v>
      </c>
      <c r="K1230" s="16">
        <v>0.150000000000001</v>
      </c>
      <c r="L1230" s="17">
        <f t="shared" si="1"/>
        <v>1.5</v>
      </c>
      <c r="M1230" s="17">
        <f t="shared" si="2"/>
        <v>8.5</v>
      </c>
      <c r="N1230" s="18">
        <f t="shared" si="3"/>
        <v>455.9775</v>
      </c>
      <c r="O1230" s="18">
        <f t="shared" si="4"/>
        <v>2583.8725</v>
      </c>
      <c r="P1230" s="18">
        <f t="shared" si="5"/>
        <v>2583.8725</v>
      </c>
      <c r="Q1230" s="8">
        <v>0.0</v>
      </c>
      <c r="R1230" s="18">
        <f t="shared" si="6"/>
        <v>303.985</v>
      </c>
      <c r="S1230" s="19" t="s">
        <v>29</v>
      </c>
      <c r="T1230" s="19" t="s">
        <v>30</v>
      </c>
      <c r="U1230" s="20"/>
      <c r="V1230" s="37"/>
      <c r="W1230" s="7"/>
      <c r="X1230" s="7"/>
      <c r="Y1230" s="7"/>
      <c r="Z1230" s="7"/>
      <c r="AA1230" s="7"/>
    </row>
    <row r="1231" ht="18.75" customHeight="1">
      <c r="A1231" s="22" t="s">
        <v>1168</v>
      </c>
      <c r="B1231" s="23" t="s">
        <v>1184</v>
      </c>
      <c r="C1231" s="23" t="s">
        <v>844</v>
      </c>
      <c r="D1231" s="24">
        <v>2977.0</v>
      </c>
      <c r="E1231" s="23" t="s">
        <v>1433</v>
      </c>
      <c r="F1231" s="25" t="s">
        <v>37</v>
      </c>
      <c r="G1231" s="108">
        <v>45532.0</v>
      </c>
      <c r="H1231" s="27">
        <v>3039.85</v>
      </c>
      <c r="I1231" s="28">
        <v>10.0</v>
      </c>
      <c r="J1231" s="29" t="s">
        <v>81</v>
      </c>
      <c r="K1231" s="30">
        <v>0.150000000000001</v>
      </c>
      <c r="L1231" s="31">
        <f t="shared" si="1"/>
        <v>1.5</v>
      </c>
      <c r="M1231" s="31">
        <f t="shared" si="2"/>
        <v>8.5</v>
      </c>
      <c r="N1231" s="32">
        <f t="shared" si="3"/>
        <v>455.9775</v>
      </c>
      <c r="O1231" s="32">
        <f t="shared" si="4"/>
        <v>2583.8725</v>
      </c>
      <c r="P1231" s="32">
        <f t="shared" si="5"/>
        <v>2583.8725</v>
      </c>
      <c r="Q1231" s="22">
        <v>0.0</v>
      </c>
      <c r="R1231" s="32">
        <f t="shared" si="6"/>
        <v>303.985</v>
      </c>
      <c r="S1231" s="33" t="s">
        <v>29</v>
      </c>
      <c r="T1231" s="33" t="s">
        <v>30</v>
      </c>
      <c r="U1231" s="34"/>
      <c r="V1231" s="35"/>
      <c r="W1231" s="7"/>
      <c r="X1231" s="7"/>
      <c r="Y1231" s="7"/>
      <c r="Z1231" s="7"/>
      <c r="AA1231" s="7"/>
    </row>
    <row r="1232" ht="18.75" customHeight="1">
      <c r="A1232" s="8" t="s">
        <v>1168</v>
      </c>
      <c r="B1232" s="9" t="s">
        <v>1184</v>
      </c>
      <c r="C1232" s="9" t="s">
        <v>844</v>
      </c>
      <c r="D1232" s="10">
        <v>2978.0</v>
      </c>
      <c r="E1232" s="9" t="s">
        <v>1434</v>
      </c>
      <c r="F1232" s="11" t="s">
        <v>37</v>
      </c>
      <c r="G1232" s="73">
        <v>45533.0</v>
      </c>
      <c r="H1232" s="13">
        <v>1707.18</v>
      </c>
      <c r="I1232" s="14">
        <v>10.0</v>
      </c>
      <c r="J1232" s="15" t="s">
        <v>81</v>
      </c>
      <c r="K1232" s="16">
        <v>0.150000000000001</v>
      </c>
      <c r="L1232" s="17">
        <f t="shared" si="1"/>
        <v>1.5</v>
      </c>
      <c r="M1232" s="17">
        <f t="shared" si="2"/>
        <v>8.5</v>
      </c>
      <c r="N1232" s="18">
        <f t="shared" si="3"/>
        <v>256.077</v>
      </c>
      <c r="O1232" s="18">
        <f t="shared" si="4"/>
        <v>1451.103</v>
      </c>
      <c r="P1232" s="18">
        <f t="shared" si="5"/>
        <v>1451.103</v>
      </c>
      <c r="Q1232" s="8">
        <v>0.0</v>
      </c>
      <c r="R1232" s="18">
        <f t="shared" si="6"/>
        <v>170.718</v>
      </c>
      <c r="S1232" s="19" t="s">
        <v>29</v>
      </c>
      <c r="T1232" s="19" t="s">
        <v>30</v>
      </c>
      <c r="U1232" s="20"/>
      <c r="V1232" s="37"/>
      <c r="W1232" s="7"/>
      <c r="X1232" s="7"/>
      <c r="Y1232" s="7"/>
      <c r="Z1232" s="7"/>
      <c r="AA1232" s="7"/>
    </row>
    <row r="1233" ht="18.75" customHeight="1">
      <c r="A1233" s="22" t="s">
        <v>1168</v>
      </c>
      <c r="B1233" s="23" t="s">
        <v>1184</v>
      </c>
      <c r="C1233" s="23" t="s">
        <v>844</v>
      </c>
      <c r="D1233" s="24">
        <v>2979.0</v>
      </c>
      <c r="E1233" s="23" t="s">
        <v>1434</v>
      </c>
      <c r="F1233" s="25" t="s">
        <v>37</v>
      </c>
      <c r="G1233" s="108">
        <v>45534.0</v>
      </c>
      <c r="H1233" s="27">
        <v>1707.18</v>
      </c>
      <c r="I1233" s="28">
        <v>10.0</v>
      </c>
      <c r="J1233" s="29" t="s">
        <v>81</v>
      </c>
      <c r="K1233" s="30">
        <v>0.150000000000001</v>
      </c>
      <c r="L1233" s="31">
        <f t="shared" si="1"/>
        <v>1.5</v>
      </c>
      <c r="M1233" s="31">
        <f t="shared" si="2"/>
        <v>8.5</v>
      </c>
      <c r="N1233" s="32">
        <f t="shared" si="3"/>
        <v>256.077</v>
      </c>
      <c r="O1233" s="32">
        <f t="shared" si="4"/>
        <v>1451.103</v>
      </c>
      <c r="P1233" s="32">
        <f t="shared" si="5"/>
        <v>1451.103</v>
      </c>
      <c r="Q1233" s="22">
        <v>0.0</v>
      </c>
      <c r="R1233" s="32">
        <f t="shared" si="6"/>
        <v>170.718</v>
      </c>
      <c r="S1233" s="33" t="s">
        <v>29</v>
      </c>
      <c r="T1233" s="33" t="s">
        <v>30</v>
      </c>
      <c r="U1233" s="34"/>
      <c r="V1233" s="35"/>
      <c r="W1233" s="7"/>
      <c r="X1233" s="7"/>
      <c r="Y1233" s="7"/>
      <c r="Z1233" s="7"/>
      <c r="AA1233" s="7"/>
    </row>
    <row r="1234" ht="18.75" customHeight="1">
      <c r="A1234" s="8" t="s">
        <v>1168</v>
      </c>
      <c r="B1234" s="9" t="s">
        <v>1184</v>
      </c>
      <c r="C1234" s="9" t="s">
        <v>844</v>
      </c>
      <c r="D1234" s="10">
        <v>2980.0</v>
      </c>
      <c r="E1234" s="9" t="s">
        <v>1435</v>
      </c>
      <c r="F1234" s="11" t="s">
        <v>37</v>
      </c>
      <c r="G1234" s="73">
        <v>45532.0</v>
      </c>
      <c r="H1234" s="13">
        <v>2014.8</v>
      </c>
      <c r="I1234" s="14">
        <v>10.0</v>
      </c>
      <c r="J1234" s="15" t="s">
        <v>81</v>
      </c>
      <c r="K1234" s="16">
        <v>0.150000000000001</v>
      </c>
      <c r="L1234" s="17">
        <f t="shared" si="1"/>
        <v>1.5</v>
      </c>
      <c r="M1234" s="17">
        <f t="shared" si="2"/>
        <v>8.5</v>
      </c>
      <c r="N1234" s="18">
        <f t="shared" si="3"/>
        <v>302.22</v>
      </c>
      <c r="O1234" s="18">
        <f t="shared" si="4"/>
        <v>1712.58</v>
      </c>
      <c r="P1234" s="18">
        <f t="shared" si="5"/>
        <v>1712.58</v>
      </c>
      <c r="Q1234" s="8">
        <v>0.0</v>
      </c>
      <c r="R1234" s="18">
        <f t="shared" si="6"/>
        <v>201.48</v>
      </c>
      <c r="S1234" s="19" t="s">
        <v>29</v>
      </c>
      <c r="T1234" s="19" t="s">
        <v>30</v>
      </c>
      <c r="U1234" s="20"/>
      <c r="V1234" s="37"/>
      <c r="W1234" s="7"/>
      <c r="X1234" s="7"/>
      <c r="Y1234" s="7"/>
      <c r="Z1234" s="7"/>
      <c r="AA1234" s="7"/>
    </row>
    <row r="1235" ht="18.75" customHeight="1">
      <c r="A1235" s="22" t="s">
        <v>1168</v>
      </c>
      <c r="B1235" s="23" t="s">
        <v>1184</v>
      </c>
      <c r="C1235" s="23" t="s">
        <v>844</v>
      </c>
      <c r="D1235" s="24">
        <v>2981.0</v>
      </c>
      <c r="E1235" s="23" t="s">
        <v>1435</v>
      </c>
      <c r="F1235" s="25" t="s">
        <v>37</v>
      </c>
      <c r="G1235" s="108">
        <v>45532.0</v>
      </c>
      <c r="H1235" s="27">
        <v>2014.8</v>
      </c>
      <c r="I1235" s="28">
        <v>10.0</v>
      </c>
      <c r="J1235" s="29" t="s">
        <v>81</v>
      </c>
      <c r="K1235" s="30">
        <v>0.150000000000001</v>
      </c>
      <c r="L1235" s="31">
        <f t="shared" si="1"/>
        <v>1.5</v>
      </c>
      <c r="M1235" s="31">
        <f t="shared" si="2"/>
        <v>8.5</v>
      </c>
      <c r="N1235" s="32">
        <f t="shared" si="3"/>
        <v>302.22</v>
      </c>
      <c r="O1235" s="32">
        <f t="shared" si="4"/>
        <v>1712.58</v>
      </c>
      <c r="P1235" s="32">
        <f t="shared" si="5"/>
        <v>1712.58</v>
      </c>
      <c r="Q1235" s="22">
        <v>0.0</v>
      </c>
      <c r="R1235" s="32">
        <f t="shared" si="6"/>
        <v>201.48</v>
      </c>
      <c r="S1235" s="33" t="s">
        <v>29</v>
      </c>
      <c r="T1235" s="33" t="s">
        <v>30</v>
      </c>
      <c r="U1235" s="34"/>
      <c r="V1235" s="35"/>
      <c r="W1235" s="7"/>
      <c r="X1235" s="7"/>
      <c r="Y1235" s="7"/>
      <c r="Z1235" s="7"/>
      <c r="AA1235" s="7"/>
    </row>
    <row r="1236" ht="18.75" customHeight="1">
      <c r="A1236" s="8" t="s">
        <v>1168</v>
      </c>
      <c r="B1236" s="9" t="s">
        <v>1228</v>
      </c>
      <c r="C1236" s="9" t="s">
        <v>1085</v>
      </c>
      <c r="D1236" s="10">
        <v>2982.0</v>
      </c>
      <c r="E1236" s="9" t="s">
        <v>1433</v>
      </c>
      <c r="F1236" s="11" t="s">
        <v>37</v>
      </c>
      <c r="G1236" s="73">
        <v>45532.0</v>
      </c>
      <c r="H1236" s="13">
        <v>3039.85</v>
      </c>
      <c r="I1236" s="14">
        <v>10.0</v>
      </c>
      <c r="J1236" s="15" t="s">
        <v>81</v>
      </c>
      <c r="K1236" s="16">
        <v>0.150000000000001</v>
      </c>
      <c r="L1236" s="17">
        <f t="shared" si="1"/>
        <v>1.5</v>
      </c>
      <c r="M1236" s="17">
        <f t="shared" si="2"/>
        <v>8.5</v>
      </c>
      <c r="N1236" s="18">
        <f t="shared" si="3"/>
        <v>455.9775</v>
      </c>
      <c r="O1236" s="18">
        <f t="shared" si="4"/>
        <v>2583.8725</v>
      </c>
      <c r="P1236" s="18">
        <f t="shared" si="5"/>
        <v>2583.8725</v>
      </c>
      <c r="Q1236" s="8">
        <v>0.0</v>
      </c>
      <c r="R1236" s="18">
        <f t="shared" si="6"/>
        <v>303.985</v>
      </c>
      <c r="S1236" s="19" t="s">
        <v>29</v>
      </c>
      <c r="T1236" s="19" t="s">
        <v>30</v>
      </c>
      <c r="U1236" s="20"/>
      <c r="V1236" s="37"/>
      <c r="W1236" s="7"/>
      <c r="X1236" s="7"/>
      <c r="Y1236" s="7"/>
      <c r="Z1236" s="7"/>
      <c r="AA1236" s="7"/>
    </row>
    <row r="1237" ht="18.75" customHeight="1">
      <c r="A1237" s="22" t="s">
        <v>1168</v>
      </c>
      <c r="B1237" s="23" t="s">
        <v>1228</v>
      </c>
      <c r="C1237" s="23" t="s">
        <v>1085</v>
      </c>
      <c r="D1237" s="24">
        <v>2983.0</v>
      </c>
      <c r="E1237" s="23" t="s">
        <v>1433</v>
      </c>
      <c r="F1237" s="25" t="s">
        <v>37</v>
      </c>
      <c r="G1237" s="108">
        <v>45532.0</v>
      </c>
      <c r="H1237" s="27">
        <v>3039.85</v>
      </c>
      <c r="I1237" s="28">
        <v>10.0</v>
      </c>
      <c r="J1237" s="29" t="s">
        <v>81</v>
      </c>
      <c r="K1237" s="30">
        <v>0.150000000000001</v>
      </c>
      <c r="L1237" s="31">
        <f t="shared" si="1"/>
        <v>1.5</v>
      </c>
      <c r="M1237" s="31">
        <f t="shared" si="2"/>
        <v>8.5</v>
      </c>
      <c r="N1237" s="32">
        <f t="shared" si="3"/>
        <v>455.9775</v>
      </c>
      <c r="O1237" s="32">
        <f t="shared" si="4"/>
        <v>2583.8725</v>
      </c>
      <c r="P1237" s="32">
        <f t="shared" si="5"/>
        <v>2583.8725</v>
      </c>
      <c r="Q1237" s="22">
        <v>0.0</v>
      </c>
      <c r="R1237" s="32">
        <f t="shared" si="6"/>
        <v>303.985</v>
      </c>
      <c r="S1237" s="33" t="s">
        <v>29</v>
      </c>
      <c r="T1237" s="33" t="s">
        <v>30</v>
      </c>
      <c r="U1237" s="34"/>
      <c r="V1237" s="35"/>
      <c r="W1237" s="7"/>
      <c r="X1237" s="7"/>
      <c r="Y1237" s="7"/>
      <c r="Z1237" s="7"/>
      <c r="AA1237" s="7"/>
    </row>
    <row r="1238" ht="18.75" customHeight="1">
      <c r="A1238" s="8" t="s">
        <v>1168</v>
      </c>
      <c r="B1238" s="9" t="s">
        <v>1228</v>
      </c>
      <c r="C1238" s="9" t="s">
        <v>1085</v>
      </c>
      <c r="D1238" s="10">
        <v>2984.0</v>
      </c>
      <c r="E1238" s="9" t="s">
        <v>1433</v>
      </c>
      <c r="F1238" s="11" t="s">
        <v>37</v>
      </c>
      <c r="G1238" s="73">
        <v>45532.0</v>
      </c>
      <c r="H1238" s="13">
        <v>3039.85</v>
      </c>
      <c r="I1238" s="14">
        <v>10.0</v>
      </c>
      <c r="J1238" s="15" t="s">
        <v>81</v>
      </c>
      <c r="K1238" s="16">
        <v>0.150000000000001</v>
      </c>
      <c r="L1238" s="17">
        <f t="shared" si="1"/>
        <v>1.5</v>
      </c>
      <c r="M1238" s="17">
        <f t="shared" si="2"/>
        <v>8.5</v>
      </c>
      <c r="N1238" s="18">
        <f t="shared" si="3"/>
        <v>455.9775</v>
      </c>
      <c r="O1238" s="18">
        <f t="shared" si="4"/>
        <v>2583.8725</v>
      </c>
      <c r="P1238" s="18">
        <f t="shared" si="5"/>
        <v>2583.8725</v>
      </c>
      <c r="Q1238" s="8">
        <v>0.0</v>
      </c>
      <c r="R1238" s="18">
        <f t="shared" si="6"/>
        <v>303.985</v>
      </c>
      <c r="S1238" s="19" t="s">
        <v>29</v>
      </c>
      <c r="T1238" s="19" t="s">
        <v>30</v>
      </c>
      <c r="U1238" s="20"/>
      <c r="V1238" s="37"/>
      <c r="W1238" s="7"/>
      <c r="X1238" s="7"/>
      <c r="Y1238" s="7"/>
      <c r="Z1238" s="7"/>
      <c r="AA1238" s="7"/>
    </row>
    <row r="1239" ht="18.75" customHeight="1">
      <c r="A1239" s="22" t="s">
        <v>1168</v>
      </c>
      <c r="B1239" s="23" t="s">
        <v>1228</v>
      </c>
      <c r="C1239" s="23" t="s">
        <v>1085</v>
      </c>
      <c r="D1239" s="24">
        <v>2985.0</v>
      </c>
      <c r="E1239" s="23" t="s">
        <v>1435</v>
      </c>
      <c r="F1239" s="25" t="s">
        <v>37</v>
      </c>
      <c r="G1239" s="108">
        <v>45532.0</v>
      </c>
      <c r="H1239" s="27">
        <v>2014.8</v>
      </c>
      <c r="I1239" s="28">
        <v>10.0</v>
      </c>
      <c r="J1239" s="29" t="s">
        <v>81</v>
      </c>
      <c r="K1239" s="30">
        <v>0.150000000000001</v>
      </c>
      <c r="L1239" s="31">
        <f t="shared" si="1"/>
        <v>1.5</v>
      </c>
      <c r="M1239" s="31">
        <f t="shared" si="2"/>
        <v>8.5</v>
      </c>
      <c r="N1239" s="32">
        <f t="shared" si="3"/>
        <v>302.22</v>
      </c>
      <c r="O1239" s="32">
        <f t="shared" si="4"/>
        <v>1712.58</v>
      </c>
      <c r="P1239" s="32">
        <f t="shared" si="5"/>
        <v>1712.58</v>
      </c>
      <c r="Q1239" s="22">
        <v>0.0</v>
      </c>
      <c r="R1239" s="32">
        <f t="shared" si="6"/>
        <v>201.48</v>
      </c>
      <c r="S1239" s="33" t="s">
        <v>29</v>
      </c>
      <c r="T1239" s="33" t="s">
        <v>30</v>
      </c>
      <c r="U1239" s="34"/>
      <c r="V1239" s="35"/>
      <c r="W1239" s="7"/>
      <c r="X1239" s="7"/>
      <c r="Y1239" s="7"/>
      <c r="Z1239" s="7"/>
      <c r="AA1239" s="7"/>
    </row>
    <row r="1240" ht="18.75" customHeight="1">
      <c r="A1240" s="8" t="s">
        <v>1168</v>
      </c>
      <c r="B1240" s="9" t="s">
        <v>1228</v>
      </c>
      <c r="C1240" s="9" t="s">
        <v>1085</v>
      </c>
      <c r="D1240" s="10">
        <v>2986.0</v>
      </c>
      <c r="E1240" s="9" t="s">
        <v>1435</v>
      </c>
      <c r="F1240" s="11" t="s">
        <v>37</v>
      </c>
      <c r="G1240" s="73">
        <v>45532.0</v>
      </c>
      <c r="H1240" s="13">
        <v>2014.8</v>
      </c>
      <c r="I1240" s="14">
        <v>10.0</v>
      </c>
      <c r="J1240" s="15" t="s">
        <v>81</v>
      </c>
      <c r="K1240" s="16">
        <v>0.150000000000001</v>
      </c>
      <c r="L1240" s="17">
        <f t="shared" si="1"/>
        <v>1.5</v>
      </c>
      <c r="M1240" s="17">
        <f t="shared" si="2"/>
        <v>8.5</v>
      </c>
      <c r="N1240" s="18">
        <f t="shared" si="3"/>
        <v>302.22</v>
      </c>
      <c r="O1240" s="18">
        <f t="shared" si="4"/>
        <v>1712.58</v>
      </c>
      <c r="P1240" s="18">
        <f t="shared" si="5"/>
        <v>1712.58</v>
      </c>
      <c r="Q1240" s="8">
        <v>0.0</v>
      </c>
      <c r="R1240" s="18">
        <f t="shared" si="6"/>
        <v>201.48</v>
      </c>
      <c r="S1240" s="19" t="s">
        <v>29</v>
      </c>
      <c r="T1240" s="19" t="s">
        <v>30</v>
      </c>
      <c r="U1240" s="20"/>
      <c r="V1240" s="37"/>
      <c r="W1240" s="7"/>
      <c r="X1240" s="7"/>
      <c r="Y1240" s="7"/>
      <c r="Z1240" s="7"/>
      <c r="AA1240" s="7"/>
    </row>
    <row r="1241" ht="18.75" customHeight="1">
      <c r="A1241" s="22" t="s">
        <v>1168</v>
      </c>
      <c r="B1241" s="23" t="s">
        <v>1228</v>
      </c>
      <c r="C1241" s="23" t="s">
        <v>1085</v>
      </c>
      <c r="D1241" s="24">
        <v>2987.0</v>
      </c>
      <c r="E1241" s="23" t="s">
        <v>1435</v>
      </c>
      <c r="F1241" s="25" t="s">
        <v>37</v>
      </c>
      <c r="G1241" s="108">
        <v>45532.0</v>
      </c>
      <c r="H1241" s="27">
        <v>2014.8</v>
      </c>
      <c r="I1241" s="28">
        <v>10.0</v>
      </c>
      <c r="J1241" s="29" t="s">
        <v>81</v>
      </c>
      <c r="K1241" s="30">
        <v>0.150000000000001</v>
      </c>
      <c r="L1241" s="31">
        <f t="shared" si="1"/>
        <v>1.5</v>
      </c>
      <c r="M1241" s="31">
        <f t="shared" si="2"/>
        <v>8.5</v>
      </c>
      <c r="N1241" s="32">
        <f t="shared" si="3"/>
        <v>302.22</v>
      </c>
      <c r="O1241" s="32">
        <f t="shared" si="4"/>
        <v>1712.58</v>
      </c>
      <c r="P1241" s="32">
        <f t="shared" si="5"/>
        <v>1712.58</v>
      </c>
      <c r="Q1241" s="22">
        <v>0.0</v>
      </c>
      <c r="R1241" s="32">
        <f t="shared" si="6"/>
        <v>201.48</v>
      </c>
      <c r="S1241" s="33" t="s">
        <v>29</v>
      </c>
      <c r="T1241" s="33" t="s">
        <v>30</v>
      </c>
      <c r="U1241" s="34"/>
      <c r="V1241" s="35"/>
      <c r="W1241" s="7"/>
      <c r="X1241" s="7"/>
      <c r="Y1241" s="7"/>
      <c r="Z1241" s="7"/>
      <c r="AA1241" s="7"/>
    </row>
    <row r="1242" ht="18.75" customHeight="1">
      <c r="A1242" s="8" t="s">
        <v>1168</v>
      </c>
      <c r="B1242" s="9" t="s">
        <v>1089</v>
      </c>
      <c r="C1242" s="9" t="s">
        <v>1175</v>
      </c>
      <c r="D1242" s="10">
        <v>2988.0</v>
      </c>
      <c r="E1242" s="9" t="s">
        <v>1436</v>
      </c>
      <c r="F1242" s="11" t="s">
        <v>37</v>
      </c>
      <c r="G1242" s="73">
        <v>45534.0</v>
      </c>
      <c r="H1242" s="13">
        <v>3039.85</v>
      </c>
      <c r="I1242" s="14">
        <v>10.0</v>
      </c>
      <c r="J1242" s="15" t="s">
        <v>81</v>
      </c>
      <c r="K1242" s="16">
        <v>0.150000000000001</v>
      </c>
      <c r="L1242" s="17">
        <f t="shared" si="1"/>
        <v>1.5</v>
      </c>
      <c r="M1242" s="17">
        <f t="shared" si="2"/>
        <v>8.5</v>
      </c>
      <c r="N1242" s="18">
        <f t="shared" si="3"/>
        <v>455.9775</v>
      </c>
      <c r="O1242" s="18">
        <f t="shared" si="4"/>
        <v>2583.8725</v>
      </c>
      <c r="P1242" s="18">
        <f t="shared" si="5"/>
        <v>2583.8725</v>
      </c>
      <c r="Q1242" s="8">
        <v>0.0</v>
      </c>
      <c r="R1242" s="18">
        <f t="shared" si="6"/>
        <v>303.985</v>
      </c>
      <c r="S1242" s="19" t="s">
        <v>29</v>
      </c>
      <c r="T1242" s="19" t="s">
        <v>30</v>
      </c>
      <c r="U1242" s="20"/>
      <c r="V1242" s="37"/>
      <c r="W1242" s="7"/>
      <c r="X1242" s="7"/>
      <c r="Y1242" s="7"/>
      <c r="Z1242" s="7"/>
      <c r="AA1242" s="7"/>
    </row>
    <row r="1243" ht="18.75" customHeight="1">
      <c r="A1243" s="22" t="s">
        <v>1168</v>
      </c>
      <c r="B1243" s="23" t="s">
        <v>1089</v>
      </c>
      <c r="C1243" s="23" t="s">
        <v>1175</v>
      </c>
      <c r="D1243" s="24">
        <v>2989.0</v>
      </c>
      <c r="E1243" s="23" t="s">
        <v>1436</v>
      </c>
      <c r="F1243" s="25" t="s">
        <v>37</v>
      </c>
      <c r="G1243" s="108">
        <v>45535.0</v>
      </c>
      <c r="H1243" s="27">
        <v>3039.85</v>
      </c>
      <c r="I1243" s="28">
        <v>10.0</v>
      </c>
      <c r="J1243" s="29" t="s">
        <v>81</v>
      </c>
      <c r="K1243" s="30">
        <v>0.150000000000001</v>
      </c>
      <c r="L1243" s="31">
        <f t="shared" si="1"/>
        <v>1.5</v>
      </c>
      <c r="M1243" s="31">
        <f t="shared" si="2"/>
        <v>8.5</v>
      </c>
      <c r="N1243" s="32">
        <f t="shared" si="3"/>
        <v>455.9775</v>
      </c>
      <c r="O1243" s="32">
        <f t="shared" si="4"/>
        <v>2583.8725</v>
      </c>
      <c r="P1243" s="32">
        <f t="shared" si="5"/>
        <v>2583.8725</v>
      </c>
      <c r="Q1243" s="22">
        <v>0.0</v>
      </c>
      <c r="R1243" s="32">
        <f t="shared" si="6"/>
        <v>303.985</v>
      </c>
      <c r="S1243" s="33" t="s">
        <v>29</v>
      </c>
      <c r="T1243" s="33" t="s">
        <v>30</v>
      </c>
      <c r="U1243" s="34"/>
      <c r="V1243" s="35"/>
      <c r="W1243" s="7"/>
      <c r="X1243" s="7"/>
      <c r="Y1243" s="7"/>
      <c r="Z1243" s="7"/>
      <c r="AA1243" s="7"/>
    </row>
    <row r="1244" ht="18.75" customHeight="1">
      <c r="A1244" s="8" t="s">
        <v>1168</v>
      </c>
      <c r="B1244" s="9" t="s">
        <v>1089</v>
      </c>
      <c r="C1244" s="9" t="s">
        <v>1173</v>
      </c>
      <c r="D1244" s="10">
        <v>3023.0</v>
      </c>
      <c r="E1244" s="9" t="s">
        <v>1437</v>
      </c>
      <c r="F1244" s="11" t="s">
        <v>37</v>
      </c>
      <c r="G1244" s="73">
        <v>45532.0</v>
      </c>
      <c r="H1244" s="13">
        <v>14828.69</v>
      </c>
      <c r="I1244" s="14">
        <v>10.0</v>
      </c>
      <c r="J1244" s="15" t="s">
        <v>81</v>
      </c>
      <c r="K1244" s="16">
        <v>0.150000000000001</v>
      </c>
      <c r="L1244" s="17">
        <f t="shared" si="1"/>
        <v>1.5</v>
      </c>
      <c r="M1244" s="17">
        <f t="shared" si="2"/>
        <v>8.5</v>
      </c>
      <c r="N1244" s="18">
        <f t="shared" si="3"/>
        <v>2224.3035</v>
      </c>
      <c r="O1244" s="18">
        <f t="shared" si="4"/>
        <v>12604.3865</v>
      </c>
      <c r="P1244" s="18">
        <f t="shared" si="5"/>
        <v>12604.3865</v>
      </c>
      <c r="Q1244" s="8">
        <v>0.0</v>
      </c>
      <c r="R1244" s="18">
        <f t="shared" si="6"/>
        <v>1482.869</v>
      </c>
      <c r="S1244" s="19" t="s">
        <v>29</v>
      </c>
      <c r="T1244" s="19" t="s">
        <v>30</v>
      </c>
      <c r="U1244" s="20"/>
      <c r="V1244" s="37"/>
      <c r="W1244" s="7"/>
      <c r="X1244" s="7"/>
      <c r="Y1244" s="7"/>
      <c r="Z1244" s="7"/>
      <c r="AA1244" s="7"/>
    </row>
    <row r="1245" ht="18.75" customHeight="1">
      <c r="A1245" s="22" t="s">
        <v>1168</v>
      </c>
      <c r="B1245" s="23" t="s">
        <v>1089</v>
      </c>
      <c r="C1245" s="23" t="s">
        <v>1173</v>
      </c>
      <c r="D1245" s="24">
        <v>3025.0</v>
      </c>
      <c r="E1245" s="23" t="s">
        <v>1438</v>
      </c>
      <c r="F1245" s="25" t="s">
        <v>37</v>
      </c>
      <c r="G1245" s="108">
        <v>45532.0</v>
      </c>
      <c r="H1245" s="27">
        <v>2781.85</v>
      </c>
      <c r="I1245" s="28">
        <v>10.0</v>
      </c>
      <c r="J1245" s="29" t="s">
        <v>81</v>
      </c>
      <c r="K1245" s="30">
        <v>0.150000000000001</v>
      </c>
      <c r="L1245" s="31">
        <f t="shared" si="1"/>
        <v>1.5</v>
      </c>
      <c r="M1245" s="31">
        <f t="shared" si="2"/>
        <v>8.5</v>
      </c>
      <c r="N1245" s="32">
        <f t="shared" si="3"/>
        <v>417.2775</v>
      </c>
      <c r="O1245" s="32">
        <f t="shared" si="4"/>
        <v>2364.5725</v>
      </c>
      <c r="P1245" s="32">
        <f t="shared" si="5"/>
        <v>2364.5725</v>
      </c>
      <c r="Q1245" s="22">
        <v>0.0</v>
      </c>
      <c r="R1245" s="32">
        <f t="shared" si="6"/>
        <v>278.185</v>
      </c>
      <c r="S1245" s="33" t="s">
        <v>29</v>
      </c>
      <c r="T1245" s="33" t="s">
        <v>30</v>
      </c>
      <c r="U1245" s="34"/>
      <c r="V1245" s="35"/>
      <c r="W1245" s="7"/>
      <c r="X1245" s="7"/>
      <c r="Y1245" s="7"/>
      <c r="Z1245" s="7"/>
      <c r="AA1245" s="7"/>
    </row>
    <row r="1246" ht="18.75" customHeight="1">
      <c r="A1246" s="8" t="s">
        <v>1168</v>
      </c>
      <c r="B1246" s="9" t="s">
        <v>1089</v>
      </c>
      <c r="C1246" s="9" t="s">
        <v>1173</v>
      </c>
      <c r="D1246" s="10">
        <v>3026.0</v>
      </c>
      <c r="E1246" s="9" t="s">
        <v>1438</v>
      </c>
      <c r="F1246" s="11" t="s">
        <v>37</v>
      </c>
      <c r="G1246" s="73">
        <v>45532.0</v>
      </c>
      <c r="H1246" s="13">
        <v>2781.85</v>
      </c>
      <c r="I1246" s="14">
        <v>10.0</v>
      </c>
      <c r="J1246" s="15" t="s">
        <v>81</v>
      </c>
      <c r="K1246" s="16">
        <v>0.150000000000001</v>
      </c>
      <c r="L1246" s="17">
        <f t="shared" si="1"/>
        <v>1.5</v>
      </c>
      <c r="M1246" s="17">
        <f t="shared" si="2"/>
        <v>8.5</v>
      </c>
      <c r="N1246" s="18">
        <f t="shared" si="3"/>
        <v>417.2775</v>
      </c>
      <c r="O1246" s="18">
        <f t="shared" si="4"/>
        <v>2364.5725</v>
      </c>
      <c r="P1246" s="18">
        <f t="shared" si="5"/>
        <v>2364.5725</v>
      </c>
      <c r="Q1246" s="8">
        <v>0.0</v>
      </c>
      <c r="R1246" s="18">
        <f t="shared" si="6"/>
        <v>278.185</v>
      </c>
      <c r="S1246" s="19" t="s">
        <v>29</v>
      </c>
      <c r="T1246" s="19" t="s">
        <v>30</v>
      </c>
      <c r="U1246" s="20"/>
      <c r="V1246" s="37"/>
      <c r="W1246" s="7"/>
      <c r="X1246" s="7"/>
      <c r="Y1246" s="7"/>
      <c r="Z1246" s="7"/>
      <c r="AA1246" s="7"/>
    </row>
    <row r="1247" ht="18.75" customHeight="1">
      <c r="A1247" s="22" t="s">
        <v>1168</v>
      </c>
      <c r="B1247" s="23" t="s">
        <v>1089</v>
      </c>
      <c r="C1247" s="23" t="s">
        <v>1173</v>
      </c>
      <c r="D1247" s="24">
        <v>3027.0</v>
      </c>
      <c r="E1247" s="23" t="s">
        <v>1438</v>
      </c>
      <c r="F1247" s="25" t="s">
        <v>37</v>
      </c>
      <c r="G1247" s="108">
        <v>45532.0</v>
      </c>
      <c r="H1247" s="27">
        <v>2781.85</v>
      </c>
      <c r="I1247" s="28">
        <v>10.0</v>
      </c>
      <c r="J1247" s="29" t="s">
        <v>81</v>
      </c>
      <c r="K1247" s="30">
        <v>0.150000000000001</v>
      </c>
      <c r="L1247" s="31">
        <f t="shared" si="1"/>
        <v>1.5</v>
      </c>
      <c r="M1247" s="31">
        <f t="shared" si="2"/>
        <v>8.5</v>
      </c>
      <c r="N1247" s="32">
        <f t="shared" si="3"/>
        <v>417.2775</v>
      </c>
      <c r="O1247" s="32">
        <f t="shared" si="4"/>
        <v>2364.5725</v>
      </c>
      <c r="P1247" s="32">
        <f t="shared" si="5"/>
        <v>2364.5725</v>
      </c>
      <c r="Q1247" s="22">
        <v>0.0</v>
      </c>
      <c r="R1247" s="32">
        <f t="shared" si="6"/>
        <v>278.185</v>
      </c>
      <c r="S1247" s="33" t="s">
        <v>29</v>
      </c>
      <c r="T1247" s="33" t="s">
        <v>30</v>
      </c>
      <c r="U1247" s="34"/>
      <c r="V1247" s="35"/>
      <c r="W1247" s="7"/>
      <c r="X1247" s="7"/>
      <c r="Y1247" s="7"/>
      <c r="Z1247" s="7"/>
      <c r="AA1247" s="7"/>
    </row>
    <row r="1248" ht="18.75" customHeight="1">
      <c r="A1248" s="8" t="s">
        <v>1168</v>
      </c>
      <c r="B1248" s="9" t="s">
        <v>1089</v>
      </c>
      <c r="C1248" s="9" t="s">
        <v>1173</v>
      </c>
      <c r="D1248" s="10">
        <v>3029.0</v>
      </c>
      <c r="E1248" s="9" t="s">
        <v>1438</v>
      </c>
      <c r="F1248" s="11" t="s">
        <v>37</v>
      </c>
      <c r="G1248" s="73">
        <v>45532.0</v>
      </c>
      <c r="H1248" s="13">
        <v>2781.85</v>
      </c>
      <c r="I1248" s="14">
        <v>10.0</v>
      </c>
      <c r="J1248" s="15" t="s">
        <v>81</v>
      </c>
      <c r="K1248" s="16">
        <v>0.150000000000001</v>
      </c>
      <c r="L1248" s="17">
        <f t="shared" si="1"/>
        <v>1.5</v>
      </c>
      <c r="M1248" s="17">
        <f t="shared" si="2"/>
        <v>8.5</v>
      </c>
      <c r="N1248" s="18">
        <f t="shared" si="3"/>
        <v>417.2775</v>
      </c>
      <c r="O1248" s="18">
        <f t="shared" si="4"/>
        <v>2364.5725</v>
      </c>
      <c r="P1248" s="18">
        <f t="shared" si="5"/>
        <v>2364.5725</v>
      </c>
      <c r="Q1248" s="8">
        <v>0.0</v>
      </c>
      <c r="R1248" s="18">
        <f t="shared" si="6"/>
        <v>278.185</v>
      </c>
      <c r="S1248" s="19" t="s">
        <v>29</v>
      </c>
      <c r="T1248" s="19" t="s">
        <v>30</v>
      </c>
      <c r="U1248" s="20"/>
      <c r="V1248" s="37"/>
      <c r="W1248" s="7"/>
      <c r="X1248" s="7"/>
      <c r="Y1248" s="7"/>
      <c r="Z1248" s="7"/>
      <c r="AA1248" s="7"/>
    </row>
    <row r="1249" ht="18.75" customHeight="1">
      <c r="A1249" s="22" t="s">
        <v>1168</v>
      </c>
      <c r="B1249" s="23" t="s">
        <v>1089</v>
      </c>
      <c r="C1249" s="23" t="s">
        <v>1173</v>
      </c>
      <c r="D1249" s="24">
        <v>3030.0</v>
      </c>
      <c r="E1249" s="23" t="s">
        <v>1438</v>
      </c>
      <c r="F1249" s="25" t="s">
        <v>37</v>
      </c>
      <c r="G1249" s="108">
        <v>45532.0</v>
      </c>
      <c r="H1249" s="27">
        <v>2781.85</v>
      </c>
      <c r="I1249" s="28">
        <v>10.0</v>
      </c>
      <c r="J1249" s="29" t="s">
        <v>81</v>
      </c>
      <c r="K1249" s="30">
        <v>0.150000000000001</v>
      </c>
      <c r="L1249" s="31">
        <f t="shared" si="1"/>
        <v>1.5</v>
      </c>
      <c r="M1249" s="31">
        <f t="shared" si="2"/>
        <v>8.5</v>
      </c>
      <c r="N1249" s="32">
        <f t="shared" si="3"/>
        <v>417.2775</v>
      </c>
      <c r="O1249" s="32">
        <f t="shared" si="4"/>
        <v>2364.5725</v>
      </c>
      <c r="P1249" s="32">
        <f t="shared" si="5"/>
        <v>2364.5725</v>
      </c>
      <c r="Q1249" s="22">
        <v>0.0</v>
      </c>
      <c r="R1249" s="32">
        <f t="shared" si="6"/>
        <v>278.185</v>
      </c>
      <c r="S1249" s="33" t="s">
        <v>29</v>
      </c>
      <c r="T1249" s="33" t="s">
        <v>30</v>
      </c>
      <c r="U1249" s="34"/>
      <c r="V1249" s="35"/>
      <c r="W1249" s="7"/>
      <c r="X1249" s="7"/>
      <c r="Y1249" s="7"/>
      <c r="Z1249" s="7"/>
      <c r="AA1249" s="7"/>
    </row>
    <row r="1250" ht="18.75" customHeight="1">
      <c r="A1250" s="8" t="s">
        <v>1168</v>
      </c>
      <c r="B1250" s="9" t="s">
        <v>1089</v>
      </c>
      <c r="C1250" s="9" t="s">
        <v>1173</v>
      </c>
      <c r="D1250" s="10">
        <v>3031.0</v>
      </c>
      <c r="E1250" s="9" t="s">
        <v>1438</v>
      </c>
      <c r="F1250" s="11" t="s">
        <v>37</v>
      </c>
      <c r="G1250" s="73">
        <v>45532.0</v>
      </c>
      <c r="H1250" s="13">
        <v>2781.85</v>
      </c>
      <c r="I1250" s="14">
        <v>10.0</v>
      </c>
      <c r="J1250" s="15" t="s">
        <v>81</v>
      </c>
      <c r="K1250" s="16">
        <v>0.150000000000001</v>
      </c>
      <c r="L1250" s="17">
        <f t="shared" si="1"/>
        <v>1.5</v>
      </c>
      <c r="M1250" s="17">
        <f t="shared" si="2"/>
        <v>8.5</v>
      </c>
      <c r="N1250" s="18">
        <f t="shared" si="3"/>
        <v>417.2775</v>
      </c>
      <c r="O1250" s="18">
        <f t="shared" si="4"/>
        <v>2364.5725</v>
      </c>
      <c r="P1250" s="18">
        <f t="shared" si="5"/>
        <v>2364.5725</v>
      </c>
      <c r="Q1250" s="8">
        <v>0.0</v>
      </c>
      <c r="R1250" s="18">
        <f t="shared" si="6"/>
        <v>278.185</v>
      </c>
      <c r="S1250" s="19" t="s">
        <v>29</v>
      </c>
      <c r="T1250" s="19" t="s">
        <v>30</v>
      </c>
      <c r="U1250" s="20"/>
      <c r="V1250" s="37"/>
      <c r="W1250" s="7"/>
      <c r="X1250" s="7"/>
      <c r="Y1250" s="7"/>
      <c r="Z1250" s="7"/>
      <c r="AA1250" s="7"/>
    </row>
    <row r="1251" ht="18.75" customHeight="1">
      <c r="A1251" s="22" t="s">
        <v>1168</v>
      </c>
      <c r="B1251" s="23" t="s">
        <v>1089</v>
      </c>
      <c r="C1251" s="23" t="s">
        <v>1173</v>
      </c>
      <c r="D1251" s="24">
        <v>3032.0</v>
      </c>
      <c r="E1251" s="23" t="s">
        <v>1438</v>
      </c>
      <c r="F1251" s="25" t="s">
        <v>37</v>
      </c>
      <c r="G1251" s="108">
        <v>45532.0</v>
      </c>
      <c r="H1251" s="27">
        <v>2781.85</v>
      </c>
      <c r="I1251" s="28">
        <v>10.0</v>
      </c>
      <c r="J1251" s="29" t="s">
        <v>81</v>
      </c>
      <c r="K1251" s="30">
        <v>0.150000000000001</v>
      </c>
      <c r="L1251" s="31">
        <f t="shared" si="1"/>
        <v>1.5</v>
      </c>
      <c r="M1251" s="31">
        <f t="shared" si="2"/>
        <v>8.5</v>
      </c>
      <c r="N1251" s="32">
        <f t="shared" si="3"/>
        <v>417.2775</v>
      </c>
      <c r="O1251" s="32">
        <f t="shared" si="4"/>
        <v>2364.5725</v>
      </c>
      <c r="P1251" s="32">
        <f t="shared" si="5"/>
        <v>2364.5725</v>
      </c>
      <c r="Q1251" s="22">
        <v>0.0</v>
      </c>
      <c r="R1251" s="32">
        <f t="shared" si="6"/>
        <v>278.185</v>
      </c>
      <c r="S1251" s="33" t="s">
        <v>29</v>
      </c>
      <c r="T1251" s="33" t="s">
        <v>30</v>
      </c>
      <c r="U1251" s="34"/>
      <c r="V1251" s="35"/>
      <c r="W1251" s="7"/>
      <c r="X1251" s="7"/>
      <c r="Y1251" s="7"/>
      <c r="Z1251" s="7"/>
      <c r="AA1251" s="7"/>
    </row>
    <row r="1252" ht="18.75" customHeight="1">
      <c r="A1252" s="8" t="s">
        <v>1168</v>
      </c>
      <c r="B1252" s="9" t="s">
        <v>1089</v>
      </c>
      <c r="C1252" s="9" t="s">
        <v>1173</v>
      </c>
      <c r="D1252" s="10">
        <v>3033.0</v>
      </c>
      <c r="E1252" s="9" t="s">
        <v>1438</v>
      </c>
      <c r="F1252" s="11" t="s">
        <v>37</v>
      </c>
      <c r="G1252" s="73">
        <v>45532.0</v>
      </c>
      <c r="H1252" s="13">
        <v>2781.85</v>
      </c>
      <c r="I1252" s="14">
        <v>10.0</v>
      </c>
      <c r="J1252" s="15" t="s">
        <v>81</v>
      </c>
      <c r="K1252" s="16">
        <v>0.150000000000001</v>
      </c>
      <c r="L1252" s="17">
        <f t="shared" si="1"/>
        <v>1.5</v>
      </c>
      <c r="M1252" s="17">
        <f t="shared" si="2"/>
        <v>8.5</v>
      </c>
      <c r="N1252" s="18">
        <f t="shared" si="3"/>
        <v>417.2775</v>
      </c>
      <c r="O1252" s="18">
        <f t="shared" si="4"/>
        <v>2364.5725</v>
      </c>
      <c r="P1252" s="18">
        <f t="shared" si="5"/>
        <v>2364.5725</v>
      </c>
      <c r="Q1252" s="8">
        <v>0.0</v>
      </c>
      <c r="R1252" s="18">
        <f t="shared" si="6"/>
        <v>278.185</v>
      </c>
      <c r="S1252" s="19" t="s">
        <v>29</v>
      </c>
      <c r="T1252" s="19" t="s">
        <v>30</v>
      </c>
      <c r="U1252" s="20"/>
      <c r="V1252" s="37"/>
      <c r="W1252" s="7"/>
      <c r="X1252" s="7"/>
      <c r="Y1252" s="7"/>
      <c r="Z1252" s="7"/>
      <c r="AA1252" s="7"/>
    </row>
    <row r="1253" ht="18.75" customHeight="1">
      <c r="A1253" s="22" t="s">
        <v>1168</v>
      </c>
      <c r="B1253" s="23" t="s">
        <v>1089</v>
      </c>
      <c r="C1253" s="23" t="s">
        <v>1173</v>
      </c>
      <c r="D1253" s="24">
        <v>3034.0</v>
      </c>
      <c r="E1253" s="23" t="s">
        <v>1438</v>
      </c>
      <c r="F1253" s="25" t="s">
        <v>37</v>
      </c>
      <c r="G1253" s="108">
        <v>45532.0</v>
      </c>
      <c r="H1253" s="27">
        <v>2781.85</v>
      </c>
      <c r="I1253" s="28">
        <v>10.0</v>
      </c>
      <c r="J1253" s="29" t="s">
        <v>81</v>
      </c>
      <c r="K1253" s="30">
        <v>0.150000000000001</v>
      </c>
      <c r="L1253" s="31">
        <f t="shared" si="1"/>
        <v>1.5</v>
      </c>
      <c r="M1253" s="31">
        <f t="shared" si="2"/>
        <v>8.5</v>
      </c>
      <c r="N1253" s="32">
        <f t="shared" si="3"/>
        <v>417.2775</v>
      </c>
      <c r="O1253" s="32">
        <f t="shared" si="4"/>
        <v>2364.5725</v>
      </c>
      <c r="P1253" s="32">
        <f t="shared" si="5"/>
        <v>2364.5725</v>
      </c>
      <c r="Q1253" s="22">
        <v>0.0</v>
      </c>
      <c r="R1253" s="32">
        <f t="shared" si="6"/>
        <v>278.185</v>
      </c>
      <c r="S1253" s="33" t="s">
        <v>29</v>
      </c>
      <c r="T1253" s="33" t="s">
        <v>30</v>
      </c>
      <c r="U1253" s="34"/>
      <c r="V1253" s="35"/>
      <c r="W1253" s="7"/>
      <c r="X1253" s="7"/>
      <c r="Y1253" s="7"/>
      <c r="Z1253" s="7"/>
      <c r="AA1253" s="7"/>
    </row>
    <row r="1254" ht="18.75" customHeight="1">
      <c r="A1254" s="8" t="s">
        <v>1168</v>
      </c>
      <c r="B1254" s="9" t="s">
        <v>1089</v>
      </c>
      <c r="C1254" s="9" t="s">
        <v>1173</v>
      </c>
      <c r="D1254" s="10">
        <v>3035.0</v>
      </c>
      <c r="E1254" s="9" t="s">
        <v>1438</v>
      </c>
      <c r="F1254" s="11" t="s">
        <v>37</v>
      </c>
      <c r="G1254" s="73">
        <v>45532.0</v>
      </c>
      <c r="H1254" s="13">
        <v>2781.85</v>
      </c>
      <c r="I1254" s="14">
        <v>10.0</v>
      </c>
      <c r="J1254" s="15" t="s">
        <v>81</v>
      </c>
      <c r="K1254" s="16">
        <v>0.150000000000001</v>
      </c>
      <c r="L1254" s="17">
        <f t="shared" si="1"/>
        <v>1.5</v>
      </c>
      <c r="M1254" s="17">
        <f t="shared" si="2"/>
        <v>8.5</v>
      </c>
      <c r="N1254" s="18">
        <f t="shared" si="3"/>
        <v>417.2775</v>
      </c>
      <c r="O1254" s="18">
        <f t="shared" si="4"/>
        <v>2364.5725</v>
      </c>
      <c r="P1254" s="18">
        <f t="shared" si="5"/>
        <v>2364.5725</v>
      </c>
      <c r="Q1254" s="8">
        <v>0.0</v>
      </c>
      <c r="R1254" s="18">
        <f t="shared" si="6"/>
        <v>278.185</v>
      </c>
      <c r="S1254" s="19" t="s">
        <v>29</v>
      </c>
      <c r="T1254" s="19" t="s">
        <v>30</v>
      </c>
      <c r="U1254" s="20"/>
      <c r="V1254" s="37"/>
      <c r="W1254" s="7"/>
      <c r="X1254" s="7"/>
      <c r="Y1254" s="7"/>
      <c r="Z1254" s="7"/>
      <c r="AA1254" s="7"/>
    </row>
    <row r="1255" ht="18.75" customHeight="1">
      <c r="A1255" s="22" t="s">
        <v>1168</v>
      </c>
      <c r="B1255" s="23" t="s">
        <v>1089</v>
      </c>
      <c r="C1255" s="23" t="s">
        <v>1350</v>
      </c>
      <c r="D1255" s="24">
        <v>3036.0</v>
      </c>
      <c r="E1255" s="23" t="s">
        <v>1414</v>
      </c>
      <c r="F1255" s="25" t="s">
        <v>37</v>
      </c>
      <c r="G1255" s="108">
        <v>45532.0</v>
      </c>
      <c r="H1255" s="27">
        <v>2014.8</v>
      </c>
      <c r="I1255" s="28">
        <v>10.0</v>
      </c>
      <c r="J1255" s="29" t="s">
        <v>81</v>
      </c>
      <c r="K1255" s="30">
        <v>0.150000000000001</v>
      </c>
      <c r="L1255" s="31">
        <f t="shared" si="1"/>
        <v>1.5</v>
      </c>
      <c r="M1255" s="31">
        <f t="shared" si="2"/>
        <v>8.5</v>
      </c>
      <c r="N1255" s="32">
        <f t="shared" si="3"/>
        <v>302.22</v>
      </c>
      <c r="O1255" s="32">
        <f t="shared" si="4"/>
        <v>1712.58</v>
      </c>
      <c r="P1255" s="32">
        <f t="shared" si="5"/>
        <v>1712.58</v>
      </c>
      <c r="Q1255" s="22">
        <v>0.0</v>
      </c>
      <c r="R1255" s="32">
        <f t="shared" si="6"/>
        <v>201.48</v>
      </c>
      <c r="S1255" s="33" t="s">
        <v>29</v>
      </c>
      <c r="T1255" s="33" t="s">
        <v>30</v>
      </c>
      <c r="U1255" s="34"/>
      <c r="V1255" s="35"/>
      <c r="W1255" s="7"/>
      <c r="X1255" s="7"/>
      <c r="Y1255" s="7"/>
      <c r="Z1255" s="7"/>
      <c r="AA1255" s="7"/>
    </row>
    <row r="1256" ht="18.75" customHeight="1">
      <c r="A1256" s="8" t="s">
        <v>1168</v>
      </c>
      <c r="B1256" s="9" t="s">
        <v>1089</v>
      </c>
      <c r="C1256" s="9" t="s">
        <v>1350</v>
      </c>
      <c r="D1256" s="10">
        <v>3037.0</v>
      </c>
      <c r="E1256" s="9" t="s">
        <v>1439</v>
      </c>
      <c r="F1256" s="11" t="s">
        <v>37</v>
      </c>
      <c r="G1256" s="73">
        <v>45532.0</v>
      </c>
      <c r="H1256" s="13">
        <v>3624.8</v>
      </c>
      <c r="I1256" s="14">
        <v>10.0</v>
      </c>
      <c r="J1256" s="15" t="s">
        <v>81</v>
      </c>
      <c r="K1256" s="16">
        <v>0.150000000000001</v>
      </c>
      <c r="L1256" s="17">
        <f t="shared" si="1"/>
        <v>1.5</v>
      </c>
      <c r="M1256" s="17">
        <f t="shared" si="2"/>
        <v>8.5</v>
      </c>
      <c r="N1256" s="18">
        <f t="shared" si="3"/>
        <v>543.72</v>
      </c>
      <c r="O1256" s="18">
        <f t="shared" si="4"/>
        <v>3081.08</v>
      </c>
      <c r="P1256" s="18">
        <f t="shared" si="5"/>
        <v>3081.08</v>
      </c>
      <c r="Q1256" s="8">
        <v>0.0</v>
      </c>
      <c r="R1256" s="18">
        <f t="shared" si="6"/>
        <v>362.48</v>
      </c>
      <c r="S1256" s="19" t="s">
        <v>29</v>
      </c>
      <c r="T1256" s="19" t="s">
        <v>30</v>
      </c>
      <c r="U1256" s="20"/>
      <c r="V1256" s="37"/>
      <c r="W1256" s="7"/>
      <c r="X1256" s="7"/>
      <c r="Y1256" s="7"/>
      <c r="Z1256" s="7"/>
      <c r="AA1256" s="7"/>
    </row>
    <row r="1257" ht="18.75" customHeight="1">
      <c r="A1257" s="22" t="s">
        <v>1168</v>
      </c>
      <c r="B1257" s="23" t="s">
        <v>1089</v>
      </c>
      <c r="C1257" s="23" t="s">
        <v>1350</v>
      </c>
      <c r="D1257" s="24">
        <v>3038.0</v>
      </c>
      <c r="E1257" s="23" t="s">
        <v>1439</v>
      </c>
      <c r="F1257" s="25" t="s">
        <v>37</v>
      </c>
      <c r="G1257" s="108">
        <v>45532.0</v>
      </c>
      <c r="H1257" s="27">
        <v>3624.8</v>
      </c>
      <c r="I1257" s="28">
        <v>10.0</v>
      </c>
      <c r="J1257" s="29" t="s">
        <v>81</v>
      </c>
      <c r="K1257" s="30">
        <v>0.150000000000001</v>
      </c>
      <c r="L1257" s="31">
        <f t="shared" si="1"/>
        <v>1.5</v>
      </c>
      <c r="M1257" s="31">
        <f t="shared" si="2"/>
        <v>8.5</v>
      </c>
      <c r="N1257" s="32">
        <f t="shared" si="3"/>
        <v>543.72</v>
      </c>
      <c r="O1257" s="32">
        <f t="shared" si="4"/>
        <v>3081.08</v>
      </c>
      <c r="P1257" s="32">
        <f t="shared" si="5"/>
        <v>3081.08</v>
      </c>
      <c r="Q1257" s="22">
        <v>0.0</v>
      </c>
      <c r="R1257" s="32">
        <f t="shared" si="6"/>
        <v>362.48</v>
      </c>
      <c r="S1257" s="33" t="s">
        <v>29</v>
      </c>
      <c r="T1257" s="33" t="s">
        <v>30</v>
      </c>
      <c r="U1257" s="34"/>
      <c r="V1257" s="35"/>
      <c r="W1257" s="7"/>
      <c r="X1257" s="7"/>
      <c r="Y1257" s="7"/>
      <c r="Z1257" s="7"/>
      <c r="AA1257" s="7"/>
    </row>
    <row r="1258" ht="18.75" customHeight="1">
      <c r="A1258" s="8" t="s">
        <v>1168</v>
      </c>
      <c r="B1258" s="9" t="s">
        <v>1089</v>
      </c>
      <c r="C1258" s="9" t="s">
        <v>1350</v>
      </c>
      <c r="D1258" s="10">
        <v>3039.0</v>
      </c>
      <c r="E1258" s="9" t="s">
        <v>1439</v>
      </c>
      <c r="F1258" s="11" t="s">
        <v>37</v>
      </c>
      <c r="G1258" s="73">
        <v>45532.0</v>
      </c>
      <c r="H1258" s="13">
        <v>3624.8</v>
      </c>
      <c r="I1258" s="14">
        <v>10.0</v>
      </c>
      <c r="J1258" s="15" t="s">
        <v>81</v>
      </c>
      <c r="K1258" s="16">
        <v>0.150000000000001</v>
      </c>
      <c r="L1258" s="17">
        <f t="shared" si="1"/>
        <v>1.5</v>
      </c>
      <c r="M1258" s="17">
        <f t="shared" si="2"/>
        <v>8.5</v>
      </c>
      <c r="N1258" s="18">
        <f t="shared" si="3"/>
        <v>543.72</v>
      </c>
      <c r="O1258" s="18">
        <f t="shared" si="4"/>
        <v>3081.08</v>
      </c>
      <c r="P1258" s="18">
        <f t="shared" si="5"/>
        <v>3081.08</v>
      </c>
      <c r="Q1258" s="8">
        <v>0.0</v>
      </c>
      <c r="R1258" s="18">
        <f t="shared" si="6"/>
        <v>362.48</v>
      </c>
      <c r="S1258" s="19" t="s">
        <v>29</v>
      </c>
      <c r="T1258" s="19" t="s">
        <v>30</v>
      </c>
      <c r="U1258" s="20"/>
      <c r="V1258" s="37"/>
      <c r="W1258" s="7"/>
      <c r="X1258" s="7"/>
      <c r="Y1258" s="7"/>
      <c r="Z1258" s="7"/>
      <c r="AA1258" s="7"/>
    </row>
    <row r="1259" ht="18.75" customHeight="1">
      <c r="A1259" s="22" t="s">
        <v>1168</v>
      </c>
      <c r="B1259" s="23" t="s">
        <v>1089</v>
      </c>
      <c r="C1259" s="23" t="s">
        <v>1350</v>
      </c>
      <c r="D1259" s="24">
        <v>3040.0</v>
      </c>
      <c r="E1259" s="23" t="s">
        <v>1439</v>
      </c>
      <c r="F1259" s="25" t="s">
        <v>37</v>
      </c>
      <c r="G1259" s="108">
        <v>45532.0</v>
      </c>
      <c r="H1259" s="27">
        <v>3624.8</v>
      </c>
      <c r="I1259" s="28">
        <v>10.0</v>
      </c>
      <c r="J1259" s="29" t="s">
        <v>81</v>
      </c>
      <c r="K1259" s="30">
        <v>0.150000000000001</v>
      </c>
      <c r="L1259" s="31">
        <f t="shared" si="1"/>
        <v>1.5</v>
      </c>
      <c r="M1259" s="31">
        <f t="shared" si="2"/>
        <v>8.5</v>
      </c>
      <c r="N1259" s="32">
        <f t="shared" si="3"/>
        <v>543.72</v>
      </c>
      <c r="O1259" s="32">
        <f t="shared" si="4"/>
        <v>3081.08</v>
      </c>
      <c r="P1259" s="32">
        <f t="shared" si="5"/>
        <v>3081.08</v>
      </c>
      <c r="Q1259" s="22">
        <v>0.0</v>
      </c>
      <c r="R1259" s="32">
        <f t="shared" si="6"/>
        <v>362.48</v>
      </c>
      <c r="S1259" s="33" t="s">
        <v>29</v>
      </c>
      <c r="T1259" s="33" t="s">
        <v>30</v>
      </c>
      <c r="U1259" s="34"/>
      <c r="V1259" s="35"/>
      <c r="W1259" s="7"/>
      <c r="X1259" s="7"/>
      <c r="Y1259" s="7"/>
      <c r="Z1259" s="7"/>
      <c r="AA1259" s="7"/>
    </row>
    <row r="1260" ht="18.75" customHeight="1">
      <c r="A1260" s="8" t="s">
        <v>1168</v>
      </c>
      <c r="B1260" s="9" t="s">
        <v>1089</v>
      </c>
      <c r="C1260" s="9" t="s">
        <v>1265</v>
      </c>
      <c r="D1260" s="10">
        <v>3041.0</v>
      </c>
      <c r="E1260" s="9" t="s">
        <v>1432</v>
      </c>
      <c r="F1260" s="11" t="s">
        <v>37</v>
      </c>
      <c r="G1260" s="73">
        <v>45532.0</v>
      </c>
      <c r="H1260" s="13">
        <v>6533.63</v>
      </c>
      <c r="I1260" s="14">
        <v>10.0</v>
      </c>
      <c r="J1260" s="15" t="s">
        <v>81</v>
      </c>
      <c r="K1260" s="16">
        <v>0.150000000000001</v>
      </c>
      <c r="L1260" s="17">
        <f t="shared" si="1"/>
        <v>1.5</v>
      </c>
      <c r="M1260" s="17">
        <f t="shared" si="2"/>
        <v>8.5</v>
      </c>
      <c r="N1260" s="18">
        <f t="shared" si="3"/>
        <v>980.0445</v>
      </c>
      <c r="O1260" s="18">
        <f t="shared" si="4"/>
        <v>5553.5855</v>
      </c>
      <c r="P1260" s="18">
        <f t="shared" si="5"/>
        <v>5553.5855</v>
      </c>
      <c r="Q1260" s="8">
        <v>0.0</v>
      </c>
      <c r="R1260" s="18">
        <f t="shared" si="6"/>
        <v>653.363</v>
      </c>
      <c r="S1260" s="19" t="s">
        <v>29</v>
      </c>
      <c r="T1260" s="19" t="s">
        <v>30</v>
      </c>
      <c r="U1260" s="20"/>
      <c r="V1260" s="37"/>
      <c r="W1260" s="7"/>
      <c r="X1260" s="7"/>
      <c r="Y1260" s="7"/>
      <c r="Z1260" s="7"/>
      <c r="AA1260" s="7"/>
    </row>
    <row r="1261" ht="18.75" customHeight="1">
      <c r="A1261" s="22" t="s">
        <v>1168</v>
      </c>
      <c r="B1261" s="23" t="s">
        <v>1089</v>
      </c>
      <c r="C1261" s="23" t="s">
        <v>1265</v>
      </c>
      <c r="D1261" s="24">
        <v>3042.0</v>
      </c>
      <c r="E1261" s="23" t="s">
        <v>1438</v>
      </c>
      <c r="F1261" s="25" t="s">
        <v>37</v>
      </c>
      <c r="G1261" s="108">
        <v>45532.0</v>
      </c>
      <c r="H1261" s="27">
        <v>2781.85</v>
      </c>
      <c r="I1261" s="28">
        <v>10.0</v>
      </c>
      <c r="J1261" s="29" t="s">
        <v>81</v>
      </c>
      <c r="K1261" s="30">
        <v>0.150000000000001</v>
      </c>
      <c r="L1261" s="31">
        <f t="shared" si="1"/>
        <v>1.5</v>
      </c>
      <c r="M1261" s="31">
        <f t="shared" si="2"/>
        <v>8.5</v>
      </c>
      <c r="N1261" s="32">
        <f t="shared" si="3"/>
        <v>417.2775</v>
      </c>
      <c r="O1261" s="32">
        <f t="shared" si="4"/>
        <v>2364.5725</v>
      </c>
      <c r="P1261" s="32">
        <f t="shared" si="5"/>
        <v>2364.5725</v>
      </c>
      <c r="Q1261" s="22">
        <v>0.0</v>
      </c>
      <c r="R1261" s="32">
        <f t="shared" si="6"/>
        <v>278.185</v>
      </c>
      <c r="S1261" s="33" t="s">
        <v>29</v>
      </c>
      <c r="T1261" s="33" t="s">
        <v>30</v>
      </c>
      <c r="U1261" s="34"/>
      <c r="V1261" s="35"/>
      <c r="W1261" s="7"/>
      <c r="X1261" s="7"/>
      <c r="Y1261" s="7"/>
      <c r="Z1261" s="7"/>
      <c r="AA1261" s="7"/>
    </row>
    <row r="1262" ht="18.75" customHeight="1">
      <c r="A1262" s="8" t="s">
        <v>1168</v>
      </c>
      <c r="B1262" s="9" t="s">
        <v>1089</v>
      </c>
      <c r="C1262" s="9" t="s">
        <v>1265</v>
      </c>
      <c r="D1262" s="10">
        <v>3043.0</v>
      </c>
      <c r="E1262" s="9" t="s">
        <v>1440</v>
      </c>
      <c r="F1262" s="11" t="s">
        <v>37</v>
      </c>
      <c r="G1262" s="73">
        <v>45532.0</v>
      </c>
      <c r="H1262" s="13">
        <v>2186.15</v>
      </c>
      <c r="I1262" s="14">
        <v>10.0</v>
      </c>
      <c r="J1262" s="15" t="s">
        <v>81</v>
      </c>
      <c r="K1262" s="16">
        <v>0.150000000000001</v>
      </c>
      <c r="L1262" s="17">
        <f t="shared" si="1"/>
        <v>1.5</v>
      </c>
      <c r="M1262" s="17">
        <f t="shared" si="2"/>
        <v>8.5</v>
      </c>
      <c r="N1262" s="18">
        <f t="shared" si="3"/>
        <v>327.9225</v>
      </c>
      <c r="O1262" s="18">
        <f t="shared" si="4"/>
        <v>1858.2275</v>
      </c>
      <c r="P1262" s="18">
        <f t="shared" si="5"/>
        <v>1858.2275</v>
      </c>
      <c r="Q1262" s="8">
        <v>0.0</v>
      </c>
      <c r="R1262" s="18">
        <f t="shared" si="6"/>
        <v>218.615</v>
      </c>
      <c r="S1262" s="19" t="s">
        <v>29</v>
      </c>
      <c r="T1262" s="19" t="s">
        <v>30</v>
      </c>
      <c r="U1262" s="20"/>
      <c r="V1262" s="37"/>
      <c r="W1262" s="7"/>
      <c r="X1262" s="7"/>
      <c r="Y1262" s="7"/>
      <c r="Z1262" s="7"/>
      <c r="AA1262" s="7"/>
    </row>
    <row r="1263" ht="18.75" customHeight="1">
      <c r="A1263" s="22" t="s">
        <v>1168</v>
      </c>
      <c r="B1263" s="23" t="s">
        <v>1089</v>
      </c>
      <c r="C1263" s="23" t="s">
        <v>1265</v>
      </c>
      <c r="D1263" s="24">
        <v>3044.0</v>
      </c>
      <c r="E1263" s="23" t="s">
        <v>1440</v>
      </c>
      <c r="F1263" s="25" t="s">
        <v>37</v>
      </c>
      <c r="G1263" s="108">
        <v>45532.0</v>
      </c>
      <c r="H1263" s="27">
        <v>2186.15</v>
      </c>
      <c r="I1263" s="28">
        <v>10.0</v>
      </c>
      <c r="J1263" s="29" t="s">
        <v>81</v>
      </c>
      <c r="K1263" s="30">
        <v>0.150000000000001</v>
      </c>
      <c r="L1263" s="31">
        <f t="shared" si="1"/>
        <v>1.5</v>
      </c>
      <c r="M1263" s="31">
        <f t="shared" si="2"/>
        <v>8.5</v>
      </c>
      <c r="N1263" s="32">
        <f t="shared" si="3"/>
        <v>327.9225</v>
      </c>
      <c r="O1263" s="32">
        <f t="shared" si="4"/>
        <v>1858.2275</v>
      </c>
      <c r="P1263" s="32">
        <f t="shared" si="5"/>
        <v>1858.2275</v>
      </c>
      <c r="Q1263" s="22">
        <v>0.0</v>
      </c>
      <c r="R1263" s="32">
        <f t="shared" si="6"/>
        <v>218.615</v>
      </c>
      <c r="S1263" s="33" t="s">
        <v>29</v>
      </c>
      <c r="T1263" s="33" t="s">
        <v>30</v>
      </c>
      <c r="U1263" s="34"/>
      <c r="V1263" s="35"/>
      <c r="W1263" s="7"/>
      <c r="X1263" s="7"/>
      <c r="Y1263" s="7"/>
      <c r="Z1263" s="7"/>
      <c r="AA1263" s="7"/>
    </row>
    <row r="1264" ht="18.75" customHeight="1">
      <c r="A1264" s="8" t="s">
        <v>1168</v>
      </c>
      <c r="B1264" s="9" t="s">
        <v>1089</v>
      </c>
      <c r="C1264" s="9" t="s">
        <v>1214</v>
      </c>
      <c r="D1264" s="10">
        <v>3045.0</v>
      </c>
      <c r="E1264" s="9" t="s">
        <v>1433</v>
      </c>
      <c r="F1264" s="11" t="s">
        <v>37</v>
      </c>
      <c r="G1264" s="73">
        <v>45532.0</v>
      </c>
      <c r="H1264" s="13">
        <v>3039.85</v>
      </c>
      <c r="I1264" s="14">
        <v>10.0</v>
      </c>
      <c r="J1264" s="15" t="s">
        <v>81</v>
      </c>
      <c r="K1264" s="16">
        <v>0.150000000000001</v>
      </c>
      <c r="L1264" s="17">
        <f t="shared" si="1"/>
        <v>1.5</v>
      </c>
      <c r="M1264" s="17">
        <f t="shared" si="2"/>
        <v>8.5</v>
      </c>
      <c r="N1264" s="18">
        <f t="shared" si="3"/>
        <v>455.9775</v>
      </c>
      <c r="O1264" s="18">
        <f t="shared" si="4"/>
        <v>2583.8725</v>
      </c>
      <c r="P1264" s="18">
        <f t="shared" si="5"/>
        <v>2583.8725</v>
      </c>
      <c r="Q1264" s="8">
        <v>0.0</v>
      </c>
      <c r="R1264" s="18">
        <f t="shared" si="6"/>
        <v>303.985</v>
      </c>
      <c r="S1264" s="19" t="s">
        <v>29</v>
      </c>
      <c r="T1264" s="19" t="s">
        <v>30</v>
      </c>
      <c r="U1264" s="20"/>
      <c r="V1264" s="37"/>
      <c r="W1264" s="7"/>
      <c r="X1264" s="7"/>
      <c r="Y1264" s="7"/>
      <c r="Z1264" s="7"/>
      <c r="AA1264" s="7"/>
    </row>
    <row r="1265" ht="18.75" customHeight="1">
      <c r="A1265" s="22" t="s">
        <v>1168</v>
      </c>
      <c r="B1265" s="23" t="s">
        <v>1089</v>
      </c>
      <c r="C1265" s="23" t="s">
        <v>1214</v>
      </c>
      <c r="D1265" s="24">
        <v>3046.0</v>
      </c>
      <c r="E1265" s="23" t="s">
        <v>1433</v>
      </c>
      <c r="F1265" s="25" t="s">
        <v>37</v>
      </c>
      <c r="G1265" s="108">
        <v>45532.0</v>
      </c>
      <c r="H1265" s="27">
        <v>3039.85</v>
      </c>
      <c r="I1265" s="28">
        <v>10.0</v>
      </c>
      <c r="J1265" s="29" t="s">
        <v>81</v>
      </c>
      <c r="K1265" s="30">
        <v>0.150000000000001</v>
      </c>
      <c r="L1265" s="31">
        <f t="shared" si="1"/>
        <v>1.5</v>
      </c>
      <c r="M1265" s="31">
        <f t="shared" si="2"/>
        <v>8.5</v>
      </c>
      <c r="N1265" s="32">
        <f t="shared" si="3"/>
        <v>455.9775</v>
      </c>
      <c r="O1265" s="32">
        <f t="shared" si="4"/>
        <v>2583.8725</v>
      </c>
      <c r="P1265" s="32">
        <f t="shared" si="5"/>
        <v>2583.8725</v>
      </c>
      <c r="Q1265" s="22">
        <v>0.0</v>
      </c>
      <c r="R1265" s="32">
        <f t="shared" si="6"/>
        <v>303.985</v>
      </c>
      <c r="S1265" s="33" t="s">
        <v>29</v>
      </c>
      <c r="T1265" s="33" t="s">
        <v>30</v>
      </c>
      <c r="U1265" s="34"/>
      <c r="V1265" s="35"/>
      <c r="W1265" s="7"/>
      <c r="X1265" s="7"/>
      <c r="Y1265" s="7"/>
      <c r="Z1265" s="7"/>
      <c r="AA1265" s="7"/>
    </row>
    <row r="1266" ht="18.75" customHeight="1">
      <c r="A1266" s="8" t="s">
        <v>1168</v>
      </c>
      <c r="B1266" s="9" t="s">
        <v>1089</v>
      </c>
      <c r="C1266" s="9" t="s">
        <v>1214</v>
      </c>
      <c r="D1266" s="10">
        <v>3047.0</v>
      </c>
      <c r="E1266" s="9" t="s">
        <v>1433</v>
      </c>
      <c r="F1266" s="11" t="s">
        <v>37</v>
      </c>
      <c r="G1266" s="73">
        <v>45532.0</v>
      </c>
      <c r="H1266" s="13">
        <v>3039.85</v>
      </c>
      <c r="I1266" s="14">
        <v>10.0</v>
      </c>
      <c r="J1266" s="15" t="s">
        <v>81</v>
      </c>
      <c r="K1266" s="16">
        <v>0.150000000000001</v>
      </c>
      <c r="L1266" s="17">
        <f t="shared" si="1"/>
        <v>1.5</v>
      </c>
      <c r="M1266" s="17">
        <f t="shared" si="2"/>
        <v>8.5</v>
      </c>
      <c r="N1266" s="18">
        <f t="shared" si="3"/>
        <v>455.9775</v>
      </c>
      <c r="O1266" s="18">
        <f t="shared" si="4"/>
        <v>2583.8725</v>
      </c>
      <c r="P1266" s="18">
        <f t="shared" si="5"/>
        <v>2583.8725</v>
      </c>
      <c r="Q1266" s="8">
        <v>0.0</v>
      </c>
      <c r="R1266" s="18">
        <f t="shared" si="6"/>
        <v>303.985</v>
      </c>
      <c r="S1266" s="19" t="s">
        <v>29</v>
      </c>
      <c r="T1266" s="19" t="s">
        <v>30</v>
      </c>
      <c r="U1266" s="20"/>
      <c r="V1266" s="37"/>
      <c r="W1266" s="7"/>
      <c r="X1266" s="7"/>
      <c r="Y1266" s="7"/>
      <c r="Z1266" s="7"/>
      <c r="AA1266" s="7"/>
    </row>
    <row r="1267" ht="18.75" customHeight="1">
      <c r="A1267" s="22" t="s">
        <v>1168</v>
      </c>
      <c r="B1267" s="23" t="s">
        <v>1089</v>
      </c>
      <c r="C1267" s="23" t="s">
        <v>1214</v>
      </c>
      <c r="D1267" s="24">
        <v>3048.0</v>
      </c>
      <c r="E1267" s="23" t="s">
        <v>1434</v>
      </c>
      <c r="F1267" s="25" t="s">
        <v>37</v>
      </c>
      <c r="G1267" s="108">
        <v>45535.0</v>
      </c>
      <c r="H1267" s="27">
        <v>1707.18</v>
      </c>
      <c r="I1267" s="28">
        <v>10.0</v>
      </c>
      <c r="J1267" s="29" t="s">
        <v>81</v>
      </c>
      <c r="K1267" s="30">
        <v>0.150000000000001</v>
      </c>
      <c r="L1267" s="31">
        <f t="shared" si="1"/>
        <v>1.5</v>
      </c>
      <c r="M1267" s="31">
        <f t="shared" si="2"/>
        <v>8.5</v>
      </c>
      <c r="N1267" s="32">
        <f t="shared" si="3"/>
        <v>256.077</v>
      </c>
      <c r="O1267" s="32">
        <f t="shared" si="4"/>
        <v>1451.103</v>
      </c>
      <c r="P1267" s="32">
        <f t="shared" si="5"/>
        <v>1451.103</v>
      </c>
      <c r="Q1267" s="22">
        <v>0.0</v>
      </c>
      <c r="R1267" s="32">
        <f t="shared" si="6"/>
        <v>170.718</v>
      </c>
      <c r="S1267" s="33" t="s">
        <v>29</v>
      </c>
      <c r="T1267" s="33" t="s">
        <v>30</v>
      </c>
      <c r="U1267" s="34"/>
      <c r="V1267" s="35"/>
      <c r="W1267" s="7"/>
      <c r="X1267" s="7"/>
      <c r="Y1267" s="7"/>
      <c r="Z1267" s="7"/>
      <c r="AA1267" s="7"/>
    </row>
    <row r="1268" ht="18.75" customHeight="1">
      <c r="A1268" s="8" t="s">
        <v>1168</v>
      </c>
      <c r="B1268" s="9" t="s">
        <v>1089</v>
      </c>
      <c r="C1268" s="9" t="s">
        <v>1214</v>
      </c>
      <c r="D1268" s="10">
        <v>3049.0</v>
      </c>
      <c r="E1268" s="9" t="s">
        <v>1434</v>
      </c>
      <c r="F1268" s="11" t="s">
        <v>37</v>
      </c>
      <c r="G1268" s="73">
        <v>45536.0</v>
      </c>
      <c r="H1268" s="13">
        <v>1707.18</v>
      </c>
      <c r="I1268" s="14">
        <v>10.0</v>
      </c>
      <c r="J1268" s="15" t="s">
        <v>81</v>
      </c>
      <c r="K1268" s="16">
        <v>0.150000000000002</v>
      </c>
      <c r="L1268" s="17">
        <f t="shared" si="1"/>
        <v>1.5</v>
      </c>
      <c r="M1268" s="17">
        <f t="shared" si="2"/>
        <v>8.5</v>
      </c>
      <c r="N1268" s="18">
        <f t="shared" si="3"/>
        <v>256.077</v>
      </c>
      <c r="O1268" s="18">
        <f t="shared" si="4"/>
        <v>1451.103</v>
      </c>
      <c r="P1268" s="18">
        <f t="shared" si="5"/>
        <v>1451.103</v>
      </c>
      <c r="Q1268" s="8">
        <v>0.0</v>
      </c>
      <c r="R1268" s="18">
        <f t="shared" si="6"/>
        <v>170.718</v>
      </c>
      <c r="S1268" s="19" t="s">
        <v>29</v>
      </c>
      <c r="T1268" s="19" t="s">
        <v>30</v>
      </c>
      <c r="U1268" s="20"/>
      <c r="V1268" s="37"/>
      <c r="W1268" s="7"/>
      <c r="X1268" s="7"/>
      <c r="Y1268" s="7"/>
      <c r="Z1268" s="7"/>
      <c r="AA1268" s="7"/>
    </row>
    <row r="1269" ht="18.75" customHeight="1">
      <c r="A1269" s="22" t="s">
        <v>1168</v>
      </c>
      <c r="B1269" s="23" t="s">
        <v>1089</v>
      </c>
      <c r="C1269" s="23" t="s">
        <v>1214</v>
      </c>
      <c r="D1269" s="24">
        <v>3050.0</v>
      </c>
      <c r="E1269" s="23" t="s">
        <v>1434</v>
      </c>
      <c r="F1269" s="25" t="s">
        <v>37</v>
      </c>
      <c r="G1269" s="108">
        <v>45537.0</v>
      </c>
      <c r="H1269" s="27">
        <v>1707.18</v>
      </c>
      <c r="I1269" s="28">
        <v>10.0</v>
      </c>
      <c r="J1269" s="29" t="s">
        <v>81</v>
      </c>
      <c r="K1269" s="30">
        <v>0.150000000000002</v>
      </c>
      <c r="L1269" s="31">
        <f t="shared" si="1"/>
        <v>1.5</v>
      </c>
      <c r="M1269" s="31">
        <f t="shared" si="2"/>
        <v>8.5</v>
      </c>
      <c r="N1269" s="32">
        <f t="shared" si="3"/>
        <v>256.077</v>
      </c>
      <c r="O1269" s="32">
        <f t="shared" si="4"/>
        <v>1451.103</v>
      </c>
      <c r="P1269" s="32">
        <f t="shared" si="5"/>
        <v>1451.103</v>
      </c>
      <c r="Q1269" s="22">
        <v>0.0</v>
      </c>
      <c r="R1269" s="32">
        <f t="shared" si="6"/>
        <v>170.718</v>
      </c>
      <c r="S1269" s="33" t="s">
        <v>29</v>
      </c>
      <c r="T1269" s="33" t="s">
        <v>30</v>
      </c>
      <c r="U1269" s="34"/>
      <c r="V1269" s="35"/>
      <c r="W1269" s="7"/>
      <c r="X1269" s="7"/>
      <c r="Y1269" s="7"/>
      <c r="Z1269" s="7"/>
      <c r="AA1269" s="7"/>
    </row>
    <row r="1270" ht="18.75" customHeight="1">
      <c r="A1270" s="8" t="s">
        <v>1168</v>
      </c>
      <c r="B1270" s="9" t="s">
        <v>1089</v>
      </c>
      <c r="C1270" s="9" t="s">
        <v>1214</v>
      </c>
      <c r="D1270" s="10">
        <v>3053.0</v>
      </c>
      <c r="E1270" s="9" t="s">
        <v>1414</v>
      </c>
      <c r="F1270" s="11" t="s">
        <v>37</v>
      </c>
      <c r="G1270" s="73">
        <v>45532.0</v>
      </c>
      <c r="H1270" s="13">
        <v>2014.8</v>
      </c>
      <c r="I1270" s="14">
        <v>10.0</v>
      </c>
      <c r="J1270" s="15" t="s">
        <v>81</v>
      </c>
      <c r="K1270" s="16">
        <v>0.150000000000002</v>
      </c>
      <c r="L1270" s="17">
        <f t="shared" si="1"/>
        <v>1.5</v>
      </c>
      <c r="M1270" s="17">
        <f t="shared" si="2"/>
        <v>8.5</v>
      </c>
      <c r="N1270" s="18">
        <f t="shared" si="3"/>
        <v>302.22</v>
      </c>
      <c r="O1270" s="18">
        <f t="shared" si="4"/>
        <v>1712.58</v>
      </c>
      <c r="P1270" s="18">
        <f t="shared" si="5"/>
        <v>1712.58</v>
      </c>
      <c r="Q1270" s="8">
        <v>0.0</v>
      </c>
      <c r="R1270" s="18">
        <f t="shared" si="6"/>
        <v>201.48</v>
      </c>
      <c r="S1270" s="19" t="s">
        <v>29</v>
      </c>
      <c r="T1270" s="19" t="s">
        <v>30</v>
      </c>
      <c r="U1270" s="20"/>
      <c r="V1270" s="37"/>
      <c r="W1270" s="7"/>
      <c r="X1270" s="7"/>
      <c r="Y1270" s="7"/>
      <c r="Z1270" s="7"/>
      <c r="AA1270" s="7"/>
    </row>
    <row r="1271" ht="18.75" customHeight="1">
      <c r="A1271" s="22" t="s">
        <v>1168</v>
      </c>
      <c r="B1271" s="23" t="s">
        <v>1180</v>
      </c>
      <c r="C1271" s="23" t="s">
        <v>1181</v>
      </c>
      <c r="D1271" s="24">
        <v>3054.0</v>
      </c>
      <c r="E1271" s="23" t="s">
        <v>1441</v>
      </c>
      <c r="F1271" s="25" t="s">
        <v>37</v>
      </c>
      <c r="G1271" s="108">
        <v>45532.0</v>
      </c>
      <c r="H1271" s="27">
        <v>5252.09</v>
      </c>
      <c r="I1271" s="28">
        <v>10.0</v>
      </c>
      <c r="J1271" s="29" t="s">
        <v>81</v>
      </c>
      <c r="K1271" s="30">
        <v>0.150000000000002</v>
      </c>
      <c r="L1271" s="31">
        <f t="shared" si="1"/>
        <v>1.5</v>
      </c>
      <c r="M1271" s="31">
        <f t="shared" si="2"/>
        <v>8.5</v>
      </c>
      <c r="N1271" s="32">
        <f t="shared" si="3"/>
        <v>787.8135</v>
      </c>
      <c r="O1271" s="32">
        <f t="shared" si="4"/>
        <v>4464.2765</v>
      </c>
      <c r="P1271" s="32">
        <f t="shared" si="5"/>
        <v>4464.2765</v>
      </c>
      <c r="Q1271" s="22">
        <v>0.0</v>
      </c>
      <c r="R1271" s="32">
        <f t="shared" si="6"/>
        <v>525.209</v>
      </c>
      <c r="S1271" s="33" t="s">
        <v>29</v>
      </c>
      <c r="T1271" s="33" t="s">
        <v>30</v>
      </c>
      <c r="U1271" s="34"/>
      <c r="V1271" s="35"/>
      <c r="W1271" s="7"/>
      <c r="X1271" s="7"/>
      <c r="Y1271" s="7"/>
      <c r="Z1271" s="7"/>
      <c r="AA1271" s="7"/>
    </row>
    <row r="1272" ht="18.75" customHeight="1">
      <c r="A1272" s="8" t="s">
        <v>1168</v>
      </c>
      <c r="B1272" s="9" t="s">
        <v>1180</v>
      </c>
      <c r="C1272" s="9" t="s">
        <v>1181</v>
      </c>
      <c r="D1272" s="10">
        <v>3055.0</v>
      </c>
      <c r="E1272" s="9" t="s">
        <v>1438</v>
      </c>
      <c r="F1272" s="11" t="s">
        <v>37</v>
      </c>
      <c r="G1272" s="73">
        <v>45532.0</v>
      </c>
      <c r="H1272" s="13">
        <v>2781.85</v>
      </c>
      <c r="I1272" s="14">
        <v>10.0</v>
      </c>
      <c r="J1272" s="15" t="s">
        <v>81</v>
      </c>
      <c r="K1272" s="16">
        <v>0.150000000000002</v>
      </c>
      <c r="L1272" s="17">
        <f t="shared" si="1"/>
        <v>1.5</v>
      </c>
      <c r="M1272" s="17">
        <f t="shared" si="2"/>
        <v>8.5</v>
      </c>
      <c r="N1272" s="18">
        <f t="shared" si="3"/>
        <v>417.2775</v>
      </c>
      <c r="O1272" s="18">
        <f t="shared" si="4"/>
        <v>2364.5725</v>
      </c>
      <c r="P1272" s="18">
        <f t="shared" si="5"/>
        <v>2364.5725</v>
      </c>
      <c r="Q1272" s="8">
        <v>0.0</v>
      </c>
      <c r="R1272" s="18">
        <f t="shared" si="6"/>
        <v>278.185</v>
      </c>
      <c r="S1272" s="19" t="s">
        <v>29</v>
      </c>
      <c r="T1272" s="19" t="s">
        <v>30</v>
      </c>
      <c r="U1272" s="20"/>
      <c r="V1272" s="37"/>
      <c r="W1272" s="7"/>
      <c r="X1272" s="7"/>
      <c r="Y1272" s="7"/>
      <c r="Z1272" s="7"/>
      <c r="AA1272" s="7"/>
    </row>
    <row r="1273" ht="18.75" customHeight="1">
      <c r="A1273" s="22" t="s">
        <v>1168</v>
      </c>
      <c r="B1273" s="23" t="s">
        <v>1180</v>
      </c>
      <c r="C1273" s="23" t="s">
        <v>1181</v>
      </c>
      <c r="D1273" s="24">
        <v>3056.0</v>
      </c>
      <c r="E1273" s="23" t="s">
        <v>1438</v>
      </c>
      <c r="F1273" s="25" t="s">
        <v>37</v>
      </c>
      <c r="G1273" s="108">
        <v>45532.0</v>
      </c>
      <c r="H1273" s="27">
        <v>2781.85</v>
      </c>
      <c r="I1273" s="28">
        <v>10.0</v>
      </c>
      <c r="J1273" s="29" t="s">
        <v>81</v>
      </c>
      <c r="K1273" s="30">
        <v>0.150000000000002</v>
      </c>
      <c r="L1273" s="31">
        <f t="shared" si="1"/>
        <v>1.5</v>
      </c>
      <c r="M1273" s="31">
        <f t="shared" si="2"/>
        <v>8.5</v>
      </c>
      <c r="N1273" s="32">
        <f t="shared" si="3"/>
        <v>417.2775</v>
      </c>
      <c r="O1273" s="32">
        <f t="shared" si="4"/>
        <v>2364.5725</v>
      </c>
      <c r="P1273" s="32">
        <f t="shared" si="5"/>
        <v>2364.5725</v>
      </c>
      <c r="Q1273" s="22">
        <v>0.0</v>
      </c>
      <c r="R1273" s="32">
        <f t="shared" si="6"/>
        <v>278.185</v>
      </c>
      <c r="S1273" s="33" t="s">
        <v>29</v>
      </c>
      <c r="T1273" s="33" t="s">
        <v>30</v>
      </c>
      <c r="U1273" s="34"/>
      <c r="V1273" s="35"/>
      <c r="W1273" s="7"/>
      <c r="X1273" s="7"/>
      <c r="Y1273" s="7"/>
      <c r="Z1273" s="7"/>
      <c r="AA1273" s="7"/>
    </row>
    <row r="1274" ht="18.75" customHeight="1">
      <c r="A1274" s="8" t="s">
        <v>1168</v>
      </c>
      <c r="B1274" s="9" t="s">
        <v>1180</v>
      </c>
      <c r="C1274" s="9" t="s">
        <v>1181</v>
      </c>
      <c r="D1274" s="10">
        <v>3057.0</v>
      </c>
      <c r="E1274" s="9" t="s">
        <v>1438</v>
      </c>
      <c r="F1274" s="11" t="s">
        <v>37</v>
      </c>
      <c r="G1274" s="73">
        <v>45532.0</v>
      </c>
      <c r="H1274" s="13">
        <v>2781.85</v>
      </c>
      <c r="I1274" s="14">
        <v>10.0</v>
      </c>
      <c r="J1274" s="15" t="s">
        <v>81</v>
      </c>
      <c r="K1274" s="16">
        <v>0.150000000000002</v>
      </c>
      <c r="L1274" s="17">
        <f t="shared" si="1"/>
        <v>1.5</v>
      </c>
      <c r="M1274" s="17">
        <f t="shared" si="2"/>
        <v>8.5</v>
      </c>
      <c r="N1274" s="18">
        <f t="shared" si="3"/>
        <v>417.2775</v>
      </c>
      <c r="O1274" s="18">
        <f t="shared" si="4"/>
        <v>2364.5725</v>
      </c>
      <c r="P1274" s="18">
        <f t="shared" si="5"/>
        <v>2364.5725</v>
      </c>
      <c r="Q1274" s="8">
        <v>0.0</v>
      </c>
      <c r="R1274" s="18">
        <f t="shared" si="6"/>
        <v>278.185</v>
      </c>
      <c r="S1274" s="19" t="s">
        <v>29</v>
      </c>
      <c r="T1274" s="19" t="s">
        <v>30</v>
      </c>
      <c r="U1274" s="20"/>
      <c r="V1274" s="37"/>
      <c r="W1274" s="7"/>
      <c r="X1274" s="7"/>
      <c r="Y1274" s="7"/>
      <c r="Z1274" s="7"/>
      <c r="AA1274" s="7"/>
    </row>
    <row r="1275" ht="18.75" customHeight="1">
      <c r="A1275" s="22" t="s">
        <v>1168</v>
      </c>
      <c r="B1275" s="23" t="s">
        <v>1180</v>
      </c>
      <c r="C1275" s="23" t="s">
        <v>1181</v>
      </c>
      <c r="D1275" s="24">
        <v>3058.0</v>
      </c>
      <c r="E1275" s="23" t="s">
        <v>1438</v>
      </c>
      <c r="F1275" s="25" t="s">
        <v>37</v>
      </c>
      <c r="G1275" s="108">
        <v>45532.0</v>
      </c>
      <c r="H1275" s="27">
        <v>2781.85</v>
      </c>
      <c r="I1275" s="28">
        <v>10.0</v>
      </c>
      <c r="J1275" s="29" t="s">
        <v>81</v>
      </c>
      <c r="K1275" s="30">
        <v>0.150000000000002</v>
      </c>
      <c r="L1275" s="31">
        <f t="shared" si="1"/>
        <v>1.5</v>
      </c>
      <c r="M1275" s="31">
        <f t="shared" si="2"/>
        <v>8.5</v>
      </c>
      <c r="N1275" s="32">
        <f t="shared" si="3"/>
        <v>417.2775</v>
      </c>
      <c r="O1275" s="32">
        <f t="shared" si="4"/>
        <v>2364.5725</v>
      </c>
      <c r="P1275" s="32">
        <f t="shared" si="5"/>
        <v>2364.5725</v>
      </c>
      <c r="Q1275" s="22">
        <v>0.0</v>
      </c>
      <c r="R1275" s="32">
        <f t="shared" si="6"/>
        <v>278.185</v>
      </c>
      <c r="S1275" s="33" t="s">
        <v>29</v>
      </c>
      <c r="T1275" s="33" t="s">
        <v>30</v>
      </c>
      <c r="U1275" s="34"/>
      <c r="V1275" s="35"/>
      <c r="W1275" s="7"/>
      <c r="X1275" s="7"/>
      <c r="Y1275" s="7"/>
      <c r="Z1275" s="7"/>
      <c r="AA1275" s="7"/>
    </row>
    <row r="1276" ht="18.75" customHeight="1">
      <c r="A1276" s="8" t="s">
        <v>1168</v>
      </c>
      <c r="B1276" s="9" t="s">
        <v>1180</v>
      </c>
      <c r="C1276" s="9" t="s">
        <v>1181</v>
      </c>
      <c r="D1276" s="10">
        <v>3059.0</v>
      </c>
      <c r="E1276" s="9" t="s">
        <v>1442</v>
      </c>
      <c r="F1276" s="11" t="s">
        <v>37</v>
      </c>
      <c r="G1276" s="73">
        <v>45532.0</v>
      </c>
      <c r="H1276" s="13">
        <v>6843.4</v>
      </c>
      <c r="I1276" s="14">
        <v>10.0</v>
      </c>
      <c r="J1276" s="15" t="s">
        <v>81</v>
      </c>
      <c r="K1276" s="16">
        <v>0.150000000000002</v>
      </c>
      <c r="L1276" s="17">
        <f t="shared" si="1"/>
        <v>1.5</v>
      </c>
      <c r="M1276" s="17">
        <f t="shared" si="2"/>
        <v>8.5</v>
      </c>
      <c r="N1276" s="18">
        <f t="shared" si="3"/>
        <v>1026.51</v>
      </c>
      <c r="O1276" s="18">
        <f t="shared" si="4"/>
        <v>5816.89</v>
      </c>
      <c r="P1276" s="18">
        <f t="shared" si="5"/>
        <v>5816.89</v>
      </c>
      <c r="Q1276" s="8">
        <v>0.0</v>
      </c>
      <c r="R1276" s="18">
        <f t="shared" si="6"/>
        <v>684.34</v>
      </c>
      <c r="S1276" s="19" t="s">
        <v>29</v>
      </c>
      <c r="T1276" s="19" t="s">
        <v>30</v>
      </c>
      <c r="U1276" s="20"/>
      <c r="V1276" s="37">
        <v>2842.0</v>
      </c>
      <c r="W1276" s="7"/>
      <c r="X1276" s="7"/>
      <c r="Y1276" s="7"/>
      <c r="Z1276" s="7"/>
      <c r="AA1276" s="7"/>
    </row>
    <row r="1277" ht="18.75" customHeight="1">
      <c r="A1277" s="22" t="s">
        <v>1168</v>
      </c>
      <c r="B1277" s="23" t="s">
        <v>1180</v>
      </c>
      <c r="C1277" s="23" t="s">
        <v>1181</v>
      </c>
      <c r="D1277" s="24">
        <v>3060.0</v>
      </c>
      <c r="E1277" s="23" t="s">
        <v>1443</v>
      </c>
      <c r="F1277" s="25" t="s">
        <v>37</v>
      </c>
      <c r="G1277" s="108">
        <v>45532.0</v>
      </c>
      <c r="H1277" s="27">
        <v>3624.8</v>
      </c>
      <c r="I1277" s="28">
        <v>10.0</v>
      </c>
      <c r="J1277" s="29" t="s">
        <v>81</v>
      </c>
      <c r="K1277" s="30">
        <v>0.150000000000002</v>
      </c>
      <c r="L1277" s="31">
        <f t="shared" si="1"/>
        <v>1.5</v>
      </c>
      <c r="M1277" s="31">
        <f t="shared" si="2"/>
        <v>8.5</v>
      </c>
      <c r="N1277" s="32">
        <f t="shared" si="3"/>
        <v>543.72</v>
      </c>
      <c r="O1277" s="32">
        <f t="shared" si="4"/>
        <v>3081.08</v>
      </c>
      <c r="P1277" s="32">
        <f t="shared" si="5"/>
        <v>3081.08</v>
      </c>
      <c r="Q1277" s="22">
        <v>0.0</v>
      </c>
      <c r="R1277" s="32">
        <f t="shared" si="6"/>
        <v>362.48</v>
      </c>
      <c r="S1277" s="33" t="s">
        <v>29</v>
      </c>
      <c r="T1277" s="33" t="s">
        <v>30</v>
      </c>
      <c r="U1277" s="34"/>
      <c r="V1277" s="35"/>
      <c r="W1277" s="7"/>
      <c r="X1277" s="7"/>
      <c r="Y1277" s="7"/>
      <c r="Z1277" s="7"/>
      <c r="AA1277" s="7"/>
    </row>
    <row r="1278" ht="18.75" customHeight="1">
      <c r="A1278" s="8" t="s">
        <v>1168</v>
      </c>
      <c r="B1278" s="9" t="s">
        <v>1180</v>
      </c>
      <c r="C1278" s="9" t="s">
        <v>1181</v>
      </c>
      <c r="D1278" s="10">
        <v>3061.0</v>
      </c>
      <c r="E1278" s="9" t="s">
        <v>1443</v>
      </c>
      <c r="F1278" s="11" t="s">
        <v>37</v>
      </c>
      <c r="G1278" s="73">
        <v>45532.0</v>
      </c>
      <c r="H1278" s="13">
        <v>3624.8</v>
      </c>
      <c r="I1278" s="14">
        <v>10.0</v>
      </c>
      <c r="J1278" s="15" t="s">
        <v>81</v>
      </c>
      <c r="K1278" s="16">
        <v>0.150000000000002</v>
      </c>
      <c r="L1278" s="17">
        <f t="shared" si="1"/>
        <v>1.5</v>
      </c>
      <c r="M1278" s="17">
        <f t="shared" si="2"/>
        <v>8.5</v>
      </c>
      <c r="N1278" s="18">
        <f t="shared" si="3"/>
        <v>543.72</v>
      </c>
      <c r="O1278" s="18">
        <f t="shared" si="4"/>
        <v>3081.08</v>
      </c>
      <c r="P1278" s="18">
        <f t="shared" si="5"/>
        <v>3081.08</v>
      </c>
      <c r="Q1278" s="8">
        <v>0.0</v>
      </c>
      <c r="R1278" s="18">
        <f t="shared" si="6"/>
        <v>362.48</v>
      </c>
      <c r="S1278" s="19" t="s">
        <v>29</v>
      </c>
      <c r="T1278" s="19" t="s">
        <v>30</v>
      </c>
      <c r="U1278" s="20"/>
      <c r="V1278" s="37"/>
      <c r="W1278" s="7"/>
      <c r="X1278" s="7"/>
      <c r="Y1278" s="7"/>
      <c r="Z1278" s="7"/>
      <c r="AA1278" s="7"/>
    </row>
    <row r="1279" ht="18.75" customHeight="1">
      <c r="A1279" s="22" t="s">
        <v>1168</v>
      </c>
      <c r="B1279" s="23" t="s">
        <v>1180</v>
      </c>
      <c r="C1279" s="23" t="s">
        <v>1181</v>
      </c>
      <c r="D1279" s="24">
        <v>3062.0</v>
      </c>
      <c r="E1279" s="23" t="s">
        <v>1430</v>
      </c>
      <c r="F1279" s="25" t="s">
        <v>37</v>
      </c>
      <c r="G1279" s="108">
        <v>45532.0</v>
      </c>
      <c r="H1279" s="27">
        <v>2562.76</v>
      </c>
      <c r="I1279" s="28">
        <v>10.0</v>
      </c>
      <c r="J1279" s="29" t="s">
        <v>81</v>
      </c>
      <c r="K1279" s="30">
        <v>0.150000000000002</v>
      </c>
      <c r="L1279" s="31">
        <f t="shared" si="1"/>
        <v>1.5</v>
      </c>
      <c r="M1279" s="31">
        <f t="shared" si="2"/>
        <v>8.5</v>
      </c>
      <c r="N1279" s="32">
        <f t="shared" si="3"/>
        <v>384.414</v>
      </c>
      <c r="O1279" s="32">
        <f t="shared" si="4"/>
        <v>2178.346</v>
      </c>
      <c r="P1279" s="32">
        <f t="shared" si="5"/>
        <v>2178.346</v>
      </c>
      <c r="Q1279" s="22">
        <v>0.0</v>
      </c>
      <c r="R1279" s="32">
        <f t="shared" si="6"/>
        <v>256.276</v>
      </c>
      <c r="S1279" s="33" t="s">
        <v>29</v>
      </c>
      <c r="T1279" s="33" t="s">
        <v>30</v>
      </c>
      <c r="U1279" s="34"/>
      <c r="V1279" s="35"/>
      <c r="W1279" s="7"/>
      <c r="X1279" s="7"/>
      <c r="Y1279" s="7"/>
      <c r="Z1279" s="7"/>
      <c r="AA1279" s="7"/>
    </row>
    <row r="1280" ht="18.75" customHeight="1">
      <c r="A1280" s="8" t="s">
        <v>1168</v>
      </c>
      <c r="B1280" s="9" t="s">
        <v>1201</v>
      </c>
      <c r="C1280" s="9" t="s">
        <v>626</v>
      </c>
      <c r="D1280" s="10">
        <v>3063.0</v>
      </c>
      <c r="E1280" s="9" t="s">
        <v>1432</v>
      </c>
      <c r="F1280" s="11" t="s">
        <v>37</v>
      </c>
      <c r="G1280" s="73">
        <v>45532.0</v>
      </c>
      <c r="H1280" s="13">
        <v>6533.63</v>
      </c>
      <c r="I1280" s="14">
        <v>10.0</v>
      </c>
      <c r="J1280" s="15" t="s">
        <v>81</v>
      </c>
      <c r="K1280" s="16">
        <v>0.150000000000002</v>
      </c>
      <c r="L1280" s="17">
        <f t="shared" si="1"/>
        <v>1.5</v>
      </c>
      <c r="M1280" s="17">
        <f t="shared" si="2"/>
        <v>8.5</v>
      </c>
      <c r="N1280" s="18">
        <f t="shared" si="3"/>
        <v>980.0445</v>
      </c>
      <c r="O1280" s="18">
        <f t="shared" si="4"/>
        <v>5553.5855</v>
      </c>
      <c r="P1280" s="18">
        <f t="shared" si="5"/>
        <v>5553.5855</v>
      </c>
      <c r="Q1280" s="8">
        <v>0.0</v>
      </c>
      <c r="R1280" s="18">
        <f t="shared" si="6"/>
        <v>653.363</v>
      </c>
      <c r="S1280" s="19" t="s">
        <v>29</v>
      </c>
      <c r="T1280" s="19" t="s">
        <v>30</v>
      </c>
      <c r="U1280" s="20"/>
      <c r="V1280" s="37"/>
      <c r="W1280" s="7"/>
      <c r="X1280" s="7"/>
      <c r="Y1280" s="7"/>
      <c r="Z1280" s="7"/>
      <c r="AA1280" s="7"/>
    </row>
    <row r="1281" ht="18.75" customHeight="1">
      <c r="A1281" s="22" t="s">
        <v>1168</v>
      </c>
      <c r="B1281" s="23" t="s">
        <v>1201</v>
      </c>
      <c r="C1281" s="23" t="s">
        <v>626</v>
      </c>
      <c r="D1281" s="24">
        <v>3064.0</v>
      </c>
      <c r="E1281" s="23" t="s">
        <v>1432</v>
      </c>
      <c r="F1281" s="25" t="s">
        <v>37</v>
      </c>
      <c r="G1281" s="108">
        <v>45532.0</v>
      </c>
      <c r="H1281" s="27">
        <v>6533.63</v>
      </c>
      <c r="I1281" s="28">
        <v>10.0</v>
      </c>
      <c r="J1281" s="29" t="s">
        <v>81</v>
      </c>
      <c r="K1281" s="30">
        <v>0.150000000000002</v>
      </c>
      <c r="L1281" s="31">
        <f t="shared" si="1"/>
        <v>1.5</v>
      </c>
      <c r="M1281" s="31">
        <f t="shared" si="2"/>
        <v>8.5</v>
      </c>
      <c r="N1281" s="32">
        <f t="shared" si="3"/>
        <v>980.0445</v>
      </c>
      <c r="O1281" s="32">
        <f t="shared" si="4"/>
        <v>5553.5855</v>
      </c>
      <c r="P1281" s="32">
        <f t="shared" si="5"/>
        <v>5553.5855</v>
      </c>
      <c r="Q1281" s="22">
        <v>0.0</v>
      </c>
      <c r="R1281" s="32">
        <f t="shared" si="6"/>
        <v>653.363</v>
      </c>
      <c r="S1281" s="33" t="s">
        <v>29</v>
      </c>
      <c r="T1281" s="33" t="s">
        <v>30</v>
      </c>
      <c r="U1281" s="34"/>
      <c r="V1281" s="35"/>
      <c r="W1281" s="7"/>
      <c r="X1281" s="7"/>
      <c r="Y1281" s="7"/>
      <c r="Z1281" s="7"/>
      <c r="AA1281" s="7"/>
    </row>
    <row r="1282" ht="18.75" customHeight="1">
      <c r="A1282" s="8" t="s">
        <v>1168</v>
      </c>
      <c r="B1282" s="9" t="s">
        <v>1201</v>
      </c>
      <c r="C1282" s="9" t="s">
        <v>626</v>
      </c>
      <c r="D1282" s="10">
        <v>3065.0</v>
      </c>
      <c r="E1282" s="9" t="s">
        <v>1414</v>
      </c>
      <c r="F1282" s="11" t="s">
        <v>37</v>
      </c>
      <c r="G1282" s="73">
        <v>45532.0</v>
      </c>
      <c r="H1282" s="13">
        <v>2014.8</v>
      </c>
      <c r="I1282" s="14">
        <v>10.0</v>
      </c>
      <c r="J1282" s="15" t="s">
        <v>81</v>
      </c>
      <c r="K1282" s="16">
        <v>0.150000000000002</v>
      </c>
      <c r="L1282" s="17">
        <f t="shared" si="1"/>
        <v>1.5</v>
      </c>
      <c r="M1282" s="17">
        <f t="shared" si="2"/>
        <v>8.5</v>
      </c>
      <c r="N1282" s="18">
        <f t="shared" si="3"/>
        <v>302.22</v>
      </c>
      <c r="O1282" s="18">
        <f t="shared" si="4"/>
        <v>1712.58</v>
      </c>
      <c r="P1282" s="18">
        <f t="shared" si="5"/>
        <v>1712.58</v>
      </c>
      <c r="Q1282" s="8">
        <v>0.0</v>
      </c>
      <c r="R1282" s="18">
        <f t="shared" si="6"/>
        <v>201.48</v>
      </c>
      <c r="S1282" s="19" t="s">
        <v>29</v>
      </c>
      <c r="T1282" s="19" t="s">
        <v>30</v>
      </c>
      <c r="U1282" s="20"/>
      <c r="V1282" s="37"/>
      <c r="W1282" s="7"/>
      <c r="X1282" s="7"/>
      <c r="Y1282" s="7"/>
      <c r="Z1282" s="7"/>
      <c r="AA1282" s="7"/>
    </row>
    <row r="1283" ht="18.75" customHeight="1">
      <c r="A1283" s="22" t="s">
        <v>1168</v>
      </c>
      <c r="B1283" s="23" t="s">
        <v>1201</v>
      </c>
      <c r="C1283" s="23" t="s">
        <v>626</v>
      </c>
      <c r="D1283" s="24">
        <v>3066.0</v>
      </c>
      <c r="E1283" s="23" t="s">
        <v>1414</v>
      </c>
      <c r="F1283" s="25" t="s">
        <v>37</v>
      </c>
      <c r="G1283" s="108">
        <v>45532.0</v>
      </c>
      <c r="H1283" s="27">
        <v>2014.8</v>
      </c>
      <c r="I1283" s="28">
        <v>10.0</v>
      </c>
      <c r="J1283" s="29" t="s">
        <v>81</v>
      </c>
      <c r="K1283" s="30">
        <v>0.150000000000002</v>
      </c>
      <c r="L1283" s="31">
        <f t="shared" si="1"/>
        <v>1.5</v>
      </c>
      <c r="M1283" s="31">
        <f t="shared" si="2"/>
        <v>8.5</v>
      </c>
      <c r="N1283" s="32">
        <f t="shared" si="3"/>
        <v>302.22</v>
      </c>
      <c r="O1283" s="32">
        <f t="shared" si="4"/>
        <v>1712.58</v>
      </c>
      <c r="P1283" s="32">
        <f t="shared" si="5"/>
        <v>1712.58</v>
      </c>
      <c r="Q1283" s="22">
        <v>0.0</v>
      </c>
      <c r="R1283" s="32">
        <f t="shared" si="6"/>
        <v>201.48</v>
      </c>
      <c r="S1283" s="33" t="s">
        <v>29</v>
      </c>
      <c r="T1283" s="33" t="s">
        <v>30</v>
      </c>
      <c r="U1283" s="34"/>
      <c r="V1283" s="35"/>
      <c r="W1283" s="7"/>
      <c r="X1283" s="7"/>
      <c r="Y1283" s="7"/>
      <c r="Z1283" s="7"/>
      <c r="AA1283" s="7"/>
    </row>
    <row r="1284" ht="18.75" customHeight="1">
      <c r="A1284" s="8" t="s">
        <v>1168</v>
      </c>
      <c r="B1284" s="9" t="s">
        <v>1201</v>
      </c>
      <c r="C1284" s="9" t="s">
        <v>626</v>
      </c>
      <c r="D1284" s="10">
        <v>3067.0</v>
      </c>
      <c r="E1284" s="9" t="s">
        <v>1444</v>
      </c>
      <c r="F1284" s="11" t="s">
        <v>37</v>
      </c>
      <c r="G1284" s="73">
        <v>45532.0</v>
      </c>
      <c r="H1284" s="13">
        <v>492.2</v>
      </c>
      <c r="I1284" s="14">
        <v>10.0</v>
      </c>
      <c r="J1284" s="15" t="s">
        <v>81</v>
      </c>
      <c r="K1284" s="16">
        <v>0.150000000000002</v>
      </c>
      <c r="L1284" s="17">
        <f t="shared" si="1"/>
        <v>1.5</v>
      </c>
      <c r="M1284" s="17">
        <f t="shared" si="2"/>
        <v>8.5</v>
      </c>
      <c r="N1284" s="18">
        <f t="shared" si="3"/>
        <v>73.83</v>
      </c>
      <c r="O1284" s="18">
        <f t="shared" si="4"/>
        <v>418.37</v>
      </c>
      <c r="P1284" s="18">
        <f t="shared" si="5"/>
        <v>418.37</v>
      </c>
      <c r="Q1284" s="8">
        <v>0.0</v>
      </c>
      <c r="R1284" s="18">
        <f t="shared" si="6"/>
        <v>49.22</v>
      </c>
      <c r="S1284" s="19" t="s">
        <v>29</v>
      </c>
      <c r="T1284" s="19" t="s">
        <v>30</v>
      </c>
      <c r="U1284" s="20"/>
      <c r="V1284" s="37"/>
      <c r="W1284" s="7"/>
      <c r="X1284" s="7"/>
      <c r="Y1284" s="7"/>
      <c r="Z1284" s="7"/>
      <c r="AA1284" s="7"/>
    </row>
    <row r="1285" ht="18.75" customHeight="1">
      <c r="A1285" s="22" t="s">
        <v>1168</v>
      </c>
      <c r="B1285" s="23" t="s">
        <v>1201</v>
      </c>
      <c r="C1285" s="23" t="s">
        <v>626</v>
      </c>
      <c r="D1285" s="24">
        <v>3068.0</v>
      </c>
      <c r="E1285" s="23" t="s">
        <v>1444</v>
      </c>
      <c r="F1285" s="25" t="s">
        <v>37</v>
      </c>
      <c r="G1285" s="108">
        <v>45532.0</v>
      </c>
      <c r="H1285" s="27">
        <v>492.2</v>
      </c>
      <c r="I1285" s="28">
        <v>10.0</v>
      </c>
      <c r="J1285" s="29" t="s">
        <v>81</v>
      </c>
      <c r="K1285" s="30">
        <v>0.150000000000002</v>
      </c>
      <c r="L1285" s="31">
        <f t="shared" si="1"/>
        <v>1.5</v>
      </c>
      <c r="M1285" s="31">
        <f t="shared" si="2"/>
        <v>8.5</v>
      </c>
      <c r="N1285" s="32">
        <f t="shared" si="3"/>
        <v>73.83</v>
      </c>
      <c r="O1285" s="32">
        <f t="shared" si="4"/>
        <v>418.37</v>
      </c>
      <c r="P1285" s="32">
        <f t="shared" si="5"/>
        <v>418.37</v>
      </c>
      <c r="Q1285" s="22">
        <v>0.0</v>
      </c>
      <c r="R1285" s="32">
        <f t="shared" si="6"/>
        <v>49.22</v>
      </c>
      <c r="S1285" s="33" t="s">
        <v>29</v>
      </c>
      <c r="T1285" s="33" t="s">
        <v>30</v>
      </c>
      <c r="U1285" s="34"/>
      <c r="V1285" s="35"/>
      <c r="W1285" s="7"/>
      <c r="X1285" s="7"/>
      <c r="Y1285" s="7"/>
      <c r="Z1285" s="7"/>
      <c r="AA1285" s="7"/>
    </row>
    <row r="1286" ht="18.75" customHeight="1">
      <c r="A1286" s="8" t="s">
        <v>1168</v>
      </c>
      <c r="B1286" s="9" t="s">
        <v>1201</v>
      </c>
      <c r="C1286" s="9" t="s">
        <v>626</v>
      </c>
      <c r="D1286" s="10">
        <v>3069.0</v>
      </c>
      <c r="E1286" s="9" t="s">
        <v>1432</v>
      </c>
      <c r="F1286" s="11" t="s">
        <v>37</v>
      </c>
      <c r="G1286" s="73">
        <v>45532.0</v>
      </c>
      <c r="H1286" s="13">
        <v>6533.63</v>
      </c>
      <c r="I1286" s="14">
        <v>10.0</v>
      </c>
      <c r="J1286" s="15" t="s">
        <v>81</v>
      </c>
      <c r="K1286" s="16">
        <v>0.150000000000002</v>
      </c>
      <c r="L1286" s="17">
        <f t="shared" si="1"/>
        <v>1.5</v>
      </c>
      <c r="M1286" s="17">
        <f t="shared" si="2"/>
        <v>8.5</v>
      </c>
      <c r="N1286" s="18">
        <f t="shared" si="3"/>
        <v>980.0445</v>
      </c>
      <c r="O1286" s="18">
        <f t="shared" si="4"/>
        <v>5553.5855</v>
      </c>
      <c r="P1286" s="18">
        <f t="shared" si="5"/>
        <v>5553.5855</v>
      </c>
      <c r="Q1286" s="8">
        <v>0.0</v>
      </c>
      <c r="R1286" s="18">
        <f t="shared" si="6"/>
        <v>653.363</v>
      </c>
      <c r="S1286" s="19" t="s">
        <v>29</v>
      </c>
      <c r="T1286" s="19" t="s">
        <v>30</v>
      </c>
      <c r="U1286" s="20"/>
      <c r="V1286" s="37"/>
      <c r="W1286" s="7"/>
      <c r="X1286" s="7"/>
      <c r="Y1286" s="7"/>
      <c r="Z1286" s="7"/>
      <c r="AA1286" s="7"/>
    </row>
    <row r="1287" ht="18.75" customHeight="1">
      <c r="A1287" s="22" t="s">
        <v>1168</v>
      </c>
      <c r="B1287" s="23" t="s">
        <v>1201</v>
      </c>
      <c r="C1287" s="23" t="s">
        <v>626</v>
      </c>
      <c r="D1287" s="24">
        <v>3070.0</v>
      </c>
      <c r="E1287" s="23" t="s">
        <v>1445</v>
      </c>
      <c r="F1287" s="25" t="s">
        <v>37</v>
      </c>
      <c r="G1287" s="108">
        <v>45532.0</v>
      </c>
      <c r="H1287" s="27">
        <v>2781.85</v>
      </c>
      <c r="I1287" s="28">
        <v>10.0</v>
      </c>
      <c r="J1287" s="29" t="s">
        <v>81</v>
      </c>
      <c r="K1287" s="30">
        <v>0.150000000000002</v>
      </c>
      <c r="L1287" s="31">
        <f t="shared" si="1"/>
        <v>1.5</v>
      </c>
      <c r="M1287" s="31">
        <f t="shared" si="2"/>
        <v>8.5</v>
      </c>
      <c r="N1287" s="32">
        <f t="shared" si="3"/>
        <v>417.2775</v>
      </c>
      <c r="O1287" s="32">
        <f t="shared" si="4"/>
        <v>2364.5725</v>
      </c>
      <c r="P1287" s="32">
        <f t="shared" si="5"/>
        <v>2364.5725</v>
      </c>
      <c r="Q1287" s="22">
        <v>0.0</v>
      </c>
      <c r="R1287" s="32">
        <f t="shared" si="6"/>
        <v>278.185</v>
      </c>
      <c r="S1287" s="33" t="s">
        <v>29</v>
      </c>
      <c r="T1287" s="33" t="s">
        <v>30</v>
      </c>
      <c r="U1287" s="34"/>
      <c r="V1287" s="35"/>
      <c r="W1287" s="7"/>
      <c r="X1287" s="7"/>
      <c r="Y1287" s="7"/>
      <c r="Z1287" s="7"/>
      <c r="AA1287" s="7"/>
    </row>
    <row r="1288" ht="18.75" customHeight="1">
      <c r="A1288" s="8" t="s">
        <v>1168</v>
      </c>
      <c r="B1288" s="9" t="s">
        <v>1201</v>
      </c>
      <c r="C1288" s="9" t="s">
        <v>626</v>
      </c>
      <c r="D1288" s="10">
        <v>3071.0</v>
      </c>
      <c r="E1288" s="9" t="s">
        <v>1433</v>
      </c>
      <c r="F1288" s="11" t="s">
        <v>37</v>
      </c>
      <c r="G1288" s="73">
        <v>45532.0</v>
      </c>
      <c r="H1288" s="13">
        <v>3039.85</v>
      </c>
      <c r="I1288" s="14">
        <v>10.0</v>
      </c>
      <c r="J1288" s="15" t="s">
        <v>81</v>
      </c>
      <c r="K1288" s="16">
        <v>0.150000000000002</v>
      </c>
      <c r="L1288" s="17">
        <f t="shared" si="1"/>
        <v>1.5</v>
      </c>
      <c r="M1288" s="17">
        <f t="shared" si="2"/>
        <v>8.5</v>
      </c>
      <c r="N1288" s="18">
        <f t="shared" si="3"/>
        <v>455.9775</v>
      </c>
      <c r="O1288" s="18">
        <f t="shared" si="4"/>
        <v>2583.8725</v>
      </c>
      <c r="P1288" s="18">
        <f t="shared" si="5"/>
        <v>2583.8725</v>
      </c>
      <c r="Q1288" s="8">
        <v>0.0</v>
      </c>
      <c r="R1288" s="18">
        <f t="shared" si="6"/>
        <v>303.985</v>
      </c>
      <c r="S1288" s="19" t="s">
        <v>29</v>
      </c>
      <c r="T1288" s="19" t="s">
        <v>30</v>
      </c>
      <c r="U1288" s="20"/>
      <c r="V1288" s="37"/>
      <c r="W1288" s="7"/>
      <c r="X1288" s="7"/>
      <c r="Y1288" s="7"/>
      <c r="Z1288" s="7"/>
      <c r="AA1288" s="7"/>
    </row>
    <row r="1289" ht="18.75" customHeight="1">
      <c r="A1289" s="22" t="s">
        <v>1168</v>
      </c>
      <c r="B1289" s="23" t="s">
        <v>1201</v>
      </c>
      <c r="C1289" s="23" t="s">
        <v>626</v>
      </c>
      <c r="D1289" s="24">
        <v>3072.0</v>
      </c>
      <c r="E1289" s="23" t="s">
        <v>1414</v>
      </c>
      <c r="F1289" s="25" t="s">
        <v>37</v>
      </c>
      <c r="G1289" s="108">
        <v>45532.0</v>
      </c>
      <c r="H1289" s="27">
        <v>2014.8</v>
      </c>
      <c r="I1289" s="28">
        <v>10.0</v>
      </c>
      <c r="J1289" s="29" t="s">
        <v>81</v>
      </c>
      <c r="K1289" s="30">
        <v>0.150000000000002</v>
      </c>
      <c r="L1289" s="31">
        <f t="shared" si="1"/>
        <v>1.5</v>
      </c>
      <c r="M1289" s="31">
        <f t="shared" si="2"/>
        <v>8.5</v>
      </c>
      <c r="N1289" s="32">
        <f t="shared" si="3"/>
        <v>302.22</v>
      </c>
      <c r="O1289" s="32">
        <f t="shared" si="4"/>
        <v>1712.58</v>
      </c>
      <c r="P1289" s="32">
        <f t="shared" si="5"/>
        <v>1712.58</v>
      </c>
      <c r="Q1289" s="22">
        <v>0.0</v>
      </c>
      <c r="R1289" s="32">
        <f t="shared" si="6"/>
        <v>201.48</v>
      </c>
      <c r="S1289" s="33" t="s">
        <v>29</v>
      </c>
      <c r="T1289" s="33" t="s">
        <v>30</v>
      </c>
      <c r="U1289" s="34"/>
      <c r="V1289" s="35"/>
      <c r="W1289" s="7"/>
      <c r="X1289" s="7"/>
      <c r="Y1289" s="7"/>
      <c r="Z1289" s="7"/>
      <c r="AA1289" s="7"/>
    </row>
    <row r="1290" ht="18.75" customHeight="1">
      <c r="A1290" s="8" t="s">
        <v>1168</v>
      </c>
      <c r="B1290" s="9" t="s">
        <v>1191</v>
      </c>
      <c r="C1290" s="9" t="s">
        <v>1192</v>
      </c>
      <c r="D1290" s="10">
        <v>3073.0</v>
      </c>
      <c r="E1290" s="9" t="s">
        <v>1433</v>
      </c>
      <c r="F1290" s="11" t="s">
        <v>37</v>
      </c>
      <c r="G1290" s="73">
        <v>45532.0</v>
      </c>
      <c r="H1290" s="13">
        <v>3039.85</v>
      </c>
      <c r="I1290" s="14">
        <v>10.0</v>
      </c>
      <c r="J1290" s="15" t="s">
        <v>81</v>
      </c>
      <c r="K1290" s="16">
        <v>0.150000000000002</v>
      </c>
      <c r="L1290" s="17">
        <f t="shared" si="1"/>
        <v>1.5</v>
      </c>
      <c r="M1290" s="17">
        <f t="shared" si="2"/>
        <v>8.5</v>
      </c>
      <c r="N1290" s="18">
        <f t="shared" si="3"/>
        <v>455.9775</v>
      </c>
      <c r="O1290" s="18">
        <f t="shared" si="4"/>
        <v>2583.8725</v>
      </c>
      <c r="P1290" s="18">
        <f t="shared" si="5"/>
        <v>2583.8725</v>
      </c>
      <c r="Q1290" s="8">
        <v>0.0</v>
      </c>
      <c r="R1290" s="18">
        <f t="shared" si="6"/>
        <v>303.985</v>
      </c>
      <c r="S1290" s="19" t="s">
        <v>29</v>
      </c>
      <c r="T1290" s="19" t="s">
        <v>30</v>
      </c>
      <c r="U1290" s="20"/>
      <c r="V1290" s="37"/>
      <c r="W1290" s="7"/>
      <c r="X1290" s="7"/>
      <c r="Y1290" s="7"/>
      <c r="Z1290" s="7"/>
      <c r="AA1290" s="7"/>
    </row>
    <row r="1291" ht="18.75" customHeight="1">
      <c r="A1291" s="22" t="s">
        <v>1168</v>
      </c>
      <c r="B1291" s="23" t="s">
        <v>1191</v>
      </c>
      <c r="C1291" s="23" t="s">
        <v>1192</v>
      </c>
      <c r="D1291" s="24">
        <v>3074.0</v>
      </c>
      <c r="E1291" s="23" t="s">
        <v>1433</v>
      </c>
      <c r="F1291" s="25" t="s">
        <v>37</v>
      </c>
      <c r="G1291" s="108">
        <v>45532.0</v>
      </c>
      <c r="H1291" s="27">
        <v>3039.85</v>
      </c>
      <c r="I1291" s="28">
        <v>10.0</v>
      </c>
      <c r="J1291" s="29" t="s">
        <v>81</v>
      </c>
      <c r="K1291" s="30">
        <v>0.150000000000002</v>
      </c>
      <c r="L1291" s="31">
        <f t="shared" si="1"/>
        <v>1.5</v>
      </c>
      <c r="M1291" s="31">
        <f t="shared" si="2"/>
        <v>8.5</v>
      </c>
      <c r="N1291" s="32">
        <f t="shared" si="3"/>
        <v>455.9775</v>
      </c>
      <c r="O1291" s="32">
        <f t="shared" si="4"/>
        <v>2583.8725</v>
      </c>
      <c r="P1291" s="32">
        <f t="shared" si="5"/>
        <v>2583.8725</v>
      </c>
      <c r="Q1291" s="22">
        <v>0.0</v>
      </c>
      <c r="R1291" s="32">
        <f t="shared" si="6"/>
        <v>303.985</v>
      </c>
      <c r="S1291" s="33" t="s">
        <v>29</v>
      </c>
      <c r="T1291" s="33" t="s">
        <v>30</v>
      </c>
      <c r="U1291" s="34"/>
      <c r="V1291" s="35"/>
      <c r="W1291" s="7"/>
      <c r="X1291" s="7"/>
      <c r="Y1291" s="7"/>
      <c r="Z1291" s="7"/>
      <c r="AA1291" s="7"/>
    </row>
    <row r="1292" ht="18.75" customHeight="1">
      <c r="A1292" s="8" t="s">
        <v>1168</v>
      </c>
      <c r="B1292" s="9" t="s">
        <v>1191</v>
      </c>
      <c r="C1292" s="9" t="s">
        <v>1192</v>
      </c>
      <c r="D1292" s="10">
        <v>3075.0</v>
      </c>
      <c r="E1292" s="9" t="s">
        <v>1434</v>
      </c>
      <c r="F1292" s="11" t="s">
        <v>37</v>
      </c>
      <c r="G1292" s="73">
        <v>45538.0</v>
      </c>
      <c r="H1292" s="13">
        <v>1707.18</v>
      </c>
      <c r="I1292" s="14">
        <v>10.0</v>
      </c>
      <c r="J1292" s="15" t="s">
        <v>81</v>
      </c>
      <c r="K1292" s="16">
        <v>0.150000000000002</v>
      </c>
      <c r="L1292" s="17">
        <f t="shared" si="1"/>
        <v>1.5</v>
      </c>
      <c r="M1292" s="17">
        <f t="shared" si="2"/>
        <v>8.5</v>
      </c>
      <c r="N1292" s="18">
        <f t="shared" si="3"/>
        <v>256.077</v>
      </c>
      <c r="O1292" s="18">
        <f t="shared" si="4"/>
        <v>1451.103</v>
      </c>
      <c r="P1292" s="18">
        <f t="shared" si="5"/>
        <v>1451.103</v>
      </c>
      <c r="Q1292" s="8">
        <v>0.0</v>
      </c>
      <c r="R1292" s="18">
        <f t="shared" si="6"/>
        <v>170.718</v>
      </c>
      <c r="S1292" s="19" t="s">
        <v>29</v>
      </c>
      <c r="T1292" s="19" t="s">
        <v>30</v>
      </c>
      <c r="U1292" s="20"/>
      <c r="V1292" s="37"/>
      <c r="W1292" s="7"/>
      <c r="X1292" s="7"/>
      <c r="Y1292" s="7"/>
      <c r="Z1292" s="7"/>
      <c r="AA1292" s="7"/>
    </row>
    <row r="1293" ht="18.75" customHeight="1">
      <c r="A1293" s="22" t="s">
        <v>1168</v>
      </c>
      <c r="B1293" s="23" t="s">
        <v>1191</v>
      </c>
      <c r="C1293" s="23" t="s">
        <v>1192</v>
      </c>
      <c r="D1293" s="24">
        <v>3076.0</v>
      </c>
      <c r="E1293" s="23" t="s">
        <v>1434</v>
      </c>
      <c r="F1293" s="25" t="s">
        <v>37</v>
      </c>
      <c r="G1293" s="108">
        <v>45539.0</v>
      </c>
      <c r="H1293" s="27">
        <v>1707.18</v>
      </c>
      <c r="I1293" s="28">
        <v>10.0</v>
      </c>
      <c r="J1293" s="29" t="s">
        <v>81</v>
      </c>
      <c r="K1293" s="30">
        <v>0.150000000000002</v>
      </c>
      <c r="L1293" s="31">
        <f t="shared" si="1"/>
        <v>1.5</v>
      </c>
      <c r="M1293" s="31">
        <f t="shared" si="2"/>
        <v>8.5</v>
      </c>
      <c r="N1293" s="32">
        <f t="shared" si="3"/>
        <v>256.077</v>
      </c>
      <c r="O1293" s="32">
        <f t="shared" si="4"/>
        <v>1451.103</v>
      </c>
      <c r="P1293" s="32">
        <f t="shared" si="5"/>
        <v>1451.103</v>
      </c>
      <c r="Q1293" s="22">
        <v>0.0</v>
      </c>
      <c r="R1293" s="32">
        <f t="shared" si="6"/>
        <v>170.718</v>
      </c>
      <c r="S1293" s="33" t="s">
        <v>29</v>
      </c>
      <c r="T1293" s="33" t="s">
        <v>30</v>
      </c>
      <c r="U1293" s="34"/>
      <c r="V1293" s="35"/>
      <c r="W1293" s="7"/>
      <c r="X1293" s="7"/>
      <c r="Y1293" s="7"/>
      <c r="Z1293" s="7"/>
      <c r="AA1293" s="7"/>
    </row>
    <row r="1294" ht="18.75" customHeight="1">
      <c r="A1294" s="8" t="s">
        <v>1168</v>
      </c>
      <c r="B1294" s="9" t="s">
        <v>1191</v>
      </c>
      <c r="C1294" s="9" t="s">
        <v>1192</v>
      </c>
      <c r="D1294" s="10">
        <v>3077.0</v>
      </c>
      <c r="E1294" s="9" t="s">
        <v>1446</v>
      </c>
      <c r="F1294" s="11" t="s">
        <v>37</v>
      </c>
      <c r="G1294" s="39"/>
      <c r="H1294" s="43">
        <v>493.0</v>
      </c>
      <c r="I1294" s="14">
        <v>10.0</v>
      </c>
      <c r="J1294" s="15" t="s">
        <v>81</v>
      </c>
      <c r="K1294" s="16">
        <v>0.150000000000002</v>
      </c>
      <c r="L1294" s="17">
        <f t="shared" si="1"/>
        <v>1.5</v>
      </c>
      <c r="M1294" s="17">
        <f t="shared" si="2"/>
        <v>8.5</v>
      </c>
      <c r="N1294" s="18">
        <f t="shared" si="3"/>
        <v>73.95</v>
      </c>
      <c r="O1294" s="18">
        <f t="shared" si="4"/>
        <v>419.05</v>
      </c>
      <c r="P1294" s="18">
        <f t="shared" si="5"/>
        <v>419.05</v>
      </c>
      <c r="Q1294" s="8">
        <v>0.0</v>
      </c>
      <c r="R1294" s="18">
        <f t="shared" si="6"/>
        <v>49.3</v>
      </c>
      <c r="S1294" s="19" t="s">
        <v>29</v>
      </c>
      <c r="T1294" s="19" t="s">
        <v>30</v>
      </c>
      <c r="U1294" s="44" t="s">
        <v>77</v>
      </c>
      <c r="V1294" s="37"/>
      <c r="W1294" s="7"/>
      <c r="X1294" s="7"/>
      <c r="Y1294" s="7"/>
      <c r="Z1294" s="7"/>
      <c r="AA1294" s="7"/>
    </row>
    <row r="1295" ht="18.75" customHeight="1">
      <c r="A1295" s="22" t="s">
        <v>1168</v>
      </c>
      <c r="B1295" s="23" t="s">
        <v>1191</v>
      </c>
      <c r="C1295" s="23" t="s">
        <v>1192</v>
      </c>
      <c r="D1295" s="24">
        <v>3078.0</v>
      </c>
      <c r="E1295" s="23" t="s">
        <v>1444</v>
      </c>
      <c r="F1295" s="25" t="s">
        <v>37</v>
      </c>
      <c r="G1295" s="108">
        <v>45532.0</v>
      </c>
      <c r="H1295" s="27">
        <v>492.2</v>
      </c>
      <c r="I1295" s="28">
        <v>10.0</v>
      </c>
      <c r="J1295" s="29" t="s">
        <v>81</v>
      </c>
      <c r="K1295" s="30">
        <v>0.150000000000002</v>
      </c>
      <c r="L1295" s="31">
        <f t="shared" si="1"/>
        <v>1.5</v>
      </c>
      <c r="M1295" s="31">
        <f t="shared" si="2"/>
        <v>8.5</v>
      </c>
      <c r="N1295" s="32">
        <f t="shared" si="3"/>
        <v>73.83</v>
      </c>
      <c r="O1295" s="32">
        <f t="shared" si="4"/>
        <v>418.37</v>
      </c>
      <c r="P1295" s="32">
        <f t="shared" si="5"/>
        <v>418.37</v>
      </c>
      <c r="Q1295" s="22">
        <v>0.0</v>
      </c>
      <c r="R1295" s="32">
        <f t="shared" si="6"/>
        <v>49.22</v>
      </c>
      <c r="S1295" s="33" t="s">
        <v>29</v>
      </c>
      <c r="T1295" s="33" t="s">
        <v>30</v>
      </c>
      <c r="U1295" s="34"/>
      <c r="V1295" s="35"/>
      <c r="W1295" s="7"/>
      <c r="X1295" s="7"/>
      <c r="Y1295" s="7"/>
      <c r="Z1295" s="7"/>
      <c r="AA1295" s="7"/>
    </row>
    <row r="1296" ht="18.75" customHeight="1">
      <c r="A1296" s="8" t="s">
        <v>1168</v>
      </c>
      <c r="B1296" s="9" t="s">
        <v>1191</v>
      </c>
      <c r="C1296" s="9" t="s">
        <v>1192</v>
      </c>
      <c r="D1296" s="10">
        <v>3079.0</v>
      </c>
      <c r="E1296" s="9" t="s">
        <v>1444</v>
      </c>
      <c r="F1296" s="11" t="s">
        <v>37</v>
      </c>
      <c r="G1296" s="73">
        <v>45532.0</v>
      </c>
      <c r="H1296" s="13">
        <v>492.2</v>
      </c>
      <c r="I1296" s="14">
        <v>10.0</v>
      </c>
      <c r="J1296" s="15" t="s">
        <v>81</v>
      </c>
      <c r="K1296" s="16">
        <v>0.150000000000002</v>
      </c>
      <c r="L1296" s="17">
        <f t="shared" si="1"/>
        <v>1.5</v>
      </c>
      <c r="M1296" s="17">
        <f t="shared" si="2"/>
        <v>8.5</v>
      </c>
      <c r="N1296" s="18">
        <f t="shared" si="3"/>
        <v>73.83</v>
      </c>
      <c r="O1296" s="18">
        <f t="shared" si="4"/>
        <v>418.37</v>
      </c>
      <c r="P1296" s="18">
        <f t="shared" si="5"/>
        <v>418.37</v>
      </c>
      <c r="Q1296" s="8">
        <v>0.0</v>
      </c>
      <c r="R1296" s="18">
        <f t="shared" si="6"/>
        <v>49.22</v>
      </c>
      <c r="S1296" s="19" t="s">
        <v>29</v>
      </c>
      <c r="T1296" s="19" t="s">
        <v>30</v>
      </c>
      <c r="U1296" s="20"/>
      <c r="V1296" s="37"/>
      <c r="W1296" s="7"/>
      <c r="X1296" s="7"/>
      <c r="Y1296" s="7"/>
      <c r="Z1296" s="7"/>
      <c r="AA1296" s="7"/>
    </row>
    <row r="1297" ht="18.75" customHeight="1">
      <c r="A1297" s="22" t="s">
        <v>1168</v>
      </c>
      <c r="B1297" s="23" t="s">
        <v>1191</v>
      </c>
      <c r="C1297" s="23" t="s">
        <v>1192</v>
      </c>
      <c r="D1297" s="24">
        <v>3080.0</v>
      </c>
      <c r="E1297" s="23" t="s">
        <v>1444</v>
      </c>
      <c r="F1297" s="25" t="s">
        <v>37</v>
      </c>
      <c r="G1297" s="108">
        <v>45532.0</v>
      </c>
      <c r="H1297" s="27">
        <v>492.2</v>
      </c>
      <c r="I1297" s="28">
        <v>10.0</v>
      </c>
      <c r="J1297" s="29" t="s">
        <v>81</v>
      </c>
      <c r="K1297" s="30">
        <v>0.150000000000002</v>
      </c>
      <c r="L1297" s="31">
        <f t="shared" si="1"/>
        <v>1.5</v>
      </c>
      <c r="M1297" s="31">
        <f t="shared" si="2"/>
        <v>8.5</v>
      </c>
      <c r="N1297" s="32">
        <f t="shared" si="3"/>
        <v>73.83</v>
      </c>
      <c r="O1297" s="32">
        <f t="shared" si="4"/>
        <v>418.37</v>
      </c>
      <c r="P1297" s="32">
        <f t="shared" si="5"/>
        <v>418.37</v>
      </c>
      <c r="Q1297" s="22">
        <v>0.0</v>
      </c>
      <c r="R1297" s="32">
        <f t="shared" si="6"/>
        <v>49.22</v>
      </c>
      <c r="S1297" s="33" t="s">
        <v>29</v>
      </c>
      <c r="T1297" s="33" t="s">
        <v>30</v>
      </c>
      <c r="U1297" s="34"/>
      <c r="V1297" s="35"/>
      <c r="W1297" s="7"/>
      <c r="X1297" s="7"/>
      <c r="Y1297" s="7"/>
      <c r="Z1297" s="7"/>
      <c r="AA1297" s="7"/>
    </row>
    <row r="1298" ht="18.75" customHeight="1">
      <c r="A1298" s="8" t="s">
        <v>1168</v>
      </c>
      <c r="B1298" s="9" t="s">
        <v>1191</v>
      </c>
      <c r="C1298" s="9" t="s">
        <v>1192</v>
      </c>
      <c r="D1298" s="10">
        <v>3081.0</v>
      </c>
      <c r="E1298" s="9" t="s">
        <v>1444</v>
      </c>
      <c r="F1298" s="11" t="s">
        <v>37</v>
      </c>
      <c r="G1298" s="73">
        <v>45532.0</v>
      </c>
      <c r="H1298" s="13">
        <v>492.2</v>
      </c>
      <c r="I1298" s="14">
        <v>10.0</v>
      </c>
      <c r="J1298" s="15" t="s">
        <v>81</v>
      </c>
      <c r="K1298" s="16">
        <v>0.150000000000002</v>
      </c>
      <c r="L1298" s="17">
        <f t="shared" si="1"/>
        <v>1.5</v>
      </c>
      <c r="M1298" s="17">
        <f t="shared" si="2"/>
        <v>8.5</v>
      </c>
      <c r="N1298" s="18">
        <f t="shared" si="3"/>
        <v>73.83</v>
      </c>
      <c r="O1298" s="18">
        <f t="shared" si="4"/>
        <v>418.37</v>
      </c>
      <c r="P1298" s="18">
        <f t="shared" si="5"/>
        <v>418.37</v>
      </c>
      <c r="Q1298" s="8">
        <v>0.0</v>
      </c>
      <c r="R1298" s="18">
        <f t="shared" si="6"/>
        <v>49.22</v>
      </c>
      <c r="S1298" s="19" t="s">
        <v>29</v>
      </c>
      <c r="T1298" s="19" t="s">
        <v>30</v>
      </c>
      <c r="U1298" s="20"/>
      <c r="V1298" s="37"/>
      <c r="W1298" s="7"/>
      <c r="X1298" s="7"/>
      <c r="Y1298" s="7"/>
      <c r="Z1298" s="7"/>
      <c r="AA1298" s="7"/>
    </row>
    <row r="1299" ht="18.75" customHeight="1">
      <c r="A1299" s="22" t="s">
        <v>1168</v>
      </c>
      <c r="B1299" s="23" t="s">
        <v>1191</v>
      </c>
      <c r="C1299" s="23" t="s">
        <v>1192</v>
      </c>
      <c r="D1299" s="24">
        <v>3082.0</v>
      </c>
      <c r="E1299" s="23" t="s">
        <v>1414</v>
      </c>
      <c r="F1299" s="25" t="s">
        <v>37</v>
      </c>
      <c r="G1299" s="108">
        <v>45532.0</v>
      </c>
      <c r="H1299" s="27">
        <v>2014.8</v>
      </c>
      <c r="I1299" s="28">
        <v>10.0</v>
      </c>
      <c r="J1299" s="29" t="s">
        <v>81</v>
      </c>
      <c r="K1299" s="30">
        <v>0.150000000000002</v>
      </c>
      <c r="L1299" s="31">
        <f t="shared" si="1"/>
        <v>1.5</v>
      </c>
      <c r="M1299" s="31">
        <f t="shared" si="2"/>
        <v>8.5</v>
      </c>
      <c r="N1299" s="32">
        <f t="shared" si="3"/>
        <v>302.22</v>
      </c>
      <c r="O1299" s="32">
        <f t="shared" si="4"/>
        <v>1712.58</v>
      </c>
      <c r="P1299" s="32">
        <f t="shared" si="5"/>
        <v>1712.58</v>
      </c>
      <c r="Q1299" s="22">
        <v>0.0</v>
      </c>
      <c r="R1299" s="32">
        <f t="shared" si="6"/>
        <v>201.48</v>
      </c>
      <c r="S1299" s="33" t="s">
        <v>29</v>
      </c>
      <c r="T1299" s="33" t="s">
        <v>30</v>
      </c>
      <c r="U1299" s="34"/>
      <c r="V1299" s="35"/>
      <c r="W1299" s="7"/>
      <c r="X1299" s="7"/>
      <c r="Y1299" s="7"/>
      <c r="Z1299" s="7"/>
      <c r="AA1299" s="7"/>
    </row>
    <row r="1300" ht="18.75" customHeight="1">
      <c r="A1300" s="8" t="s">
        <v>1168</v>
      </c>
      <c r="B1300" s="9" t="s">
        <v>1191</v>
      </c>
      <c r="C1300" s="9" t="s">
        <v>1192</v>
      </c>
      <c r="D1300" s="10">
        <v>3083.0</v>
      </c>
      <c r="E1300" s="9" t="s">
        <v>1414</v>
      </c>
      <c r="F1300" s="11" t="s">
        <v>37</v>
      </c>
      <c r="G1300" s="73">
        <v>45532.0</v>
      </c>
      <c r="H1300" s="13">
        <v>2014.8</v>
      </c>
      <c r="I1300" s="14">
        <v>10.0</v>
      </c>
      <c r="J1300" s="15" t="s">
        <v>81</v>
      </c>
      <c r="K1300" s="16">
        <v>0.150000000000002</v>
      </c>
      <c r="L1300" s="17">
        <f t="shared" si="1"/>
        <v>1.5</v>
      </c>
      <c r="M1300" s="17">
        <f t="shared" si="2"/>
        <v>8.5</v>
      </c>
      <c r="N1300" s="18">
        <f t="shared" si="3"/>
        <v>302.22</v>
      </c>
      <c r="O1300" s="18">
        <f t="shared" si="4"/>
        <v>1712.58</v>
      </c>
      <c r="P1300" s="18">
        <f t="shared" si="5"/>
        <v>1712.58</v>
      </c>
      <c r="Q1300" s="8">
        <v>0.0</v>
      </c>
      <c r="R1300" s="18">
        <f t="shared" si="6"/>
        <v>201.48</v>
      </c>
      <c r="S1300" s="19" t="s">
        <v>29</v>
      </c>
      <c r="T1300" s="19" t="s">
        <v>30</v>
      </c>
      <c r="U1300" s="20"/>
      <c r="V1300" s="37"/>
      <c r="W1300" s="7"/>
      <c r="X1300" s="7"/>
      <c r="Y1300" s="7"/>
      <c r="Z1300" s="7"/>
      <c r="AA1300" s="7"/>
    </row>
    <row r="1301" ht="18.75" customHeight="1">
      <c r="A1301" s="22" t="s">
        <v>1168</v>
      </c>
      <c r="B1301" s="23" t="s">
        <v>1447</v>
      </c>
      <c r="C1301" s="23" t="s">
        <v>1448</v>
      </c>
      <c r="D1301" s="24">
        <v>3084.0</v>
      </c>
      <c r="E1301" s="23" t="s">
        <v>1449</v>
      </c>
      <c r="F1301" s="25" t="s">
        <v>37</v>
      </c>
      <c r="G1301" s="108">
        <v>45532.0</v>
      </c>
      <c r="H1301" s="27">
        <v>2112.55</v>
      </c>
      <c r="I1301" s="28">
        <v>10.0</v>
      </c>
      <c r="J1301" s="29" t="s">
        <v>81</v>
      </c>
      <c r="K1301" s="30">
        <v>0.150000000000002</v>
      </c>
      <c r="L1301" s="31">
        <f t="shared" si="1"/>
        <v>1.5</v>
      </c>
      <c r="M1301" s="31">
        <f t="shared" si="2"/>
        <v>8.5</v>
      </c>
      <c r="N1301" s="32">
        <f t="shared" si="3"/>
        <v>316.8825</v>
      </c>
      <c r="O1301" s="32">
        <f t="shared" si="4"/>
        <v>1795.6675</v>
      </c>
      <c r="P1301" s="32">
        <f t="shared" si="5"/>
        <v>1795.6675</v>
      </c>
      <c r="Q1301" s="22">
        <v>0.0</v>
      </c>
      <c r="R1301" s="32">
        <f t="shared" si="6"/>
        <v>211.255</v>
      </c>
      <c r="S1301" s="33" t="s">
        <v>29</v>
      </c>
      <c r="T1301" s="33" t="s">
        <v>30</v>
      </c>
      <c r="U1301" s="34"/>
      <c r="V1301" s="35"/>
      <c r="W1301" s="7"/>
      <c r="X1301" s="7"/>
      <c r="Y1301" s="7"/>
      <c r="Z1301" s="7"/>
      <c r="AA1301" s="7"/>
    </row>
    <row r="1302" ht="18.75" customHeight="1">
      <c r="A1302" s="8" t="s">
        <v>1168</v>
      </c>
      <c r="B1302" s="9" t="s">
        <v>1447</v>
      </c>
      <c r="C1302" s="9" t="s">
        <v>1448</v>
      </c>
      <c r="D1302" s="10">
        <v>3085.0</v>
      </c>
      <c r="E1302" s="9" t="s">
        <v>1449</v>
      </c>
      <c r="F1302" s="11" t="s">
        <v>37</v>
      </c>
      <c r="G1302" s="73">
        <v>45532.0</v>
      </c>
      <c r="H1302" s="13">
        <v>2112.55</v>
      </c>
      <c r="I1302" s="14">
        <v>10.0</v>
      </c>
      <c r="J1302" s="15" t="s">
        <v>81</v>
      </c>
      <c r="K1302" s="16">
        <v>0.150000000000002</v>
      </c>
      <c r="L1302" s="17">
        <f t="shared" si="1"/>
        <v>1.5</v>
      </c>
      <c r="M1302" s="17">
        <f t="shared" si="2"/>
        <v>8.5</v>
      </c>
      <c r="N1302" s="18">
        <f t="shared" si="3"/>
        <v>316.8825</v>
      </c>
      <c r="O1302" s="18">
        <f t="shared" si="4"/>
        <v>1795.6675</v>
      </c>
      <c r="P1302" s="18">
        <f t="shared" si="5"/>
        <v>1795.6675</v>
      </c>
      <c r="Q1302" s="8">
        <v>0.0</v>
      </c>
      <c r="R1302" s="18">
        <f t="shared" si="6"/>
        <v>211.255</v>
      </c>
      <c r="S1302" s="19" t="s">
        <v>29</v>
      </c>
      <c r="T1302" s="19" t="s">
        <v>30</v>
      </c>
      <c r="U1302" s="20"/>
      <c r="V1302" s="37"/>
      <c r="W1302" s="7"/>
      <c r="X1302" s="7"/>
      <c r="Y1302" s="7"/>
      <c r="Z1302" s="7"/>
      <c r="AA1302" s="7"/>
    </row>
    <row r="1303" ht="18.75" customHeight="1">
      <c r="A1303" s="22" t="s">
        <v>1168</v>
      </c>
      <c r="B1303" s="23" t="s">
        <v>1447</v>
      </c>
      <c r="C1303" s="23" t="s">
        <v>1448</v>
      </c>
      <c r="D1303" s="24">
        <v>3086.0</v>
      </c>
      <c r="E1303" s="23" t="s">
        <v>1449</v>
      </c>
      <c r="F1303" s="25" t="s">
        <v>37</v>
      </c>
      <c r="G1303" s="108">
        <v>45532.0</v>
      </c>
      <c r="H1303" s="27">
        <v>2112.55</v>
      </c>
      <c r="I1303" s="28">
        <v>10.0</v>
      </c>
      <c r="J1303" s="29" t="s">
        <v>81</v>
      </c>
      <c r="K1303" s="30">
        <v>0.150000000000002</v>
      </c>
      <c r="L1303" s="31">
        <f t="shared" si="1"/>
        <v>1.5</v>
      </c>
      <c r="M1303" s="31">
        <f t="shared" si="2"/>
        <v>8.5</v>
      </c>
      <c r="N1303" s="32">
        <f t="shared" si="3"/>
        <v>316.8825</v>
      </c>
      <c r="O1303" s="32">
        <f t="shared" si="4"/>
        <v>1795.6675</v>
      </c>
      <c r="P1303" s="32">
        <f t="shared" si="5"/>
        <v>1795.6675</v>
      </c>
      <c r="Q1303" s="22">
        <v>0.0</v>
      </c>
      <c r="R1303" s="32">
        <f t="shared" si="6"/>
        <v>211.255</v>
      </c>
      <c r="S1303" s="33" t="s">
        <v>29</v>
      </c>
      <c r="T1303" s="33" t="s">
        <v>30</v>
      </c>
      <c r="U1303" s="34"/>
      <c r="V1303" s="35"/>
      <c r="W1303" s="7"/>
      <c r="X1303" s="7"/>
      <c r="Y1303" s="7"/>
      <c r="Z1303" s="7"/>
      <c r="AA1303" s="7"/>
    </row>
    <row r="1304" ht="18.75" customHeight="1">
      <c r="A1304" s="8" t="s">
        <v>1168</v>
      </c>
      <c r="B1304" s="9" t="s">
        <v>1447</v>
      </c>
      <c r="C1304" s="9" t="s">
        <v>1448</v>
      </c>
      <c r="D1304" s="10">
        <v>3087.0</v>
      </c>
      <c r="E1304" s="9" t="s">
        <v>1449</v>
      </c>
      <c r="F1304" s="11" t="s">
        <v>37</v>
      </c>
      <c r="G1304" s="73">
        <v>45532.0</v>
      </c>
      <c r="H1304" s="13">
        <v>2112.55</v>
      </c>
      <c r="I1304" s="14">
        <v>10.0</v>
      </c>
      <c r="J1304" s="15" t="s">
        <v>81</v>
      </c>
      <c r="K1304" s="16">
        <v>0.150000000000002</v>
      </c>
      <c r="L1304" s="17">
        <f t="shared" si="1"/>
        <v>1.5</v>
      </c>
      <c r="M1304" s="17">
        <f t="shared" si="2"/>
        <v>8.5</v>
      </c>
      <c r="N1304" s="18">
        <f t="shared" si="3"/>
        <v>316.8825</v>
      </c>
      <c r="O1304" s="18">
        <f t="shared" si="4"/>
        <v>1795.6675</v>
      </c>
      <c r="P1304" s="18">
        <f t="shared" si="5"/>
        <v>1795.6675</v>
      </c>
      <c r="Q1304" s="8">
        <v>0.0</v>
      </c>
      <c r="R1304" s="18">
        <f t="shared" si="6"/>
        <v>211.255</v>
      </c>
      <c r="S1304" s="19" t="s">
        <v>29</v>
      </c>
      <c r="T1304" s="19" t="s">
        <v>30</v>
      </c>
      <c r="U1304" s="20"/>
      <c r="V1304" s="37"/>
      <c r="W1304" s="7"/>
      <c r="X1304" s="7"/>
      <c r="Y1304" s="7"/>
      <c r="Z1304" s="7"/>
      <c r="AA1304" s="7"/>
    </row>
    <row r="1305" ht="18.75" customHeight="1">
      <c r="A1305" s="22" t="s">
        <v>1168</v>
      </c>
      <c r="B1305" s="23" t="s">
        <v>1447</v>
      </c>
      <c r="C1305" s="23" t="s">
        <v>1448</v>
      </c>
      <c r="D1305" s="24">
        <v>3088.0</v>
      </c>
      <c r="E1305" s="23" t="s">
        <v>1414</v>
      </c>
      <c r="F1305" s="25" t="s">
        <v>37</v>
      </c>
      <c r="G1305" s="108">
        <v>45532.0</v>
      </c>
      <c r="H1305" s="27">
        <v>2014.8</v>
      </c>
      <c r="I1305" s="28">
        <v>10.0</v>
      </c>
      <c r="J1305" s="29" t="s">
        <v>81</v>
      </c>
      <c r="K1305" s="30">
        <v>0.150000000000002</v>
      </c>
      <c r="L1305" s="31">
        <f t="shared" si="1"/>
        <v>1.5</v>
      </c>
      <c r="M1305" s="31">
        <f t="shared" si="2"/>
        <v>8.5</v>
      </c>
      <c r="N1305" s="32">
        <f t="shared" si="3"/>
        <v>302.22</v>
      </c>
      <c r="O1305" s="32">
        <f t="shared" si="4"/>
        <v>1712.58</v>
      </c>
      <c r="P1305" s="32">
        <f t="shared" si="5"/>
        <v>1712.58</v>
      </c>
      <c r="Q1305" s="22">
        <v>0.0</v>
      </c>
      <c r="R1305" s="32">
        <f t="shared" si="6"/>
        <v>201.48</v>
      </c>
      <c r="S1305" s="33" t="s">
        <v>29</v>
      </c>
      <c r="T1305" s="33" t="s">
        <v>30</v>
      </c>
      <c r="U1305" s="34"/>
      <c r="V1305" s="35"/>
      <c r="W1305" s="7"/>
      <c r="X1305" s="7"/>
      <c r="Y1305" s="7"/>
      <c r="Z1305" s="7"/>
      <c r="AA1305" s="7"/>
    </row>
    <row r="1306" ht="18.75" customHeight="1">
      <c r="A1306" s="8" t="s">
        <v>1168</v>
      </c>
      <c r="B1306" s="9" t="s">
        <v>1211</v>
      </c>
      <c r="C1306" s="9" t="s">
        <v>1212</v>
      </c>
      <c r="D1306" s="10">
        <v>3089.0</v>
      </c>
      <c r="E1306" s="9" t="s">
        <v>1432</v>
      </c>
      <c r="F1306" s="11" t="s">
        <v>37</v>
      </c>
      <c r="G1306" s="73">
        <v>45532.0</v>
      </c>
      <c r="H1306" s="13">
        <v>6533.63</v>
      </c>
      <c r="I1306" s="14">
        <v>10.0</v>
      </c>
      <c r="J1306" s="15" t="s">
        <v>81</v>
      </c>
      <c r="K1306" s="16">
        <v>0.150000000000002</v>
      </c>
      <c r="L1306" s="17">
        <f t="shared" si="1"/>
        <v>1.5</v>
      </c>
      <c r="M1306" s="17">
        <f t="shared" si="2"/>
        <v>8.5</v>
      </c>
      <c r="N1306" s="18">
        <f t="shared" si="3"/>
        <v>980.0445</v>
      </c>
      <c r="O1306" s="18">
        <f t="shared" si="4"/>
        <v>5553.5855</v>
      </c>
      <c r="P1306" s="18">
        <f t="shared" si="5"/>
        <v>5553.5855</v>
      </c>
      <c r="Q1306" s="8">
        <v>0.0</v>
      </c>
      <c r="R1306" s="18">
        <f t="shared" si="6"/>
        <v>653.363</v>
      </c>
      <c r="S1306" s="19" t="s">
        <v>29</v>
      </c>
      <c r="T1306" s="19" t="s">
        <v>30</v>
      </c>
      <c r="U1306" s="20"/>
      <c r="V1306" s="37"/>
      <c r="W1306" s="7"/>
      <c r="X1306" s="7"/>
      <c r="Y1306" s="7"/>
      <c r="Z1306" s="7"/>
      <c r="AA1306" s="7"/>
    </row>
    <row r="1307" ht="18.75" customHeight="1">
      <c r="A1307" s="22" t="s">
        <v>1168</v>
      </c>
      <c r="B1307" s="23" t="s">
        <v>1211</v>
      </c>
      <c r="C1307" s="23" t="s">
        <v>1212</v>
      </c>
      <c r="D1307" s="24">
        <v>3090.0</v>
      </c>
      <c r="E1307" s="23" t="s">
        <v>1414</v>
      </c>
      <c r="F1307" s="25" t="s">
        <v>37</v>
      </c>
      <c r="G1307" s="108">
        <v>45532.0</v>
      </c>
      <c r="H1307" s="27">
        <v>2014.8</v>
      </c>
      <c r="I1307" s="28">
        <v>10.0</v>
      </c>
      <c r="J1307" s="29" t="s">
        <v>81</v>
      </c>
      <c r="K1307" s="30">
        <v>0.150000000000002</v>
      </c>
      <c r="L1307" s="31">
        <f t="shared" si="1"/>
        <v>1.5</v>
      </c>
      <c r="M1307" s="31">
        <f t="shared" si="2"/>
        <v>8.5</v>
      </c>
      <c r="N1307" s="32">
        <f t="shared" si="3"/>
        <v>302.22</v>
      </c>
      <c r="O1307" s="32">
        <f t="shared" si="4"/>
        <v>1712.58</v>
      </c>
      <c r="P1307" s="32">
        <f t="shared" si="5"/>
        <v>1712.58</v>
      </c>
      <c r="Q1307" s="22">
        <v>0.0</v>
      </c>
      <c r="R1307" s="32">
        <f t="shared" si="6"/>
        <v>201.48</v>
      </c>
      <c r="S1307" s="33" t="s">
        <v>29</v>
      </c>
      <c r="T1307" s="33" t="s">
        <v>30</v>
      </c>
      <c r="U1307" s="34"/>
      <c r="V1307" s="35"/>
      <c r="W1307" s="7"/>
      <c r="X1307" s="7"/>
      <c r="Y1307" s="7"/>
      <c r="Z1307" s="7"/>
      <c r="AA1307" s="7"/>
    </row>
    <row r="1308" ht="18.75" customHeight="1">
      <c r="A1308" s="8" t="s">
        <v>1168</v>
      </c>
      <c r="B1308" s="9" t="s">
        <v>1211</v>
      </c>
      <c r="C1308" s="9" t="s">
        <v>1212</v>
      </c>
      <c r="D1308" s="10">
        <v>3091.0</v>
      </c>
      <c r="E1308" s="9" t="s">
        <v>1429</v>
      </c>
      <c r="F1308" s="11" t="s">
        <v>37</v>
      </c>
      <c r="G1308" s="73">
        <v>45532.0</v>
      </c>
      <c r="H1308" s="13">
        <v>492.2</v>
      </c>
      <c r="I1308" s="14">
        <v>10.0</v>
      </c>
      <c r="J1308" s="15" t="s">
        <v>81</v>
      </c>
      <c r="K1308" s="16">
        <v>0.150000000000002</v>
      </c>
      <c r="L1308" s="17">
        <f t="shared" si="1"/>
        <v>1.5</v>
      </c>
      <c r="M1308" s="17">
        <f t="shared" si="2"/>
        <v>8.5</v>
      </c>
      <c r="N1308" s="18">
        <f t="shared" si="3"/>
        <v>73.83</v>
      </c>
      <c r="O1308" s="18">
        <f t="shared" si="4"/>
        <v>418.37</v>
      </c>
      <c r="P1308" s="18">
        <f t="shared" si="5"/>
        <v>418.37</v>
      </c>
      <c r="Q1308" s="8">
        <v>0.0</v>
      </c>
      <c r="R1308" s="18">
        <f t="shared" si="6"/>
        <v>49.22</v>
      </c>
      <c r="S1308" s="19" t="s">
        <v>29</v>
      </c>
      <c r="T1308" s="19" t="s">
        <v>30</v>
      </c>
      <c r="U1308" s="20"/>
      <c r="V1308" s="37"/>
      <c r="W1308" s="7"/>
      <c r="X1308" s="7"/>
      <c r="Y1308" s="7"/>
      <c r="Z1308" s="7"/>
      <c r="AA1308" s="7"/>
    </row>
    <row r="1309" ht="18.75" customHeight="1">
      <c r="A1309" s="22" t="s">
        <v>1168</v>
      </c>
      <c r="B1309" s="23" t="s">
        <v>1211</v>
      </c>
      <c r="C1309" s="23" t="s">
        <v>1212</v>
      </c>
      <c r="D1309" s="24">
        <v>3092.0</v>
      </c>
      <c r="E1309" s="23" t="s">
        <v>1429</v>
      </c>
      <c r="F1309" s="25" t="s">
        <v>37</v>
      </c>
      <c r="G1309" s="108">
        <v>45532.0</v>
      </c>
      <c r="H1309" s="27">
        <v>492.2</v>
      </c>
      <c r="I1309" s="28">
        <v>10.0</v>
      </c>
      <c r="J1309" s="29" t="s">
        <v>81</v>
      </c>
      <c r="K1309" s="30">
        <v>0.150000000000002</v>
      </c>
      <c r="L1309" s="31">
        <f t="shared" si="1"/>
        <v>1.5</v>
      </c>
      <c r="M1309" s="31">
        <f t="shared" si="2"/>
        <v>8.5</v>
      </c>
      <c r="N1309" s="32">
        <f t="shared" si="3"/>
        <v>73.83</v>
      </c>
      <c r="O1309" s="32">
        <f t="shared" si="4"/>
        <v>418.37</v>
      </c>
      <c r="P1309" s="32">
        <f t="shared" si="5"/>
        <v>418.37</v>
      </c>
      <c r="Q1309" s="22">
        <v>0.0</v>
      </c>
      <c r="R1309" s="32">
        <f t="shared" si="6"/>
        <v>49.22</v>
      </c>
      <c r="S1309" s="33" t="s">
        <v>29</v>
      </c>
      <c r="T1309" s="33" t="s">
        <v>30</v>
      </c>
      <c r="U1309" s="34"/>
      <c r="V1309" s="35"/>
      <c r="W1309" s="7"/>
      <c r="X1309" s="7"/>
      <c r="Y1309" s="7"/>
      <c r="Z1309" s="7"/>
      <c r="AA1309" s="7"/>
    </row>
    <row r="1310" ht="18.75" customHeight="1">
      <c r="A1310" s="8" t="s">
        <v>1168</v>
      </c>
      <c r="B1310" s="9" t="s">
        <v>1208</v>
      </c>
      <c r="C1310" s="9" t="s">
        <v>1208</v>
      </c>
      <c r="D1310" s="10">
        <v>3093.0</v>
      </c>
      <c r="E1310" s="9" t="s">
        <v>1414</v>
      </c>
      <c r="F1310" s="11" t="s">
        <v>37</v>
      </c>
      <c r="G1310" s="73">
        <v>45532.0</v>
      </c>
      <c r="H1310" s="13">
        <v>2014.8</v>
      </c>
      <c r="I1310" s="14">
        <v>10.0</v>
      </c>
      <c r="J1310" s="15" t="s">
        <v>81</v>
      </c>
      <c r="K1310" s="16">
        <v>0.150000000000002</v>
      </c>
      <c r="L1310" s="17">
        <f t="shared" si="1"/>
        <v>1.5</v>
      </c>
      <c r="M1310" s="17">
        <f t="shared" si="2"/>
        <v>8.5</v>
      </c>
      <c r="N1310" s="18">
        <f t="shared" si="3"/>
        <v>302.22</v>
      </c>
      <c r="O1310" s="18">
        <f t="shared" si="4"/>
        <v>1712.58</v>
      </c>
      <c r="P1310" s="18">
        <f t="shared" si="5"/>
        <v>1712.58</v>
      </c>
      <c r="Q1310" s="8">
        <v>0.0</v>
      </c>
      <c r="R1310" s="18">
        <f t="shared" si="6"/>
        <v>201.48</v>
      </c>
      <c r="S1310" s="19" t="s">
        <v>29</v>
      </c>
      <c r="T1310" s="19" t="s">
        <v>30</v>
      </c>
      <c r="U1310" s="20"/>
      <c r="V1310" s="37"/>
      <c r="W1310" s="7"/>
      <c r="X1310" s="7"/>
      <c r="Y1310" s="7"/>
      <c r="Z1310" s="7"/>
      <c r="AA1310" s="7"/>
    </row>
    <row r="1311" ht="18.75" customHeight="1">
      <c r="A1311" s="22" t="s">
        <v>1168</v>
      </c>
      <c r="B1311" s="23" t="s">
        <v>1208</v>
      </c>
      <c r="C1311" s="23" t="s">
        <v>1208</v>
      </c>
      <c r="D1311" s="24">
        <v>3094.0</v>
      </c>
      <c r="E1311" s="23" t="s">
        <v>1414</v>
      </c>
      <c r="F1311" s="25" t="s">
        <v>37</v>
      </c>
      <c r="G1311" s="108">
        <v>45532.0</v>
      </c>
      <c r="H1311" s="27">
        <v>2014.8</v>
      </c>
      <c r="I1311" s="28">
        <v>10.0</v>
      </c>
      <c r="J1311" s="29" t="s">
        <v>81</v>
      </c>
      <c r="K1311" s="30">
        <v>0.150000000000002</v>
      </c>
      <c r="L1311" s="31">
        <f t="shared" si="1"/>
        <v>1.5</v>
      </c>
      <c r="M1311" s="31">
        <f t="shared" si="2"/>
        <v>8.5</v>
      </c>
      <c r="N1311" s="32">
        <f t="shared" si="3"/>
        <v>302.22</v>
      </c>
      <c r="O1311" s="32">
        <f t="shared" si="4"/>
        <v>1712.58</v>
      </c>
      <c r="P1311" s="32">
        <f t="shared" si="5"/>
        <v>1712.58</v>
      </c>
      <c r="Q1311" s="22">
        <v>0.0</v>
      </c>
      <c r="R1311" s="32">
        <f t="shared" si="6"/>
        <v>201.48</v>
      </c>
      <c r="S1311" s="33" t="s">
        <v>29</v>
      </c>
      <c r="T1311" s="33" t="s">
        <v>30</v>
      </c>
      <c r="U1311" s="34"/>
      <c r="V1311" s="35"/>
      <c r="W1311" s="7"/>
      <c r="X1311" s="7"/>
      <c r="Y1311" s="7"/>
      <c r="Z1311" s="7"/>
      <c r="AA1311" s="7"/>
    </row>
    <row r="1312" ht="18.75" customHeight="1">
      <c r="A1312" s="8" t="s">
        <v>1168</v>
      </c>
      <c r="B1312" s="9" t="s">
        <v>1208</v>
      </c>
      <c r="C1312" s="9" t="s">
        <v>1208</v>
      </c>
      <c r="D1312" s="10">
        <v>3095.0</v>
      </c>
      <c r="E1312" s="9" t="s">
        <v>1432</v>
      </c>
      <c r="F1312" s="11" t="s">
        <v>37</v>
      </c>
      <c r="G1312" s="73">
        <v>45532.0</v>
      </c>
      <c r="H1312" s="13">
        <v>6533.63</v>
      </c>
      <c r="I1312" s="14">
        <v>10.0</v>
      </c>
      <c r="J1312" s="15" t="s">
        <v>81</v>
      </c>
      <c r="K1312" s="16">
        <v>0.150000000000002</v>
      </c>
      <c r="L1312" s="17">
        <f t="shared" si="1"/>
        <v>1.5</v>
      </c>
      <c r="M1312" s="17">
        <f t="shared" si="2"/>
        <v>8.5</v>
      </c>
      <c r="N1312" s="18">
        <f t="shared" si="3"/>
        <v>980.0445</v>
      </c>
      <c r="O1312" s="18">
        <f t="shared" si="4"/>
        <v>5553.5855</v>
      </c>
      <c r="P1312" s="18">
        <f t="shared" si="5"/>
        <v>5553.5855</v>
      </c>
      <c r="Q1312" s="8">
        <v>0.0</v>
      </c>
      <c r="R1312" s="18">
        <f t="shared" si="6"/>
        <v>653.363</v>
      </c>
      <c r="S1312" s="19" t="s">
        <v>29</v>
      </c>
      <c r="T1312" s="19" t="s">
        <v>30</v>
      </c>
      <c r="U1312" s="20"/>
      <c r="V1312" s="37"/>
      <c r="W1312" s="7"/>
      <c r="X1312" s="7"/>
      <c r="Y1312" s="7"/>
      <c r="Z1312" s="7"/>
      <c r="AA1312" s="7"/>
    </row>
    <row r="1313" ht="18.75" customHeight="1">
      <c r="A1313" s="22" t="s">
        <v>1168</v>
      </c>
      <c r="B1313" s="23" t="s">
        <v>1208</v>
      </c>
      <c r="C1313" s="23" t="s">
        <v>1208</v>
      </c>
      <c r="D1313" s="24">
        <v>3096.0</v>
      </c>
      <c r="E1313" s="23" t="s">
        <v>1432</v>
      </c>
      <c r="F1313" s="25" t="s">
        <v>37</v>
      </c>
      <c r="G1313" s="108">
        <v>45532.0</v>
      </c>
      <c r="H1313" s="27">
        <v>6533.63</v>
      </c>
      <c r="I1313" s="28">
        <v>10.0</v>
      </c>
      <c r="J1313" s="29" t="s">
        <v>81</v>
      </c>
      <c r="K1313" s="30">
        <v>0.150000000000002</v>
      </c>
      <c r="L1313" s="31">
        <f t="shared" si="1"/>
        <v>1.5</v>
      </c>
      <c r="M1313" s="31">
        <f t="shared" si="2"/>
        <v>8.5</v>
      </c>
      <c r="N1313" s="32">
        <f t="shared" si="3"/>
        <v>980.0445</v>
      </c>
      <c r="O1313" s="32">
        <f t="shared" si="4"/>
        <v>5553.5855</v>
      </c>
      <c r="P1313" s="32">
        <f t="shared" si="5"/>
        <v>5553.5855</v>
      </c>
      <c r="Q1313" s="22">
        <v>0.0</v>
      </c>
      <c r="R1313" s="32">
        <f t="shared" si="6"/>
        <v>653.363</v>
      </c>
      <c r="S1313" s="33" t="s">
        <v>29</v>
      </c>
      <c r="T1313" s="33" t="s">
        <v>30</v>
      </c>
      <c r="U1313" s="34"/>
      <c r="V1313" s="35"/>
      <c r="W1313" s="7"/>
      <c r="X1313" s="7"/>
      <c r="Y1313" s="7"/>
      <c r="Z1313" s="7"/>
      <c r="AA1313" s="7"/>
    </row>
    <row r="1314" ht="18.75" customHeight="1">
      <c r="A1314" s="8" t="s">
        <v>1168</v>
      </c>
      <c r="B1314" s="9" t="s">
        <v>1343</v>
      </c>
      <c r="C1314" s="9" t="s">
        <v>1170</v>
      </c>
      <c r="D1314" s="10">
        <v>3097.0</v>
      </c>
      <c r="E1314" s="9" t="s">
        <v>1432</v>
      </c>
      <c r="F1314" s="11" t="s">
        <v>37</v>
      </c>
      <c r="G1314" s="73">
        <v>45532.0</v>
      </c>
      <c r="H1314" s="13">
        <v>6533.63</v>
      </c>
      <c r="I1314" s="14">
        <v>10.0</v>
      </c>
      <c r="J1314" s="15" t="s">
        <v>81</v>
      </c>
      <c r="K1314" s="16">
        <v>0.150000000000002</v>
      </c>
      <c r="L1314" s="17">
        <f t="shared" si="1"/>
        <v>1.5</v>
      </c>
      <c r="M1314" s="17">
        <f t="shared" si="2"/>
        <v>8.5</v>
      </c>
      <c r="N1314" s="18">
        <f t="shared" si="3"/>
        <v>980.0445</v>
      </c>
      <c r="O1314" s="18">
        <f t="shared" si="4"/>
        <v>5553.5855</v>
      </c>
      <c r="P1314" s="18">
        <f t="shared" si="5"/>
        <v>5553.5855</v>
      </c>
      <c r="Q1314" s="8">
        <v>0.0</v>
      </c>
      <c r="R1314" s="18">
        <f t="shared" si="6"/>
        <v>653.363</v>
      </c>
      <c r="S1314" s="19" t="s">
        <v>29</v>
      </c>
      <c r="T1314" s="19" t="s">
        <v>30</v>
      </c>
      <c r="U1314" s="20"/>
      <c r="V1314" s="37"/>
      <c r="W1314" s="7"/>
      <c r="X1314" s="7"/>
      <c r="Y1314" s="7"/>
      <c r="Z1314" s="7"/>
      <c r="AA1314" s="7"/>
    </row>
    <row r="1315" ht="18.75" customHeight="1">
      <c r="A1315" s="22" t="s">
        <v>1168</v>
      </c>
      <c r="B1315" s="23" t="s">
        <v>1169</v>
      </c>
      <c r="C1315" s="23" t="s">
        <v>1170</v>
      </c>
      <c r="D1315" s="24">
        <v>3098.0</v>
      </c>
      <c r="E1315" s="23" t="s">
        <v>1432</v>
      </c>
      <c r="F1315" s="25" t="s">
        <v>37</v>
      </c>
      <c r="G1315" s="108">
        <v>45532.0</v>
      </c>
      <c r="H1315" s="27">
        <v>6533.63</v>
      </c>
      <c r="I1315" s="28">
        <v>10.0</v>
      </c>
      <c r="J1315" s="29" t="s">
        <v>81</v>
      </c>
      <c r="K1315" s="30">
        <v>0.150000000000002</v>
      </c>
      <c r="L1315" s="31">
        <f t="shared" si="1"/>
        <v>1.5</v>
      </c>
      <c r="M1315" s="31">
        <f t="shared" si="2"/>
        <v>8.5</v>
      </c>
      <c r="N1315" s="32">
        <f t="shared" si="3"/>
        <v>980.0445</v>
      </c>
      <c r="O1315" s="32">
        <f t="shared" si="4"/>
        <v>5553.5855</v>
      </c>
      <c r="P1315" s="32">
        <f t="shared" si="5"/>
        <v>5553.5855</v>
      </c>
      <c r="Q1315" s="22">
        <v>0.0</v>
      </c>
      <c r="R1315" s="32">
        <f t="shared" si="6"/>
        <v>653.363</v>
      </c>
      <c r="S1315" s="33" t="s">
        <v>29</v>
      </c>
      <c r="T1315" s="33" t="s">
        <v>30</v>
      </c>
      <c r="U1315" s="34"/>
      <c r="V1315" s="35"/>
      <c r="W1315" s="7"/>
      <c r="X1315" s="7"/>
      <c r="Y1315" s="7"/>
      <c r="Z1315" s="7"/>
      <c r="AA1315" s="7"/>
    </row>
    <row r="1316" ht="18.75" customHeight="1">
      <c r="A1316" s="8" t="s">
        <v>1168</v>
      </c>
      <c r="B1316" s="9" t="s">
        <v>1343</v>
      </c>
      <c r="C1316" s="9" t="s">
        <v>1170</v>
      </c>
      <c r="D1316" s="10">
        <v>3101.0</v>
      </c>
      <c r="E1316" s="9" t="s">
        <v>1414</v>
      </c>
      <c r="F1316" s="11" t="s">
        <v>37</v>
      </c>
      <c r="G1316" s="73">
        <v>45532.0</v>
      </c>
      <c r="H1316" s="13">
        <v>2014.8</v>
      </c>
      <c r="I1316" s="14">
        <v>10.0</v>
      </c>
      <c r="J1316" s="15" t="s">
        <v>81</v>
      </c>
      <c r="K1316" s="16">
        <v>0.150000000000002</v>
      </c>
      <c r="L1316" s="17">
        <f t="shared" si="1"/>
        <v>1.5</v>
      </c>
      <c r="M1316" s="17">
        <f t="shared" si="2"/>
        <v>8.5</v>
      </c>
      <c r="N1316" s="18">
        <f t="shared" si="3"/>
        <v>302.22</v>
      </c>
      <c r="O1316" s="18">
        <f t="shared" si="4"/>
        <v>1712.58</v>
      </c>
      <c r="P1316" s="18">
        <f t="shared" si="5"/>
        <v>1712.58</v>
      </c>
      <c r="Q1316" s="8">
        <v>0.0</v>
      </c>
      <c r="R1316" s="18">
        <f t="shared" si="6"/>
        <v>201.48</v>
      </c>
      <c r="S1316" s="19" t="s">
        <v>29</v>
      </c>
      <c r="T1316" s="19" t="s">
        <v>30</v>
      </c>
      <c r="U1316" s="20"/>
      <c r="V1316" s="37"/>
      <c r="W1316" s="7"/>
      <c r="X1316" s="7"/>
      <c r="Y1316" s="7"/>
      <c r="Z1316" s="7"/>
      <c r="AA1316" s="7"/>
    </row>
    <row r="1317" ht="18.75" customHeight="1">
      <c r="A1317" s="22" t="s">
        <v>1168</v>
      </c>
      <c r="B1317" s="23" t="s">
        <v>1169</v>
      </c>
      <c r="C1317" s="23" t="s">
        <v>1170</v>
      </c>
      <c r="D1317" s="24">
        <v>3103.0</v>
      </c>
      <c r="E1317" s="23" t="s">
        <v>1414</v>
      </c>
      <c r="F1317" s="25" t="s">
        <v>37</v>
      </c>
      <c r="G1317" s="108">
        <v>45532.0</v>
      </c>
      <c r="H1317" s="27">
        <v>2014.8</v>
      </c>
      <c r="I1317" s="28">
        <v>10.0</v>
      </c>
      <c r="J1317" s="29" t="s">
        <v>81</v>
      </c>
      <c r="K1317" s="30">
        <v>0.150000000000002</v>
      </c>
      <c r="L1317" s="31">
        <f t="shared" si="1"/>
        <v>1.5</v>
      </c>
      <c r="M1317" s="31">
        <f t="shared" si="2"/>
        <v>8.5</v>
      </c>
      <c r="N1317" s="32">
        <f t="shared" si="3"/>
        <v>302.22</v>
      </c>
      <c r="O1317" s="32">
        <f t="shared" si="4"/>
        <v>1712.58</v>
      </c>
      <c r="P1317" s="32">
        <f t="shared" si="5"/>
        <v>1712.58</v>
      </c>
      <c r="Q1317" s="22">
        <v>0.0</v>
      </c>
      <c r="R1317" s="32">
        <f t="shared" si="6"/>
        <v>201.48</v>
      </c>
      <c r="S1317" s="33" t="s">
        <v>29</v>
      </c>
      <c r="T1317" s="33" t="s">
        <v>30</v>
      </c>
      <c r="U1317" s="34"/>
      <c r="V1317" s="35"/>
      <c r="W1317" s="7"/>
      <c r="X1317" s="7"/>
      <c r="Y1317" s="7"/>
      <c r="Z1317" s="7"/>
      <c r="AA1317" s="7"/>
    </row>
    <row r="1318" ht="18.75" customHeight="1">
      <c r="A1318" s="8" t="s">
        <v>1168</v>
      </c>
      <c r="B1318" s="9" t="s">
        <v>1187</v>
      </c>
      <c r="C1318" s="9" t="s">
        <v>1093</v>
      </c>
      <c r="D1318" s="10">
        <v>3104.0</v>
      </c>
      <c r="E1318" s="9" t="s">
        <v>1414</v>
      </c>
      <c r="F1318" s="11" t="s">
        <v>37</v>
      </c>
      <c r="G1318" s="73">
        <v>45532.0</v>
      </c>
      <c r="H1318" s="13">
        <v>2014.8</v>
      </c>
      <c r="I1318" s="14">
        <v>10.0</v>
      </c>
      <c r="J1318" s="15" t="s">
        <v>81</v>
      </c>
      <c r="K1318" s="16">
        <v>0.150000000000002</v>
      </c>
      <c r="L1318" s="17">
        <f t="shared" si="1"/>
        <v>1.5</v>
      </c>
      <c r="M1318" s="17">
        <f t="shared" si="2"/>
        <v>8.5</v>
      </c>
      <c r="N1318" s="18">
        <f t="shared" si="3"/>
        <v>302.22</v>
      </c>
      <c r="O1318" s="18">
        <f t="shared" si="4"/>
        <v>1712.58</v>
      </c>
      <c r="P1318" s="18">
        <f t="shared" si="5"/>
        <v>1712.58</v>
      </c>
      <c r="Q1318" s="8">
        <v>0.0</v>
      </c>
      <c r="R1318" s="18">
        <f t="shared" si="6"/>
        <v>201.48</v>
      </c>
      <c r="S1318" s="19" t="s">
        <v>29</v>
      </c>
      <c r="T1318" s="19" t="s">
        <v>30</v>
      </c>
      <c r="U1318" s="20"/>
      <c r="V1318" s="37"/>
      <c r="W1318" s="7"/>
      <c r="X1318" s="7"/>
      <c r="Y1318" s="7"/>
      <c r="Z1318" s="7"/>
      <c r="AA1318" s="7"/>
    </row>
    <row r="1319" ht="18.75" customHeight="1">
      <c r="A1319" s="22" t="s">
        <v>1168</v>
      </c>
      <c r="B1319" s="23" t="s">
        <v>1187</v>
      </c>
      <c r="C1319" s="23" t="s">
        <v>1093</v>
      </c>
      <c r="D1319" s="24">
        <v>3105.0</v>
      </c>
      <c r="E1319" s="23" t="s">
        <v>1414</v>
      </c>
      <c r="F1319" s="25" t="s">
        <v>37</v>
      </c>
      <c r="G1319" s="108">
        <v>45532.0</v>
      </c>
      <c r="H1319" s="27">
        <v>2014.8</v>
      </c>
      <c r="I1319" s="28">
        <v>10.0</v>
      </c>
      <c r="J1319" s="29" t="s">
        <v>81</v>
      </c>
      <c r="K1319" s="30">
        <v>0.150000000000002</v>
      </c>
      <c r="L1319" s="31">
        <f t="shared" si="1"/>
        <v>1.5</v>
      </c>
      <c r="M1319" s="31">
        <f t="shared" si="2"/>
        <v>8.5</v>
      </c>
      <c r="N1319" s="32">
        <f t="shared" si="3"/>
        <v>302.22</v>
      </c>
      <c r="O1319" s="32">
        <f t="shared" si="4"/>
        <v>1712.58</v>
      </c>
      <c r="P1319" s="32">
        <f t="shared" si="5"/>
        <v>1712.58</v>
      </c>
      <c r="Q1319" s="22">
        <v>0.0</v>
      </c>
      <c r="R1319" s="32">
        <f t="shared" si="6"/>
        <v>201.48</v>
      </c>
      <c r="S1319" s="33" t="s">
        <v>29</v>
      </c>
      <c r="T1319" s="33" t="s">
        <v>30</v>
      </c>
      <c r="U1319" s="34"/>
      <c r="V1319" s="35"/>
      <c r="W1319" s="7"/>
      <c r="X1319" s="7"/>
      <c r="Y1319" s="7"/>
      <c r="Z1319" s="7"/>
      <c r="AA1319" s="7"/>
    </row>
    <row r="1320" ht="18.75" customHeight="1">
      <c r="A1320" s="8" t="s">
        <v>1168</v>
      </c>
      <c r="B1320" s="9" t="s">
        <v>1187</v>
      </c>
      <c r="C1320" s="9" t="s">
        <v>1093</v>
      </c>
      <c r="D1320" s="10">
        <v>3106.0</v>
      </c>
      <c r="E1320" s="9" t="s">
        <v>1414</v>
      </c>
      <c r="F1320" s="11" t="s">
        <v>37</v>
      </c>
      <c r="G1320" s="73">
        <v>45532.0</v>
      </c>
      <c r="H1320" s="13">
        <v>2014.8</v>
      </c>
      <c r="I1320" s="14">
        <v>10.0</v>
      </c>
      <c r="J1320" s="15" t="s">
        <v>81</v>
      </c>
      <c r="K1320" s="16">
        <v>0.150000000000002</v>
      </c>
      <c r="L1320" s="17">
        <f t="shared" si="1"/>
        <v>1.5</v>
      </c>
      <c r="M1320" s="17">
        <f t="shared" si="2"/>
        <v>8.5</v>
      </c>
      <c r="N1320" s="18">
        <f t="shared" si="3"/>
        <v>302.22</v>
      </c>
      <c r="O1320" s="18">
        <f t="shared" si="4"/>
        <v>1712.58</v>
      </c>
      <c r="P1320" s="18">
        <f t="shared" si="5"/>
        <v>1712.58</v>
      </c>
      <c r="Q1320" s="8">
        <v>0.0</v>
      </c>
      <c r="R1320" s="18">
        <f t="shared" si="6"/>
        <v>201.48</v>
      </c>
      <c r="S1320" s="19" t="s">
        <v>29</v>
      </c>
      <c r="T1320" s="19" t="s">
        <v>30</v>
      </c>
      <c r="U1320" s="20"/>
      <c r="V1320" s="37"/>
      <c r="W1320" s="7"/>
      <c r="X1320" s="7"/>
      <c r="Y1320" s="7"/>
      <c r="Z1320" s="7"/>
      <c r="AA1320" s="7"/>
    </row>
    <row r="1321" ht="18.75" customHeight="1">
      <c r="A1321" s="22" t="s">
        <v>1168</v>
      </c>
      <c r="B1321" s="23" t="s">
        <v>1187</v>
      </c>
      <c r="C1321" s="23" t="s">
        <v>1093</v>
      </c>
      <c r="D1321" s="24">
        <v>3107.0</v>
      </c>
      <c r="E1321" s="23" t="s">
        <v>1414</v>
      </c>
      <c r="F1321" s="25" t="s">
        <v>37</v>
      </c>
      <c r="G1321" s="108">
        <v>45532.0</v>
      </c>
      <c r="H1321" s="27">
        <v>2014.8</v>
      </c>
      <c r="I1321" s="28">
        <v>10.0</v>
      </c>
      <c r="J1321" s="29" t="s">
        <v>81</v>
      </c>
      <c r="K1321" s="30">
        <v>0.150000000000002</v>
      </c>
      <c r="L1321" s="31">
        <f t="shared" si="1"/>
        <v>1.5</v>
      </c>
      <c r="M1321" s="31">
        <f t="shared" si="2"/>
        <v>8.5</v>
      </c>
      <c r="N1321" s="32">
        <f t="shared" si="3"/>
        <v>302.22</v>
      </c>
      <c r="O1321" s="32">
        <f t="shared" si="4"/>
        <v>1712.58</v>
      </c>
      <c r="P1321" s="32">
        <f t="shared" si="5"/>
        <v>1712.58</v>
      </c>
      <c r="Q1321" s="22">
        <v>0.0</v>
      </c>
      <c r="R1321" s="32">
        <f t="shared" si="6"/>
        <v>201.48</v>
      </c>
      <c r="S1321" s="33" t="s">
        <v>29</v>
      </c>
      <c r="T1321" s="33" t="s">
        <v>30</v>
      </c>
      <c r="U1321" s="34"/>
      <c r="V1321" s="35"/>
      <c r="W1321" s="7"/>
      <c r="X1321" s="7"/>
      <c r="Y1321" s="7"/>
      <c r="Z1321" s="7"/>
      <c r="AA1321" s="7"/>
    </row>
    <row r="1322" ht="18.75" customHeight="1">
      <c r="A1322" s="8" t="s">
        <v>1168</v>
      </c>
      <c r="B1322" s="9" t="s">
        <v>1187</v>
      </c>
      <c r="C1322" s="9" t="s">
        <v>1093</v>
      </c>
      <c r="D1322" s="10">
        <v>3108.0</v>
      </c>
      <c r="E1322" s="9" t="s">
        <v>1414</v>
      </c>
      <c r="F1322" s="11" t="s">
        <v>37</v>
      </c>
      <c r="G1322" s="73">
        <v>45532.0</v>
      </c>
      <c r="H1322" s="13">
        <v>2014.8</v>
      </c>
      <c r="I1322" s="14">
        <v>10.0</v>
      </c>
      <c r="J1322" s="15" t="s">
        <v>81</v>
      </c>
      <c r="K1322" s="16">
        <v>0.150000000000002</v>
      </c>
      <c r="L1322" s="17">
        <f t="shared" si="1"/>
        <v>1.5</v>
      </c>
      <c r="M1322" s="17">
        <f t="shared" si="2"/>
        <v>8.5</v>
      </c>
      <c r="N1322" s="18">
        <f t="shared" si="3"/>
        <v>302.22</v>
      </c>
      <c r="O1322" s="18">
        <f t="shared" si="4"/>
        <v>1712.58</v>
      </c>
      <c r="P1322" s="18">
        <f t="shared" si="5"/>
        <v>1712.58</v>
      </c>
      <c r="Q1322" s="8">
        <v>0.0</v>
      </c>
      <c r="R1322" s="18">
        <f t="shared" si="6"/>
        <v>201.48</v>
      </c>
      <c r="S1322" s="19" t="s">
        <v>29</v>
      </c>
      <c r="T1322" s="19" t="s">
        <v>30</v>
      </c>
      <c r="U1322" s="20"/>
      <c r="V1322" s="37"/>
      <c r="W1322" s="7"/>
      <c r="X1322" s="7"/>
      <c r="Y1322" s="7"/>
      <c r="Z1322" s="7"/>
      <c r="AA1322" s="7"/>
    </row>
    <row r="1323" ht="18.75" customHeight="1">
      <c r="A1323" s="22" t="s">
        <v>1168</v>
      </c>
      <c r="B1323" s="23" t="s">
        <v>1187</v>
      </c>
      <c r="C1323" s="23" t="s">
        <v>1093</v>
      </c>
      <c r="D1323" s="24">
        <v>3109.0</v>
      </c>
      <c r="E1323" s="23" t="s">
        <v>1414</v>
      </c>
      <c r="F1323" s="25" t="s">
        <v>37</v>
      </c>
      <c r="G1323" s="108">
        <v>45532.0</v>
      </c>
      <c r="H1323" s="27">
        <v>2014.8</v>
      </c>
      <c r="I1323" s="28">
        <v>10.0</v>
      </c>
      <c r="J1323" s="29" t="s">
        <v>81</v>
      </c>
      <c r="K1323" s="30">
        <v>0.150000000000002</v>
      </c>
      <c r="L1323" s="31">
        <f t="shared" si="1"/>
        <v>1.5</v>
      </c>
      <c r="M1323" s="31">
        <f t="shared" si="2"/>
        <v>8.5</v>
      </c>
      <c r="N1323" s="32">
        <f t="shared" si="3"/>
        <v>302.22</v>
      </c>
      <c r="O1323" s="32">
        <f t="shared" si="4"/>
        <v>1712.58</v>
      </c>
      <c r="P1323" s="32">
        <f t="shared" si="5"/>
        <v>1712.58</v>
      </c>
      <c r="Q1323" s="22">
        <v>0.0</v>
      </c>
      <c r="R1323" s="32">
        <f t="shared" si="6"/>
        <v>201.48</v>
      </c>
      <c r="S1323" s="33" t="s">
        <v>29</v>
      </c>
      <c r="T1323" s="33" t="s">
        <v>30</v>
      </c>
      <c r="U1323" s="34"/>
      <c r="V1323" s="35"/>
      <c r="W1323" s="7"/>
      <c r="X1323" s="7"/>
      <c r="Y1323" s="7"/>
      <c r="Z1323" s="7"/>
      <c r="AA1323" s="7"/>
    </row>
    <row r="1324" ht="18.75" customHeight="1">
      <c r="A1324" s="8" t="s">
        <v>1168</v>
      </c>
      <c r="B1324" s="9" t="s">
        <v>1187</v>
      </c>
      <c r="C1324" s="9" t="s">
        <v>1093</v>
      </c>
      <c r="D1324" s="10">
        <v>3110.0</v>
      </c>
      <c r="E1324" s="9" t="s">
        <v>1434</v>
      </c>
      <c r="F1324" s="11" t="s">
        <v>37</v>
      </c>
      <c r="G1324" s="73">
        <v>45540.0</v>
      </c>
      <c r="H1324" s="13">
        <v>1707.18</v>
      </c>
      <c r="I1324" s="14">
        <v>10.0</v>
      </c>
      <c r="J1324" s="15" t="s">
        <v>81</v>
      </c>
      <c r="K1324" s="16">
        <v>0.150000000000002</v>
      </c>
      <c r="L1324" s="17">
        <f t="shared" si="1"/>
        <v>1.5</v>
      </c>
      <c r="M1324" s="17">
        <f t="shared" si="2"/>
        <v>8.5</v>
      </c>
      <c r="N1324" s="18">
        <f t="shared" si="3"/>
        <v>256.077</v>
      </c>
      <c r="O1324" s="18">
        <f t="shared" si="4"/>
        <v>1451.103</v>
      </c>
      <c r="P1324" s="18">
        <f t="shared" si="5"/>
        <v>1451.103</v>
      </c>
      <c r="Q1324" s="8">
        <v>0.0</v>
      </c>
      <c r="R1324" s="18">
        <f t="shared" si="6"/>
        <v>170.718</v>
      </c>
      <c r="S1324" s="19" t="s">
        <v>29</v>
      </c>
      <c r="T1324" s="19" t="s">
        <v>30</v>
      </c>
      <c r="U1324" s="20"/>
      <c r="V1324" s="37"/>
      <c r="W1324" s="7"/>
      <c r="X1324" s="7"/>
      <c r="Y1324" s="7"/>
      <c r="Z1324" s="7"/>
      <c r="AA1324" s="7"/>
    </row>
    <row r="1325" ht="18.75" customHeight="1">
      <c r="A1325" s="22" t="s">
        <v>1168</v>
      </c>
      <c r="B1325" s="23" t="s">
        <v>1187</v>
      </c>
      <c r="C1325" s="23" t="s">
        <v>1093</v>
      </c>
      <c r="D1325" s="24">
        <v>3111.0</v>
      </c>
      <c r="E1325" s="23" t="s">
        <v>1433</v>
      </c>
      <c r="F1325" s="25" t="s">
        <v>37</v>
      </c>
      <c r="G1325" s="108">
        <v>45532.0</v>
      </c>
      <c r="H1325" s="27">
        <v>3039.85</v>
      </c>
      <c r="I1325" s="28">
        <v>10.0</v>
      </c>
      <c r="J1325" s="29" t="s">
        <v>81</v>
      </c>
      <c r="K1325" s="30">
        <v>0.150000000000002</v>
      </c>
      <c r="L1325" s="31">
        <f t="shared" si="1"/>
        <v>1.5</v>
      </c>
      <c r="M1325" s="31">
        <f t="shared" si="2"/>
        <v>8.5</v>
      </c>
      <c r="N1325" s="32">
        <f t="shared" si="3"/>
        <v>455.9775</v>
      </c>
      <c r="O1325" s="32">
        <f t="shared" si="4"/>
        <v>2583.8725</v>
      </c>
      <c r="P1325" s="32">
        <f t="shared" si="5"/>
        <v>2583.8725</v>
      </c>
      <c r="Q1325" s="22">
        <v>0.0</v>
      </c>
      <c r="R1325" s="32">
        <f t="shared" si="6"/>
        <v>303.985</v>
      </c>
      <c r="S1325" s="33" t="s">
        <v>29</v>
      </c>
      <c r="T1325" s="33" t="s">
        <v>30</v>
      </c>
      <c r="U1325" s="34"/>
      <c r="V1325" s="35"/>
      <c r="W1325" s="7"/>
      <c r="X1325" s="7"/>
      <c r="Y1325" s="7"/>
      <c r="Z1325" s="7"/>
      <c r="AA1325" s="7"/>
    </row>
    <row r="1326" ht="18.75" customHeight="1">
      <c r="A1326" s="8" t="s">
        <v>1168</v>
      </c>
      <c r="B1326" s="9" t="s">
        <v>1187</v>
      </c>
      <c r="C1326" s="9" t="s">
        <v>1093</v>
      </c>
      <c r="D1326" s="10">
        <v>3112.0</v>
      </c>
      <c r="E1326" s="46" t="s">
        <v>1433</v>
      </c>
      <c r="F1326" s="11" t="s">
        <v>37</v>
      </c>
      <c r="G1326" s="39"/>
      <c r="H1326" s="43">
        <v>209.51</v>
      </c>
      <c r="I1326" s="14">
        <v>10.0</v>
      </c>
      <c r="J1326" s="15" t="s">
        <v>81</v>
      </c>
      <c r="K1326" s="16">
        <v>0.150000000000002</v>
      </c>
      <c r="L1326" s="17">
        <f t="shared" si="1"/>
        <v>1.5</v>
      </c>
      <c r="M1326" s="17">
        <f t="shared" si="2"/>
        <v>8.5</v>
      </c>
      <c r="N1326" s="18">
        <f t="shared" si="3"/>
        <v>31.4265</v>
      </c>
      <c r="O1326" s="18">
        <f t="shared" si="4"/>
        <v>178.0835</v>
      </c>
      <c r="P1326" s="18">
        <f t="shared" si="5"/>
        <v>178.0835</v>
      </c>
      <c r="Q1326" s="8">
        <v>0.0</v>
      </c>
      <c r="R1326" s="18">
        <f t="shared" si="6"/>
        <v>20.951</v>
      </c>
      <c r="S1326" s="19" t="s">
        <v>29</v>
      </c>
      <c r="T1326" s="19" t="s">
        <v>30</v>
      </c>
      <c r="U1326" s="44" t="s">
        <v>905</v>
      </c>
      <c r="V1326" s="37"/>
      <c r="W1326" s="7"/>
      <c r="X1326" s="7"/>
      <c r="Y1326" s="7"/>
      <c r="Z1326" s="7"/>
      <c r="AA1326" s="7"/>
    </row>
    <row r="1327" ht="18.75" customHeight="1">
      <c r="A1327" s="22" t="s">
        <v>1168</v>
      </c>
      <c r="B1327" s="23" t="s">
        <v>1187</v>
      </c>
      <c r="C1327" s="23" t="s">
        <v>1093</v>
      </c>
      <c r="D1327" s="24">
        <v>3113.0</v>
      </c>
      <c r="E1327" s="23" t="s">
        <v>1434</v>
      </c>
      <c r="F1327" s="25" t="s">
        <v>37</v>
      </c>
      <c r="G1327" s="108">
        <v>45541.0</v>
      </c>
      <c r="H1327" s="27">
        <v>1707.18</v>
      </c>
      <c r="I1327" s="28">
        <v>10.0</v>
      </c>
      <c r="J1327" s="29" t="s">
        <v>81</v>
      </c>
      <c r="K1327" s="30">
        <v>0.150000000000002</v>
      </c>
      <c r="L1327" s="31">
        <f t="shared" si="1"/>
        <v>1.5</v>
      </c>
      <c r="M1327" s="31">
        <f t="shared" si="2"/>
        <v>8.5</v>
      </c>
      <c r="N1327" s="32">
        <f t="shared" si="3"/>
        <v>256.077</v>
      </c>
      <c r="O1327" s="32">
        <f t="shared" si="4"/>
        <v>1451.103</v>
      </c>
      <c r="P1327" s="32">
        <f t="shared" si="5"/>
        <v>1451.103</v>
      </c>
      <c r="Q1327" s="22">
        <v>0.0</v>
      </c>
      <c r="R1327" s="32">
        <f t="shared" si="6"/>
        <v>170.718</v>
      </c>
      <c r="S1327" s="33" t="s">
        <v>29</v>
      </c>
      <c r="T1327" s="33" t="s">
        <v>30</v>
      </c>
      <c r="U1327" s="34"/>
      <c r="V1327" s="35"/>
      <c r="W1327" s="7"/>
      <c r="X1327" s="7"/>
      <c r="Y1327" s="7"/>
      <c r="Z1327" s="7"/>
      <c r="AA1327" s="7"/>
    </row>
    <row r="1328" ht="18.75" customHeight="1">
      <c r="A1328" s="8" t="s">
        <v>1168</v>
      </c>
      <c r="B1328" s="9" t="s">
        <v>1187</v>
      </c>
      <c r="C1328" s="9" t="s">
        <v>1093</v>
      </c>
      <c r="D1328" s="10">
        <v>3114.0</v>
      </c>
      <c r="E1328" s="9" t="s">
        <v>1429</v>
      </c>
      <c r="F1328" s="11" t="s">
        <v>37</v>
      </c>
      <c r="G1328" s="73">
        <v>45532.0</v>
      </c>
      <c r="H1328" s="13">
        <v>492.2</v>
      </c>
      <c r="I1328" s="14">
        <v>10.0</v>
      </c>
      <c r="J1328" s="15" t="s">
        <v>81</v>
      </c>
      <c r="K1328" s="16">
        <v>0.150000000000002</v>
      </c>
      <c r="L1328" s="17">
        <f t="shared" si="1"/>
        <v>1.5</v>
      </c>
      <c r="M1328" s="17">
        <f t="shared" si="2"/>
        <v>8.5</v>
      </c>
      <c r="N1328" s="18">
        <f t="shared" si="3"/>
        <v>73.83</v>
      </c>
      <c r="O1328" s="18">
        <f t="shared" si="4"/>
        <v>418.37</v>
      </c>
      <c r="P1328" s="18">
        <f t="shared" si="5"/>
        <v>418.37</v>
      </c>
      <c r="Q1328" s="8">
        <v>0.0</v>
      </c>
      <c r="R1328" s="18">
        <f t="shared" si="6"/>
        <v>49.22</v>
      </c>
      <c r="S1328" s="19" t="s">
        <v>29</v>
      </c>
      <c r="T1328" s="19" t="s">
        <v>30</v>
      </c>
      <c r="U1328" s="20"/>
      <c r="V1328" s="37"/>
      <c r="W1328" s="7"/>
      <c r="X1328" s="7"/>
      <c r="Y1328" s="7"/>
      <c r="Z1328" s="7"/>
      <c r="AA1328" s="7"/>
    </row>
    <row r="1329" ht="18.75" customHeight="1">
      <c r="A1329" s="22" t="s">
        <v>1168</v>
      </c>
      <c r="B1329" s="23" t="s">
        <v>1187</v>
      </c>
      <c r="C1329" s="23" t="s">
        <v>1093</v>
      </c>
      <c r="D1329" s="24">
        <v>3115.0</v>
      </c>
      <c r="E1329" s="23" t="s">
        <v>1429</v>
      </c>
      <c r="F1329" s="25" t="s">
        <v>37</v>
      </c>
      <c r="G1329" s="108">
        <v>45532.0</v>
      </c>
      <c r="H1329" s="27">
        <v>492.2</v>
      </c>
      <c r="I1329" s="28">
        <v>10.0</v>
      </c>
      <c r="J1329" s="29" t="s">
        <v>81</v>
      </c>
      <c r="K1329" s="30">
        <v>0.150000000000002</v>
      </c>
      <c r="L1329" s="31">
        <f t="shared" si="1"/>
        <v>1.5</v>
      </c>
      <c r="M1329" s="31">
        <f t="shared" si="2"/>
        <v>8.5</v>
      </c>
      <c r="N1329" s="32">
        <f t="shared" si="3"/>
        <v>73.83</v>
      </c>
      <c r="O1329" s="32">
        <f t="shared" si="4"/>
        <v>418.37</v>
      </c>
      <c r="P1329" s="32">
        <f t="shared" si="5"/>
        <v>418.37</v>
      </c>
      <c r="Q1329" s="22">
        <v>0.0</v>
      </c>
      <c r="R1329" s="32">
        <f t="shared" si="6"/>
        <v>49.22</v>
      </c>
      <c r="S1329" s="33" t="s">
        <v>29</v>
      </c>
      <c r="T1329" s="33" t="s">
        <v>30</v>
      </c>
      <c r="U1329" s="34"/>
      <c r="V1329" s="35"/>
      <c r="W1329" s="7"/>
      <c r="X1329" s="7"/>
      <c r="Y1329" s="7"/>
      <c r="Z1329" s="7"/>
      <c r="AA1329" s="7"/>
    </row>
    <row r="1330" ht="18.75" customHeight="1">
      <c r="A1330" s="8" t="s">
        <v>1168</v>
      </c>
      <c r="B1330" s="9" t="s">
        <v>1187</v>
      </c>
      <c r="C1330" s="9" t="s">
        <v>1093</v>
      </c>
      <c r="D1330" s="10">
        <v>3116.0</v>
      </c>
      <c r="E1330" s="9" t="s">
        <v>1429</v>
      </c>
      <c r="F1330" s="11" t="s">
        <v>37</v>
      </c>
      <c r="G1330" s="73">
        <v>45532.0</v>
      </c>
      <c r="H1330" s="13">
        <v>492.2</v>
      </c>
      <c r="I1330" s="14">
        <v>10.0</v>
      </c>
      <c r="J1330" s="15" t="s">
        <v>81</v>
      </c>
      <c r="K1330" s="16">
        <v>0.150000000000002</v>
      </c>
      <c r="L1330" s="17">
        <f t="shared" si="1"/>
        <v>1.5</v>
      </c>
      <c r="M1330" s="17">
        <f t="shared" si="2"/>
        <v>8.5</v>
      </c>
      <c r="N1330" s="18">
        <f t="shared" si="3"/>
        <v>73.83</v>
      </c>
      <c r="O1330" s="18">
        <f t="shared" si="4"/>
        <v>418.37</v>
      </c>
      <c r="P1330" s="18">
        <f t="shared" si="5"/>
        <v>418.37</v>
      </c>
      <c r="Q1330" s="8">
        <v>0.0</v>
      </c>
      <c r="R1330" s="18">
        <f t="shared" si="6"/>
        <v>49.22</v>
      </c>
      <c r="S1330" s="19" t="s">
        <v>29</v>
      </c>
      <c r="T1330" s="19" t="s">
        <v>30</v>
      </c>
      <c r="U1330" s="20"/>
      <c r="V1330" s="37"/>
      <c r="W1330" s="7"/>
      <c r="X1330" s="7"/>
      <c r="Y1330" s="7"/>
      <c r="Z1330" s="7"/>
      <c r="AA1330" s="7"/>
    </row>
    <row r="1331" ht="18.75" customHeight="1">
      <c r="A1331" s="22" t="s">
        <v>1168</v>
      </c>
      <c r="B1331" s="23" t="s">
        <v>1169</v>
      </c>
      <c r="C1331" s="23" t="s">
        <v>1170</v>
      </c>
      <c r="D1331" s="24">
        <v>3130.0</v>
      </c>
      <c r="E1331" s="41" t="s">
        <v>1450</v>
      </c>
      <c r="F1331" s="25" t="s">
        <v>128</v>
      </c>
      <c r="G1331" s="26"/>
      <c r="H1331" s="83">
        <v>2889.0</v>
      </c>
      <c r="I1331" s="28">
        <v>5.0</v>
      </c>
      <c r="J1331" s="29" t="s">
        <v>38</v>
      </c>
      <c r="K1331" s="30">
        <v>0.5</v>
      </c>
      <c r="L1331" s="31">
        <f t="shared" si="1"/>
        <v>2.5</v>
      </c>
      <c r="M1331" s="31">
        <f t="shared" si="2"/>
        <v>2.5</v>
      </c>
      <c r="N1331" s="32">
        <f t="shared" si="3"/>
        <v>1444.5</v>
      </c>
      <c r="O1331" s="32">
        <f t="shared" si="4"/>
        <v>1444.5</v>
      </c>
      <c r="P1331" s="32">
        <f t="shared" si="5"/>
        <v>1444.5</v>
      </c>
      <c r="Q1331" s="22">
        <v>0.0</v>
      </c>
      <c r="R1331" s="32">
        <f t="shared" si="6"/>
        <v>577.8</v>
      </c>
      <c r="S1331" s="33" t="s">
        <v>29</v>
      </c>
      <c r="T1331" s="33" t="s">
        <v>30</v>
      </c>
      <c r="U1331" s="34"/>
      <c r="V1331" s="124">
        <v>1.908</v>
      </c>
      <c r="W1331" s="7"/>
      <c r="X1331" s="7"/>
      <c r="Y1331" s="7"/>
      <c r="Z1331" s="7"/>
      <c r="AA1331" s="7"/>
    </row>
    <row r="1332" ht="18.75" customHeight="1">
      <c r="A1332" s="8" t="s">
        <v>1168</v>
      </c>
      <c r="B1332" s="9" t="s">
        <v>1187</v>
      </c>
      <c r="C1332" s="9" t="s">
        <v>1093</v>
      </c>
      <c r="D1332" s="10">
        <v>3140.0</v>
      </c>
      <c r="E1332" s="46" t="s">
        <v>1451</v>
      </c>
      <c r="F1332" s="11" t="s">
        <v>202</v>
      </c>
      <c r="G1332" s="39"/>
      <c r="H1332" s="116">
        <v>9399.0</v>
      </c>
      <c r="I1332" s="14">
        <v>5.0</v>
      </c>
      <c r="J1332" s="15" t="s">
        <v>81</v>
      </c>
      <c r="K1332" s="16">
        <v>0.150000000000002</v>
      </c>
      <c r="L1332" s="17">
        <f t="shared" si="1"/>
        <v>0.75</v>
      </c>
      <c r="M1332" s="17">
        <f t="shared" si="2"/>
        <v>4.25</v>
      </c>
      <c r="N1332" s="18">
        <f t="shared" si="3"/>
        <v>1409.85</v>
      </c>
      <c r="O1332" s="18">
        <f t="shared" si="4"/>
        <v>7989.15</v>
      </c>
      <c r="P1332" s="18">
        <f t="shared" si="5"/>
        <v>7989.15</v>
      </c>
      <c r="Q1332" s="8">
        <v>0.0</v>
      </c>
      <c r="R1332" s="18">
        <f t="shared" si="6"/>
        <v>1879.8</v>
      </c>
      <c r="S1332" s="19" t="s">
        <v>29</v>
      </c>
      <c r="T1332" s="19" t="s">
        <v>30</v>
      </c>
      <c r="U1332" s="20"/>
      <c r="V1332" s="125">
        <v>109659.0</v>
      </c>
      <c r="W1332" s="7"/>
      <c r="X1332" s="7"/>
      <c r="Y1332" s="7"/>
      <c r="Z1332" s="7"/>
      <c r="AA1332" s="7"/>
    </row>
    <row r="1333" ht="18.75" customHeight="1">
      <c r="A1333" s="22" t="s">
        <v>1168</v>
      </c>
      <c r="B1333" s="23" t="s">
        <v>1089</v>
      </c>
      <c r="C1333" s="23" t="s">
        <v>1214</v>
      </c>
      <c r="D1333" s="24">
        <v>3147.0</v>
      </c>
      <c r="E1333" s="23" t="s">
        <v>1414</v>
      </c>
      <c r="F1333" s="25" t="s">
        <v>37</v>
      </c>
      <c r="G1333" s="108">
        <v>45532.0</v>
      </c>
      <c r="H1333" s="27">
        <v>2014.8</v>
      </c>
      <c r="I1333" s="28">
        <v>10.0</v>
      </c>
      <c r="J1333" s="29" t="s">
        <v>81</v>
      </c>
      <c r="K1333" s="30">
        <v>0.150000000000002</v>
      </c>
      <c r="L1333" s="31">
        <f t="shared" si="1"/>
        <v>1.5</v>
      </c>
      <c r="M1333" s="31">
        <f t="shared" si="2"/>
        <v>8.5</v>
      </c>
      <c r="N1333" s="32">
        <f t="shared" si="3"/>
        <v>302.22</v>
      </c>
      <c r="O1333" s="32">
        <f t="shared" si="4"/>
        <v>1712.58</v>
      </c>
      <c r="P1333" s="32">
        <f t="shared" si="5"/>
        <v>1712.58</v>
      </c>
      <c r="Q1333" s="22">
        <v>0.0</v>
      </c>
      <c r="R1333" s="32">
        <f t="shared" si="6"/>
        <v>201.48</v>
      </c>
      <c r="S1333" s="33" t="s">
        <v>29</v>
      </c>
      <c r="T1333" s="33" t="s">
        <v>30</v>
      </c>
      <c r="U1333" s="34"/>
      <c r="V1333" s="35"/>
      <c r="W1333" s="7"/>
      <c r="X1333" s="7"/>
      <c r="Y1333" s="7"/>
      <c r="Z1333" s="7"/>
      <c r="AA1333" s="7"/>
    </row>
    <row r="1334" ht="18.75" customHeight="1">
      <c r="A1334" s="8" t="s">
        <v>1168</v>
      </c>
      <c r="B1334" s="9" t="s">
        <v>1211</v>
      </c>
      <c r="C1334" s="9" t="s">
        <v>1326</v>
      </c>
      <c r="D1334" s="10" t="s">
        <v>1452</v>
      </c>
      <c r="E1334" s="9" t="s">
        <v>1453</v>
      </c>
      <c r="F1334" s="11" t="s">
        <v>26</v>
      </c>
      <c r="G1334" s="39"/>
      <c r="H1334" s="13">
        <v>999.0</v>
      </c>
      <c r="I1334" s="14">
        <v>5.0</v>
      </c>
      <c r="J1334" s="15" t="s">
        <v>81</v>
      </c>
      <c r="K1334" s="16">
        <v>0.150000000000002</v>
      </c>
      <c r="L1334" s="17">
        <f t="shared" si="1"/>
        <v>0.75</v>
      </c>
      <c r="M1334" s="17">
        <f t="shared" si="2"/>
        <v>4.25</v>
      </c>
      <c r="N1334" s="18">
        <f t="shared" si="3"/>
        <v>149.85</v>
      </c>
      <c r="O1334" s="18">
        <f t="shared" si="4"/>
        <v>849.15</v>
      </c>
      <c r="P1334" s="18">
        <f t="shared" si="5"/>
        <v>849.15</v>
      </c>
      <c r="Q1334" s="8">
        <v>0.0</v>
      </c>
      <c r="R1334" s="18">
        <f t="shared" si="6"/>
        <v>199.8</v>
      </c>
      <c r="S1334" s="19" t="s">
        <v>29</v>
      </c>
      <c r="T1334" s="19" t="s">
        <v>30</v>
      </c>
      <c r="U1334" s="36" t="s">
        <v>1454</v>
      </c>
      <c r="V1334" s="37"/>
      <c r="W1334" s="7"/>
      <c r="X1334" s="7"/>
      <c r="Y1334" s="7"/>
      <c r="Z1334" s="7"/>
      <c r="AA1334" s="7"/>
    </row>
    <row r="1335" ht="18.75" customHeight="1">
      <c r="A1335" s="22" t="s">
        <v>1168</v>
      </c>
      <c r="B1335" s="23" t="s">
        <v>1211</v>
      </c>
      <c r="C1335" s="23" t="s">
        <v>1326</v>
      </c>
      <c r="D1335" s="24" t="s">
        <v>1452</v>
      </c>
      <c r="E1335" s="23" t="s">
        <v>1455</v>
      </c>
      <c r="F1335" s="25" t="s">
        <v>26</v>
      </c>
      <c r="G1335" s="40"/>
      <c r="H1335" s="27">
        <v>189.0</v>
      </c>
      <c r="I1335" s="28">
        <v>5.0</v>
      </c>
      <c r="J1335" s="29" t="s">
        <v>81</v>
      </c>
      <c r="K1335" s="30">
        <v>0.150000000000002</v>
      </c>
      <c r="L1335" s="31">
        <f t="shared" si="1"/>
        <v>0.75</v>
      </c>
      <c r="M1335" s="31">
        <f t="shared" si="2"/>
        <v>4.25</v>
      </c>
      <c r="N1335" s="32">
        <f t="shared" si="3"/>
        <v>28.35</v>
      </c>
      <c r="O1335" s="32">
        <f t="shared" si="4"/>
        <v>160.65</v>
      </c>
      <c r="P1335" s="32">
        <f t="shared" si="5"/>
        <v>160.65</v>
      </c>
      <c r="Q1335" s="22">
        <v>0.0</v>
      </c>
      <c r="R1335" s="32">
        <f t="shared" si="6"/>
        <v>37.8</v>
      </c>
      <c r="S1335" s="33" t="s">
        <v>29</v>
      </c>
      <c r="T1335" s="33" t="s">
        <v>30</v>
      </c>
      <c r="U1335" s="38" t="s">
        <v>1456</v>
      </c>
      <c r="V1335" s="35"/>
      <c r="W1335" s="7"/>
      <c r="X1335" s="7"/>
      <c r="Y1335" s="7"/>
      <c r="Z1335" s="7"/>
      <c r="AA1335" s="7"/>
    </row>
    <row r="1336" ht="18.75" customHeight="1">
      <c r="A1336" s="8" t="s">
        <v>1168</v>
      </c>
      <c r="B1336" s="9" t="s">
        <v>1067</v>
      </c>
      <c r="C1336" s="9" t="s">
        <v>253</v>
      </c>
      <c r="D1336" s="10" t="s">
        <v>1452</v>
      </c>
      <c r="E1336" s="9" t="s">
        <v>1457</v>
      </c>
      <c r="F1336" s="11" t="s">
        <v>37</v>
      </c>
      <c r="G1336" s="73">
        <v>45532.0</v>
      </c>
      <c r="H1336" s="13">
        <v>4765.0</v>
      </c>
      <c r="I1336" s="14">
        <v>10.0</v>
      </c>
      <c r="J1336" s="15" t="s">
        <v>81</v>
      </c>
      <c r="K1336" s="16">
        <v>0.150000000000002</v>
      </c>
      <c r="L1336" s="17">
        <f t="shared" si="1"/>
        <v>1.5</v>
      </c>
      <c r="M1336" s="17">
        <f t="shared" si="2"/>
        <v>8.5</v>
      </c>
      <c r="N1336" s="18">
        <f t="shared" si="3"/>
        <v>714.75</v>
      </c>
      <c r="O1336" s="18">
        <f t="shared" si="4"/>
        <v>4050.25</v>
      </c>
      <c r="P1336" s="18">
        <f t="shared" si="5"/>
        <v>4050.25</v>
      </c>
      <c r="Q1336" s="8">
        <v>0.0</v>
      </c>
      <c r="R1336" s="18">
        <f t="shared" si="6"/>
        <v>476.5</v>
      </c>
      <c r="S1336" s="19" t="s">
        <v>29</v>
      </c>
      <c r="T1336" s="19" t="s">
        <v>30</v>
      </c>
      <c r="U1336" s="20"/>
      <c r="V1336" s="37"/>
      <c r="W1336" s="7"/>
      <c r="X1336" s="7"/>
      <c r="Y1336" s="7"/>
      <c r="Z1336" s="7"/>
      <c r="AA1336" s="7"/>
    </row>
    <row r="1337" ht="18.75" customHeight="1">
      <c r="A1337" s="22" t="s">
        <v>1168</v>
      </c>
      <c r="B1337" s="23" t="s">
        <v>1067</v>
      </c>
      <c r="C1337" s="23" t="s">
        <v>253</v>
      </c>
      <c r="D1337" s="24" t="s">
        <v>1452</v>
      </c>
      <c r="E1337" s="23" t="s">
        <v>1457</v>
      </c>
      <c r="F1337" s="25" t="s">
        <v>37</v>
      </c>
      <c r="G1337" s="108">
        <v>45532.0</v>
      </c>
      <c r="H1337" s="27">
        <v>4765.0</v>
      </c>
      <c r="I1337" s="28">
        <v>10.0</v>
      </c>
      <c r="J1337" s="29" t="s">
        <v>81</v>
      </c>
      <c r="K1337" s="30">
        <v>0.150000000000002</v>
      </c>
      <c r="L1337" s="31">
        <f t="shared" si="1"/>
        <v>1.5</v>
      </c>
      <c r="M1337" s="31">
        <f t="shared" si="2"/>
        <v>8.5</v>
      </c>
      <c r="N1337" s="32">
        <f t="shared" si="3"/>
        <v>714.75</v>
      </c>
      <c r="O1337" s="32">
        <f t="shared" si="4"/>
        <v>4050.25</v>
      </c>
      <c r="P1337" s="32">
        <f t="shared" si="5"/>
        <v>4050.25</v>
      </c>
      <c r="Q1337" s="22">
        <v>0.0</v>
      </c>
      <c r="R1337" s="32">
        <f t="shared" si="6"/>
        <v>476.5</v>
      </c>
      <c r="S1337" s="33" t="s">
        <v>29</v>
      </c>
      <c r="T1337" s="33" t="s">
        <v>30</v>
      </c>
      <c r="U1337" s="34"/>
      <c r="V1337" s="35"/>
      <c r="W1337" s="7"/>
      <c r="X1337" s="7"/>
      <c r="Y1337" s="7"/>
      <c r="Z1337" s="7"/>
      <c r="AA1337" s="7"/>
    </row>
    <row r="1338" ht="18.75" customHeight="1">
      <c r="A1338" s="8" t="s">
        <v>1168</v>
      </c>
      <c r="B1338" s="9" t="s">
        <v>1067</v>
      </c>
      <c r="C1338" s="9" t="s">
        <v>253</v>
      </c>
      <c r="D1338" s="10" t="s">
        <v>1452</v>
      </c>
      <c r="E1338" s="9" t="s">
        <v>1457</v>
      </c>
      <c r="F1338" s="11" t="s">
        <v>37</v>
      </c>
      <c r="G1338" s="73">
        <v>45532.0</v>
      </c>
      <c r="H1338" s="13">
        <v>4765.0</v>
      </c>
      <c r="I1338" s="14">
        <v>10.0</v>
      </c>
      <c r="J1338" s="15" t="s">
        <v>81</v>
      </c>
      <c r="K1338" s="16">
        <v>0.150000000000002</v>
      </c>
      <c r="L1338" s="17">
        <f t="shared" si="1"/>
        <v>1.5</v>
      </c>
      <c r="M1338" s="17">
        <f t="shared" si="2"/>
        <v>8.5</v>
      </c>
      <c r="N1338" s="18">
        <f t="shared" si="3"/>
        <v>714.75</v>
      </c>
      <c r="O1338" s="18">
        <f t="shared" si="4"/>
        <v>4050.25</v>
      </c>
      <c r="P1338" s="18">
        <f t="shared" si="5"/>
        <v>4050.25</v>
      </c>
      <c r="Q1338" s="8">
        <v>0.0</v>
      </c>
      <c r="R1338" s="18">
        <f t="shared" si="6"/>
        <v>476.5</v>
      </c>
      <c r="S1338" s="19" t="s">
        <v>29</v>
      </c>
      <c r="T1338" s="19" t="s">
        <v>30</v>
      </c>
      <c r="U1338" s="20"/>
      <c r="V1338" s="37"/>
      <c r="W1338" s="7"/>
      <c r="X1338" s="7"/>
      <c r="Y1338" s="7"/>
      <c r="Z1338" s="7"/>
      <c r="AA1338" s="7"/>
    </row>
    <row r="1339" ht="18.75" customHeight="1">
      <c r="A1339" s="22" t="s">
        <v>1168</v>
      </c>
      <c r="B1339" s="23" t="s">
        <v>1067</v>
      </c>
      <c r="C1339" s="23" t="s">
        <v>253</v>
      </c>
      <c r="D1339" s="24" t="s">
        <v>1452</v>
      </c>
      <c r="E1339" s="23" t="s">
        <v>1457</v>
      </c>
      <c r="F1339" s="25" t="s">
        <v>37</v>
      </c>
      <c r="G1339" s="108">
        <v>45532.0</v>
      </c>
      <c r="H1339" s="27">
        <v>4765.0</v>
      </c>
      <c r="I1339" s="28">
        <v>10.0</v>
      </c>
      <c r="J1339" s="29" t="s">
        <v>81</v>
      </c>
      <c r="K1339" s="30">
        <v>0.150000000000002</v>
      </c>
      <c r="L1339" s="31">
        <f t="shared" si="1"/>
        <v>1.5</v>
      </c>
      <c r="M1339" s="31">
        <f t="shared" si="2"/>
        <v>8.5</v>
      </c>
      <c r="N1339" s="32">
        <f t="shared" si="3"/>
        <v>714.75</v>
      </c>
      <c r="O1339" s="32">
        <f t="shared" si="4"/>
        <v>4050.25</v>
      </c>
      <c r="P1339" s="32">
        <f t="shared" si="5"/>
        <v>4050.25</v>
      </c>
      <c r="Q1339" s="22">
        <v>0.0</v>
      </c>
      <c r="R1339" s="32">
        <f t="shared" si="6"/>
        <v>476.5</v>
      </c>
      <c r="S1339" s="33" t="s">
        <v>29</v>
      </c>
      <c r="T1339" s="33" t="s">
        <v>30</v>
      </c>
      <c r="U1339" s="34"/>
      <c r="V1339" s="35"/>
      <c r="W1339" s="7"/>
      <c r="X1339" s="7"/>
      <c r="Y1339" s="7"/>
      <c r="Z1339" s="7"/>
      <c r="AA1339" s="7"/>
    </row>
    <row r="1340" ht="18.75" customHeight="1">
      <c r="A1340" s="8" t="s">
        <v>1168</v>
      </c>
      <c r="B1340" s="9" t="s">
        <v>1067</v>
      </c>
      <c r="C1340" s="9" t="s">
        <v>253</v>
      </c>
      <c r="D1340" s="10" t="s">
        <v>1458</v>
      </c>
      <c r="E1340" s="9" t="s">
        <v>1459</v>
      </c>
      <c r="F1340" s="11" t="s">
        <v>26</v>
      </c>
      <c r="G1340" s="39"/>
      <c r="H1340" s="13">
        <v>1149.0</v>
      </c>
      <c r="I1340" s="14">
        <v>10.0</v>
      </c>
      <c r="J1340" s="15" t="s">
        <v>81</v>
      </c>
      <c r="K1340" s="16">
        <v>0.150000000000002</v>
      </c>
      <c r="L1340" s="17">
        <f t="shared" si="1"/>
        <v>1.5</v>
      </c>
      <c r="M1340" s="17">
        <f t="shared" si="2"/>
        <v>8.5</v>
      </c>
      <c r="N1340" s="18">
        <f t="shared" si="3"/>
        <v>172.35</v>
      </c>
      <c r="O1340" s="18">
        <f t="shared" si="4"/>
        <v>976.65</v>
      </c>
      <c r="P1340" s="18">
        <f t="shared" si="5"/>
        <v>976.65</v>
      </c>
      <c r="Q1340" s="8">
        <v>0.0</v>
      </c>
      <c r="R1340" s="18">
        <f t="shared" si="6"/>
        <v>114.9</v>
      </c>
      <c r="S1340" s="19" t="s">
        <v>29</v>
      </c>
      <c r="T1340" s="19" t="s">
        <v>30</v>
      </c>
      <c r="U1340" s="36" t="s">
        <v>1460</v>
      </c>
      <c r="V1340" s="37"/>
      <c r="W1340" s="7"/>
      <c r="X1340" s="7"/>
      <c r="Y1340" s="7"/>
      <c r="Z1340" s="7"/>
      <c r="AA1340" s="7"/>
    </row>
    <row r="1341" ht="18.75" customHeight="1">
      <c r="A1341" s="22" t="s">
        <v>1168</v>
      </c>
      <c r="B1341" s="102" t="s">
        <v>1178</v>
      </c>
      <c r="C1341" s="23" t="s">
        <v>1082</v>
      </c>
      <c r="D1341" s="24" t="s">
        <v>1461</v>
      </c>
      <c r="E1341" s="23" t="s">
        <v>1462</v>
      </c>
      <c r="F1341" s="25" t="s">
        <v>202</v>
      </c>
      <c r="G1341" s="40"/>
      <c r="H1341" s="27">
        <v>1842.07</v>
      </c>
      <c r="I1341" s="28">
        <v>5.0</v>
      </c>
      <c r="J1341" s="100" t="s">
        <v>54</v>
      </c>
      <c r="K1341" s="30">
        <v>0.3</v>
      </c>
      <c r="L1341" s="31">
        <f t="shared" si="1"/>
        <v>1.5</v>
      </c>
      <c r="M1341" s="31">
        <f t="shared" si="2"/>
        <v>3.5</v>
      </c>
      <c r="N1341" s="32">
        <f t="shared" si="3"/>
        <v>552.621</v>
      </c>
      <c r="O1341" s="32">
        <f t="shared" si="4"/>
        <v>1289.449</v>
      </c>
      <c r="P1341" s="32">
        <f t="shared" si="5"/>
        <v>1289.449</v>
      </c>
      <c r="Q1341" s="22">
        <v>0.0</v>
      </c>
      <c r="R1341" s="32">
        <f t="shared" si="6"/>
        <v>368.414</v>
      </c>
      <c r="S1341" s="33" t="s">
        <v>29</v>
      </c>
      <c r="T1341" s="33" t="s">
        <v>30</v>
      </c>
      <c r="U1341" s="38" t="s">
        <v>1264</v>
      </c>
      <c r="V1341" s="35"/>
      <c r="W1341" s="7"/>
      <c r="X1341" s="7"/>
      <c r="Y1341" s="7"/>
      <c r="Z1341" s="7"/>
      <c r="AA1341" s="7"/>
    </row>
    <row r="1342" ht="18.75" customHeight="1">
      <c r="A1342" s="8" t="s">
        <v>1168</v>
      </c>
      <c r="B1342" s="9" t="s">
        <v>1187</v>
      </c>
      <c r="C1342" s="9" t="s">
        <v>1093</v>
      </c>
      <c r="D1342" s="10" t="s">
        <v>1461</v>
      </c>
      <c r="E1342" s="115" t="s">
        <v>1397</v>
      </c>
      <c r="F1342" s="11" t="s">
        <v>26</v>
      </c>
      <c r="G1342" s="39"/>
      <c r="H1342" s="13">
        <v>2101.05</v>
      </c>
      <c r="I1342" s="14">
        <v>5.0</v>
      </c>
      <c r="J1342" s="101" t="s">
        <v>54</v>
      </c>
      <c r="K1342" s="16">
        <v>0.3</v>
      </c>
      <c r="L1342" s="17">
        <f t="shared" si="1"/>
        <v>1.5</v>
      </c>
      <c r="M1342" s="17">
        <f t="shared" si="2"/>
        <v>3.5</v>
      </c>
      <c r="N1342" s="18">
        <f t="shared" si="3"/>
        <v>630.315</v>
      </c>
      <c r="O1342" s="18">
        <f t="shared" si="4"/>
        <v>1470.735</v>
      </c>
      <c r="P1342" s="18">
        <f t="shared" si="5"/>
        <v>1470.735</v>
      </c>
      <c r="Q1342" s="8">
        <v>0.0</v>
      </c>
      <c r="R1342" s="18">
        <f t="shared" si="6"/>
        <v>420.21</v>
      </c>
      <c r="S1342" s="19" t="s">
        <v>29</v>
      </c>
      <c r="T1342" s="19" t="s">
        <v>30</v>
      </c>
      <c r="U1342" s="20" t="s">
        <v>102</v>
      </c>
      <c r="V1342" s="37"/>
      <c r="W1342" s="7"/>
      <c r="X1342" s="7"/>
      <c r="Y1342" s="7"/>
      <c r="Z1342" s="7"/>
      <c r="AA1342" s="7"/>
    </row>
    <row r="1343" ht="18.75" customHeight="1">
      <c r="A1343" s="22" t="s">
        <v>1168</v>
      </c>
      <c r="B1343" s="23" t="s">
        <v>1187</v>
      </c>
      <c r="C1343" s="23" t="s">
        <v>1093</v>
      </c>
      <c r="D1343" s="24" t="s">
        <v>1461</v>
      </c>
      <c r="E1343" s="41" t="s">
        <v>1463</v>
      </c>
      <c r="F1343" s="25" t="s">
        <v>37</v>
      </c>
      <c r="G1343" s="40"/>
      <c r="H1343" s="104">
        <v>255.7</v>
      </c>
      <c r="I1343" s="28">
        <v>10.0</v>
      </c>
      <c r="J1343" s="100" t="s">
        <v>54</v>
      </c>
      <c r="K1343" s="30">
        <v>0.3</v>
      </c>
      <c r="L1343" s="31">
        <f t="shared" si="1"/>
        <v>3</v>
      </c>
      <c r="M1343" s="31">
        <f t="shared" si="2"/>
        <v>7</v>
      </c>
      <c r="N1343" s="32">
        <f t="shared" si="3"/>
        <v>76.71</v>
      </c>
      <c r="O1343" s="32">
        <f t="shared" si="4"/>
        <v>178.99</v>
      </c>
      <c r="P1343" s="32">
        <f t="shared" si="5"/>
        <v>178.99</v>
      </c>
      <c r="Q1343" s="22">
        <v>0.0</v>
      </c>
      <c r="R1343" s="32">
        <f t="shared" si="6"/>
        <v>25.57</v>
      </c>
      <c r="S1343" s="33" t="s">
        <v>29</v>
      </c>
      <c r="T1343" s="33" t="s">
        <v>30</v>
      </c>
      <c r="U1343" s="126" t="s">
        <v>300</v>
      </c>
      <c r="V1343" s="35"/>
      <c r="W1343" s="7"/>
      <c r="X1343" s="7"/>
      <c r="Y1343" s="7"/>
      <c r="Z1343" s="7"/>
      <c r="AA1343" s="7"/>
    </row>
    <row r="1344" ht="18.75" customHeight="1">
      <c r="A1344" s="8" t="s">
        <v>1168</v>
      </c>
      <c r="B1344" s="9" t="s">
        <v>1187</v>
      </c>
      <c r="C1344" s="9" t="s">
        <v>1093</v>
      </c>
      <c r="D1344" s="10" t="s">
        <v>1461</v>
      </c>
      <c r="E1344" s="46" t="s">
        <v>1464</v>
      </c>
      <c r="F1344" s="11" t="s">
        <v>37</v>
      </c>
      <c r="G1344" s="39"/>
      <c r="H1344" s="43">
        <v>255.7</v>
      </c>
      <c r="I1344" s="14">
        <v>10.0</v>
      </c>
      <c r="J1344" s="101" t="s">
        <v>54</v>
      </c>
      <c r="K1344" s="16">
        <v>0.3</v>
      </c>
      <c r="L1344" s="17">
        <f t="shared" si="1"/>
        <v>3</v>
      </c>
      <c r="M1344" s="17">
        <f t="shared" si="2"/>
        <v>7</v>
      </c>
      <c r="N1344" s="18">
        <f t="shared" si="3"/>
        <v>76.71</v>
      </c>
      <c r="O1344" s="18">
        <f t="shared" si="4"/>
        <v>178.99</v>
      </c>
      <c r="P1344" s="18">
        <f t="shared" si="5"/>
        <v>178.99</v>
      </c>
      <c r="Q1344" s="8">
        <v>0.0</v>
      </c>
      <c r="R1344" s="18">
        <f t="shared" si="6"/>
        <v>25.57</v>
      </c>
      <c r="S1344" s="19" t="s">
        <v>29</v>
      </c>
      <c r="T1344" s="19" t="s">
        <v>30</v>
      </c>
      <c r="U1344" s="47" t="s">
        <v>300</v>
      </c>
      <c r="V1344" s="37"/>
      <c r="W1344" s="7"/>
      <c r="X1344" s="7"/>
      <c r="Y1344" s="7"/>
      <c r="Z1344" s="7"/>
      <c r="AA1344" s="7"/>
    </row>
    <row r="1345" ht="18.75" customHeight="1">
      <c r="A1345" s="22" t="s">
        <v>1168</v>
      </c>
      <c r="B1345" s="23" t="s">
        <v>1211</v>
      </c>
      <c r="C1345" s="23" t="s">
        <v>1212</v>
      </c>
      <c r="D1345" s="24" t="s">
        <v>1461</v>
      </c>
      <c r="E1345" s="23" t="s">
        <v>1465</v>
      </c>
      <c r="F1345" s="25" t="s">
        <v>26</v>
      </c>
      <c r="G1345" s="26" t="s">
        <v>27</v>
      </c>
      <c r="H1345" s="27">
        <v>37.9</v>
      </c>
      <c r="I1345" s="28">
        <v>5.0</v>
      </c>
      <c r="J1345" s="29" t="s">
        <v>38</v>
      </c>
      <c r="K1345" s="30">
        <v>0.5</v>
      </c>
      <c r="L1345" s="31">
        <f t="shared" si="1"/>
        <v>2.5</v>
      </c>
      <c r="M1345" s="31">
        <f t="shared" si="2"/>
        <v>2.5</v>
      </c>
      <c r="N1345" s="32">
        <f t="shared" si="3"/>
        <v>18.95</v>
      </c>
      <c r="O1345" s="32">
        <f t="shared" si="4"/>
        <v>18.95</v>
      </c>
      <c r="P1345" s="32">
        <f t="shared" si="5"/>
        <v>18.95</v>
      </c>
      <c r="Q1345" s="22">
        <v>0.0</v>
      </c>
      <c r="R1345" s="32">
        <f t="shared" si="6"/>
        <v>7.58</v>
      </c>
      <c r="S1345" s="33" t="s">
        <v>29</v>
      </c>
      <c r="T1345" s="33" t="s">
        <v>30</v>
      </c>
      <c r="U1345" s="34" t="s">
        <v>302</v>
      </c>
      <c r="V1345" s="35"/>
      <c r="W1345" s="7"/>
      <c r="X1345" s="7"/>
      <c r="Y1345" s="7"/>
      <c r="Z1345" s="7"/>
      <c r="AA1345" s="7"/>
    </row>
    <row r="1346" ht="18.75" customHeight="1">
      <c r="A1346" s="8" t="s">
        <v>1168</v>
      </c>
      <c r="B1346" s="103" t="s">
        <v>1178</v>
      </c>
      <c r="C1346" s="9" t="s">
        <v>1206</v>
      </c>
      <c r="D1346" s="10" t="s">
        <v>1461</v>
      </c>
      <c r="E1346" s="9" t="s">
        <v>1414</v>
      </c>
      <c r="F1346" s="11" t="s">
        <v>37</v>
      </c>
      <c r="G1346" s="73">
        <v>45532.0</v>
      </c>
      <c r="H1346" s="13">
        <v>2014.8</v>
      </c>
      <c r="I1346" s="14">
        <v>10.0</v>
      </c>
      <c r="J1346" s="101" t="s">
        <v>54</v>
      </c>
      <c r="K1346" s="16">
        <v>0.3</v>
      </c>
      <c r="L1346" s="17">
        <f t="shared" si="1"/>
        <v>3</v>
      </c>
      <c r="M1346" s="17">
        <f t="shared" si="2"/>
        <v>7</v>
      </c>
      <c r="N1346" s="18">
        <f t="shared" si="3"/>
        <v>604.44</v>
      </c>
      <c r="O1346" s="18">
        <f t="shared" si="4"/>
        <v>1410.36</v>
      </c>
      <c r="P1346" s="18">
        <f t="shared" si="5"/>
        <v>1410.36</v>
      </c>
      <c r="Q1346" s="8">
        <v>0.0</v>
      </c>
      <c r="R1346" s="18">
        <f t="shared" si="6"/>
        <v>201.48</v>
      </c>
      <c r="S1346" s="19" t="s">
        <v>29</v>
      </c>
      <c r="T1346" s="19" t="s">
        <v>30</v>
      </c>
      <c r="U1346" s="20"/>
      <c r="V1346" s="37"/>
      <c r="W1346" s="7"/>
      <c r="X1346" s="7"/>
      <c r="Y1346" s="7"/>
      <c r="Z1346" s="7"/>
      <c r="AA1346" s="7"/>
    </row>
    <row r="1347" ht="18.75" customHeight="1">
      <c r="A1347" s="22" t="s">
        <v>1168</v>
      </c>
      <c r="B1347" s="23" t="s">
        <v>1089</v>
      </c>
      <c r="C1347" s="23" t="s">
        <v>1214</v>
      </c>
      <c r="D1347" s="24" t="s">
        <v>1461</v>
      </c>
      <c r="E1347" s="23" t="s">
        <v>1466</v>
      </c>
      <c r="F1347" s="25" t="s">
        <v>37</v>
      </c>
      <c r="G1347" s="26" t="s">
        <v>27</v>
      </c>
      <c r="H1347" s="27">
        <v>285.0</v>
      </c>
      <c r="I1347" s="28">
        <v>10.0</v>
      </c>
      <c r="J1347" s="100" t="s">
        <v>54</v>
      </c>
      <c r="K1347" s="30">
        <v>0.3</v>
      </c>
      <c r="L1347" s="31">
        <f t="shared" si="1"/>
        <v>3</v>
      </c>
      <c r="M1347" s="31">
        <f t="shared" si="2"/>
        <v>7</v>
      </c>
      <c r="N1347" s="32">
        <f t="shared" si="3"/>
        <v>85.5</v>
      </c>
      <c r="O1347" s="32">
        <f t="shared" si="4"/>
        <v>199.5</v>
      </c>
      <c r="P1347" s="32">
        <f t="shared" si="5"/>
        <v>199.5</v>
      </c>
      <c r="Q1347" s="22">
        <v>0.0</v>
      </c>
      <c r="R1347" s="32">
        <f t="shared" si="6"/>
        <v>28.5</v>
      </c>
      <c r="S1347" s="33" t="s">
        <v>29</v>
      </c>
      <c r="T1347" s="33" t="s">
        <v>30</v>
      </c>
      <c r="U1347" s="34" t="s">
        <v>527</v>
      </c>
      <c r="V1347" s="35"/>
      <c r="W1347" s="7"/>
      <c r="X1347" s="7"/>
      <c r="Y1347" s="7"/>
      <c r="Z1347" s="7"/>
      <c r="AA1347" s="7"/>
    </row>
    <row r="1348" ht="18.75" customHeight="1">
      <c r="A1348" s="8" t="s">
        <v>1168</v>
      </c>
      <c r="B1348" s="103" t="s">
        <v>1178</v>
      </c>
      <c r="C1348" s="9" t="s">
        <v>1082</v>
      </c>
      <c r="D1348" s="10" t="s">
        <v>1461</v>
      </c>
      <c r="E1348" s="9" t="s">
        <v>1467</v>
      </c>
      <c r="F1348" s="11" t="s">
        <v>37</v>
      </c>
      <c r="G1348" s="12" t="s">
        <v>27</v>
      </c>
      <c r="H1348" s="13">
        <v>285.0</v>
      </c>
      <c r="I1348" s="14">
        <v>10.0</v>
      </c>
      <c r="J1348" s="101" t="s">
        <v>54</v>
      </c>
      <c r="K1348" s="16">
        <v>0.3</v>
      </c>
      <c r="L1348" s="17">
        <f t="shared" si="1"/>
        <v>3</v>
      </c>
      <c r="M1348" s="17">
        <f t="shared" si="2"/>
        <v>7</v>
      </c>
      <c r="N1348" s="18">
        <f t="shared" si="3"/>
        <v>85.5</v>
      </c>
      <c r="O1348" s="18">
        <f t="shared" si="4"/>
        <v>199.5</v>
      </c>
      <c r="P1348" s="18">
        <f t="shared" si="5"/>
        <v>199.5</v>
      </c>
      <c r="Q1348" s="8">
        <v>0.0</v>
      </c>
      <c r="R1348" s="18">
        <f t="shared" si="6"/>
        <v>28.5</v>
      </c>
      <c r="S1348" s="19" t="s">
        <v>29</v>
      </c>
      <c r="T1348" s="19" t="s">
        <v>30</v>
      </c>
      <c r="U1348" s="20" t="s">
        <v>527</v>
      </c>
      <c r="V1348" s="37"/>
      <c r="W1348" s="7"/>
      <c r="X1348" s="7"/>
      <c r="Y1348" s="7"/>
      <c r="Z1348" s="7"/>
      <c r="AA1348" s="7"/>
    </row>
    <row r="1349" ht="18.75" customHeight="1">
      <c r="A1349" s="22" t="s">
        <v>1168</v>
      </c>
      <c r="B1349" s="23" t="s">
        <v>1169</v>
      </c>
      <c r="C1349" s="23" t="s">
        <v>1170</v>
      </c>
      <c r="D1349" s="24" t="s">
        <v>1461</v>
      </c>
      <c r="E1349" s="23" t="s">
        <v>1197</v>
      </c>
      <c r="F1349" s="25" t="s">
        <v>37</v>
      </c>
      <c r="G1349" s="26" t="s">
        <v>27</v>
      </c>
      <c r="H1349" s="27">
        <v>332.91</v>
      </c>
      <c r="I1349" s="28">
        <v>10.0</v>
      </c>
      <c r="J1349" s="100" t="s">
        <v>54</v>
      </c>
      <c r="K1349" s="30">
        <v>0.3</v>
      </c>
      <c r="L1349" s="31">
        <f t="shared" si="1"/>
        <v>3</v>
      </c>
      <c r="M1349" s="31">
        <f t="shared" si="2"/>
        <v>7</v>
      </c>
      <c r="N1349" s="32">
        <f t="shared" si="3"/>
        <v>99.873</v>
      </c>
      <c r="O1349" s="32">
        <f t="shared" si="4"/>
        <v>233.037</v>
      </c>
      <c r="P1349" s="32">
        <f t="shared" si="5"/>
        <v>233.037</v>
      </c>
      <c r="Q1349" s="22">
        <v>0.0</v>
      </c>
      <c r="R1349" s="32">
        <f t="shared" si="6"/>
        <v>33.291</v>
      </c>
      <c r="S1349" s="33" t="s">
        <v>29</v>
      </c>
      <c r="T1349" s="33" t="s">
        <v>30</v>
      </c>
      <c r="U1349" s="38" t="s">
        <v>787</v>
      </c>
      <c r="V1349" s="35"/>
      <c r="W1349" s="7"/>
      <c r="X1349" s="7"/>
      <c r="Y1349" s="7"/>
      <c r="Z1349" s="7"/>
      <c r="AA1349" s="7"/>
    </row>
    <row r="1350" ht="18.75" customHeight="1">
      <c r="A1350" s="8" t="s">
        <v>1168</v>
      </c>
      <c r="B1350" s="103" t="s">
        <v>1178</v>
      </c>
      <c r="C1350" s="9" t="s">
        <v>1206</v>
      </c>
      <c r="D1350" s="10" t="s">
        <v>1461</v>
      </c>
      <c r="E1350" s="46" t="s">
        <v>1468</v>
      </c>
      <c r="F1350" s="11" t="s">
        <v>202</v>
      </c>
      <c r="G1350" s="39"/>
      <c r="H1350" s="116">
        <v>2199.0</v>
      </c>
      <c r="I1350" s="14">
        <v>5.0</v>
      </c>
      <c r="J1350" s="101" t="s">
        <v>54</v>
      </c>
      <c r="K1350" s="16">
        <v>0.3</v>
      </c>
      <c r="L1350" s="17">
        <f t="shared" si="1"/>
        <v>1.5</v>
      </c>
      <c r="M1350" s="17">
        <f t="shared" si="2"/>
        <v>3.5</v>
      </c>
      <c r="N1350" s="18">
        <f t="shared" si="3"/>
        <v>659.7</v>
      </c>
      <c r="O1350" s="18">
        <f t="shared" si="4"/>
        <v>1539.3</v>
      </c>
      <c r="P1350" s="18">
        <f t="shared" si="5"/>
        <v>1539.3</v>
      </c>
      <c r="Q1350" s="8">
        <v>0.0</v>
      </c>
      <c r="R1350" s="18">
        <f t="shared" si="6"/>
        <v>439.8</v>
      </c>
      <c r="S1350" s="19" t="s">
        <v>29</v>
      </c>
      <c r="T1350" s="19" t="s">
        <v>30</v>
      </c>
      <c r="U1350" s="118" t="s">
        <v>1469</v>
      </c>
      <c r="V1350" s="37"/>
      <c r="W1350" s="7"/>
      <c r="X1350" s="7"/>
      <c r="Y1350" s="7"/>
      <c r="Z1350" s="7"/>
      <c r="AA1350" s="7"/>
    </row>
    <row r="1351" ht="18.75" customHeight="1">
      <c r="A1351" s="22" t="s">
        <v>1168</v>
      </c>
      <c r="B1351" s="23" t="s">
        <v>1187</v>
      </c>
      <c r="C1351" s="23" t="s">
        <v>1093</v>
      </c>
      <c r="D1351" s="24" t="s">
        <v>1461</v>
      </c>
      <c r="E1351" s="41" t="s">
        <v>1468</v>
      </c>
      <c r="F1351" s="25" t="s">
        <v>202</v>
      </c>
      <c r="G1351" s="40"/>
      <c r="H1351" s="83">
        <v>2199.0</v>
      </c>
      <c r="I1351" s="28">
        <v>5.0</v>
      </c>
      <c r="J1351" s="100" t="s">
        <v>54</v>
      </c>
      <c r="K1351" s="30">
        <v>0.3</v>
      </c>
      <c r="L1351" s="31">
        <f t="shared" si="1"/>
        <v>1.5</v>
      </c>
      <c r="M1351" s="31">
        <f t="shared" si="2"/>
        <v>3.5</v>
      </c>
      <c r="N1351" s="32">
        <f t="shared" si="3"/>
        <v>659.7</v>
      </c>
      <c r="O1351" s="32">
        <f t="shared" si="4"/>
        <v>1539.3</v>
      </c>
      <c r="P1351" s="32">
        <f t="shared" si="5"/>
        <v>1539.3</v>
      </c>
      <c r="Q1351" s="22">
        <v>0.0</v>
      </c>
      <c r="R1351" s="32">
        <f t="shared" si="6"/>
        <v>439.8</v>
      </c>
      <c r="S1351" s="33" t="s">
        <v>29</v>
      </c>
      <c r="T1351" s="33" t="s">
        <v>30</v>
      </c>
      <c r="U1351" s="80" t="s">
        <v>1470</v>
      </c>
      <c r="V1351" s="35"/>
      <c r="W1351" s="7"/>
      <c r="X1351" s="7"/>
      <c r="Y1351" s="7"/>
      <c r="Z1351" s="7"/>
      <c r="AA1351" s="7"/>
    </row>
    <row r="1352" ht="18.75" customHeight="1">
      <c r="A1352" s="8" t="s">
        <v>1168</v>
      </c>
      <c r="B1352" s="9" t="s">
        <v>1343</v>
      </c>
      <c r="C1352" s="9" t="s">
        <v>1170</v>
      </c>
      <c r="D1352" s="10" t="s">
        <v>1461</v>
      </c>
      <c r="E1352" s="46" t="s">
        <v>1468</v>
      </c>
      <c r="F1352" s="11" t="s">
        <v>202</v>
      </c>
      <c r="G1352" s="39"/>
      <c r="H1352" s="116">
        <v>2199.0</v>
      </c>
      <c r="I1352" s="14">
        <v>5.0</v>
      </c>
      <c r="J1352" s="101" t="s">
        <v>54</v>
      </c>
      <c r="K1352" s="16">
        <v>0.3</v>
      </c>
      <c r="L1352" s="17">
        <f t="shared" si="1"/>
        <v>1.5</v>
      </c>
      <c r="M1352" s="17">
        <f t="shared" si="2"/>
        <v>3.5</v>
      </c>
      <c r="N1352" s="18">
        <f t="shared" si="3"/>
        <v>659.7</v>
      </c>
      <c r="O1352" s="18">
        <f t="shared" si="4"/>
        <v>1539.3</v>
      </c>
      <c r="P1352" s="18">
        <f t="shared" si="5"/>
        <v>1539.3</v>
      </c>
      <c r="Q1352" s="8">
        <v>0.0</v>
      </c>
      <c r="R1352" s="18">
        <f t="shared" si="6"/>
        <v>439.8</v>
      </c>
      <c r="S1352" s="19" t="s">
        <v>29</v>
      </c>
      <c r="T1352" s="19" t="s">
        <v>30</v>
      </c>
      <c r="U1352" s="118" t="s">
        <v>1471</v>
      </c>
      <c r="V1352" s="37"/>
      <c r="W1352" s="7"/>
      <c r="X1352" s="7"/>
      <c r="Y1352" s="7"/>
      <c r="Z1352" s="7"/>
      <c r="AA1352" s="7"/>
    </row>
    <row r="1353" ht="18.75" customHeight="1">
      <c r="A1353" s="22" t="s">
        <v>1168</v>
      </c>
      <c r="B1353" s="23" t="s">
        <v>1211</v>
      </c>
      <c r="C1353" s="23" t="s">
        <v>1212</v>
      </c>
      <c r="D1353" s="24" t="s">
        <v>1461</v>
      </c>
      <c r="E1353" s="41" t="s">
        <v>1468</v>
      </c>
      <c r="F1353" s="25" t="s">
        <v>202</v>
      </c>
      <c r="G1353" s="40"/>
      <c r="H1353" s="83">
        <v>2199.0</v>
      </c>
      <c r="I1353" s="28">
        <v>5.0</v>
      </c>
      <c r="J1353" s="100" t="s">
        <v>54</v>
      </c>
      <c r="K1353" s="30">
        <v>0.3</v>
      </c>
      <c r="L1353" s="31">
        <f t="shared" si="1"/>
        <v>1.5</v>
      </c>
      <c r="M1353" s="31">
        <f t="shared" si="2"/>
        <v>3.5</v>
      </c>
      <c r="N1353" s="32">
        <f t="shared" si="3"/>
        <v>659.7</v>
      </c>
      <c r="O1353" s="32">
        <f t="shared" si="4"/>
        <v>1539.3</v>
      </c>
      <c r="P1353" s="32">
        <f t="shared" si="5"/>
        <v>1539.3</v>
      </c>
      <c r="Q1353" s="22">
        <v>0.0</v>
      </c>
      <c r="R1353" s="32">
        <f t="shared" si="6"/>
        <v>439.8</v>
      </c>
      <c r="S1353" s="33" t="s">
        <v>29</v>
      </c>
      <c r="T1353" s="33" t="s">
        <v>30</v>
      </c>
      <c r="U1353" s="80" t="s">
        <v>1472</v>
      </c>
      <c r="V1353" s="35"/>
      <c r="W1353" s="7"/>
      <c r="X1353" s="7"/>
      <c r="Y1353" s="7"/>
      <c r="Z1353" s="7"/>
      <c r="AA1353" s="7"/>
    </row>
    <row r="1354" ht="18.75" customHeight="1">
      <c r="A1354" s="8" t="s">
        <v>1168</v>
      </c>
      <c r="B1354" s="9" t="s">
        <v>1211</v>
      </c>
      <c r="C1354" s="9" t="s">
        <v>1212</v>
      </c>
      <c r="D1354" s="10" t="s">
        <v>1461</v>
      </c>
      <c r="E1354" s="9" t="s">
        <v>1473</v>
      </c>
      <c r="F1354" s="11" t="s">
        <v>26</v>
      </c>
      <c r="G1354" s="12" t="s">
        <v>27</v>
      </c>
      <c r="H1354" s="13">
        <v>235.03</v>
      </c>
      <c r="I1354" s="14">
        <v>10.0</v>
      </c>
      <c r="J1354" s="15" t="s">
        <v>38</v>
      </c>
      <c r="K1354" s="16">
        <v>0.5</v>
      </c>
      <c r="L1354" s="17">
        <f t="shared" si="1"/>
        <v>5</v>
      </c>
      <c r="M1354" s="17">
        <f t="shared" si="2"/>
        <v>5</v>
      </c>
      <c r="N1354" s="18">
        <f t="shared" si="3"/>
        <v>117.515</v>
      </c>
      <c r="O1354" s="18">
        <f t="shared" si="4"/>
        <v>117.515</v>
      </c>
      <c r="P1354" s="18">
        <f t="shared" si="5"/>
        <v>117.515</v>
      </c>
      <c r="Q1354" s="8">
        <v>0.0</v>
      </c>
      <c r="R1354" s="18">
        <f t="shared" si="6"/>
        <v>23.503</v>
      </c>
      <c r="S1354" s="19" t="s">
        <v>29</v>
      </c>
      <c r="T1354" s="19" t="s">
        <v>30</v>
      </c>
      <c r="U1354" s="20" t="s">
        <v>96</v>
      </c>
      <c r="V1354" s="37"/>
      <c r="W1354" s="7"/>
      <c r="X1354" s="7"/>
      <c r="Y1354" s="7"/>
      <c r="Z1354" s="7"/>
      <c r="AA1354" s="7"/>
    </row>
    <row r="1355" ht="18.75" customHeight="1">
      <c r="A1355" s="22" t="s">
        <v>1168</v>
      </c>
      <c r="B1355" s="23" t="s">
        <v>1089</v>
      </c>
      <c r="C1355" s="23" t="s">
        <v>1214</v>
      </c>
      <c r="D1355" s="24" t="s">
        <v>1461</v>
      </c>
      <c r="E1355" s="23" t="s">
        <v>128</v>
      </c>
      <c r="F1355" s="25" t="s">
        <v>128</v>
      </c>
      <c r="G1355" s="26" t="s">
        <v>27</v>
      </c>
      <c r="H1355" s="27">
        <v>1669.0</v>
      </c>
      <c r="I1355" s="28">
        <v>5.0</v>
      </c>
      <c r="J1355" s="29" t="s">
        <v>38</v>
      </c>
      <c r="K1355" s="30">
        <v>0.5</v>
      </c>
      <c r="L1355" s="31">
        <f t="shared" si="1"/>
        <v>2.5</v>
      </c>
      <c r="M1355" s="31">
        <f t="shared" si="2"/>
        <v>2.5</v>
      </c>
      <c r="N1355" s="32">
        <f t="shared" si="3"/>
        <v>834.5</v>
      </c>
      <c r="O1355" s="32">
        <f t="shared" si="4"/>
        <v>834.5</v>
      </c>
      <c r="P1355" s="32">
        <f t="shared" si="5"/>
        <v>834.5</v>
      </c>
      <c r="Q1355" s="22">
        <v>0.0</v>
      </c>
      <c r="R1355" s="32">
        <f t="shared" si="6"/>
        <v>333.8</v>
      </c>
      <c r="S1355" s="33" t="s">
        <v>29</v>
      </c>
      <c r="T1355" s="33" t="s">
        <v>30</v>
      </c>
      <c r="U1355" s="34" t="s">
        <v>129</v>
      </c>
      <c r="V1355" s="35"/>
      <c r="W1355" s="7"/>
      <c r="X1355" s="7"/>
      <c r="Y1355" s="7"/>
      <c r="Z1355" s="7"/>
      <c r="AA1355" s="7"/>
    </row>
    <row r="1356" ht="18.75" customHeight="1">
      <c r="A1356" s="8" t="s">
        <v>1168</v>
      </c>
      <c r="B1356" s="9" t="s">
        <v>1067</v>
      </c>
      <c r="C1356" s="9" t="s">
        <v>253</v>
      </c>
      <c r="D1356" s="10" t="s">
        <v>1461</v>
      </c>
      <c r="E1356" s="9" t="s">
        <v>1474</v>
      </c>
      <c r="F1356" s="11" t="s">
        <v>26</v>
      </c>
      <c r="G1356" s="12" t="s">
        <v>27</v>
      </c>
      <c r="H1356" s="13">
        <v>599.0</v>
      </c>
      <c r="I1356" s="14">
        <v>5.0</v>
      </c>
      <c r="J1356" s="15" t="s">
        <v>38</v>
      </c>
      <c r="K1356" s="16">
        <v>0.5</v>
      </c>
      <c r="L1356" s="17">
        <f t="shared" si="1"/>
        <v>2.5</v>
      </c>
      <c r="M1356" s="17">
        <f t="shared" si="2"/>
        <v>2.5</v>
      </c>
      <c r="N1356" s="18">
        <f t="shared" si="3"/>
        <v>299.5</v>
      </c>
      <c r="O1356" s="18">
        <f t="shared" si="4"/>
        <v>299.5</v>
      </c>
      <c r="P1356" s="18">
        <f t="shared" si="5"/>
        <v>299.5</v>
      </c>
      <c r="Q1356" s="8">
        <v>0.0</v>
      </c>
      <c r="R1356" s="18">
        <f t="shared" si="6"/>
        <v>119.8</v>
      </c>
      <c r="S1356" s="19" t="s">
        <v>29</v>
      </c>
      <c r="T1356" s="19" t="s">
        <v>30</v>
      </c>
      <c r="U1356" s="20" t="s">
        <v>942</v>
      </c>
      <c r="V1356" s="37"/>
      <c r="W1356" s="7"/>
      <c r="X1356" s="7"/>
      <c r="Y1356" s="7"/>
      <c r="Z1356" s="7"/>
      <c r="AA1356" s="7"/>
    </row>
    <row r="1357" ht="18.75" customHeight="1">
      <c r="A1357" s="22" t="s">
        <v>1168</v>
      </c>
      <c r="B1357" s="102" t="s">
        <v>1178</v>
      </c>
      <c r="C1357" s="23" t="s">
        <v>1082</v>
      </c>
      <c r="D1357" s="24" t="s">
        <v>1461</v>
      </c>
      <c r="E1357" s="23" t="s">
        <v>1475</v>
      </c>
      <c r="F1357" s="25" t="s">
        <v>202</v>
      </c>
      <c r="G1357" s="40"/>
      <c r="H1357" s="27">
        <v>575.36</v>
      </c>
      <c r="I1357" s="28">
        <v>5.0</v>
      </c>
      <c r="J1357" s="100" t="s">
        <v>54</v>
      </c>
      <c r="K1357" s="30">
        <v>0.3</v>
      </c>
      <c r="L1357" s="31">
        <f t="shared" si="1"/>
        <v>1.5</v>
      </c>
      <c r="M1357" s="31">
        <f t="shared" si="2"/>
        <v>3.5</v>
      </c>
      <c r="N1357" s="32">
        <f t="shared" si="3"/>
        <v>172.608</v>
      </c>
      <c r="O1357" s="32">
        <f t="shared" si="4"/>
        <v>402.752</v>
      </c>
      <c r="P1357" s="32">
        <f t="shared" si="5"/>
        <v>402.752</v>
      </c>
      <c r="Q1357" s="22">
        <v>0.0</v>
      </c>
      <c r="R1357" s="32">
        <f t="shared" si="6"/>
        <v>115.072</v>
      </c>
      <c r="S1357" s="33" t="s">
        <v>29</v>
      </c>
      <c r="T1357" s="33" t="s">
        <v>30</v>
      </c>
      <c r="U1357" s="38" t="s">
        <v>1341</v>
      </c>
      <c r="V1357" s="35"/>
      <c r="W1357" s="7"/>
      <c r="X1357" s="7"/>
      <c r="Y1357" s="7"/>
      <c r="Z1357" s="7"/>
      <c r="AA1357" s="7"/>
    </row>
    <row r="1358" ht="18.75" customHeight="1">
      <c r="A1358" s="8" t="s">
        <v>1168</v>
      </c>
      <c r="B1358" s="9" t="s">
        <v>1211</v>
      </c>
      <c r="C1358" s="9" t="s">
        <v>1212</v>
      </c>
      <c r="D1358" s="10" t="s">
        <v>1461</v>
      </c>
      <c r="E1358" s="9" t="s">
        <v>1476</v>
      </c>
      <c r="F1358" s="11" t="s">
        <v>202</v>
      </c>
      <c r="G1358" s="39"/>
      <c r="H1358" s="13">
        <v>575.36</v>
      </c>
      <c r="I1358" s="14">
        <v>5.0</v>
      </c>
      <c r="J1358" s="101" t="s">
        <v>54</v>
      </c>
      <c r="K1358" s="16">
        <v>0.3</v>
      </c>
      <c r="L1358" s="17">
        <f t="shared" si="1"/>
        <v>1.5</v>
      </c>
      <c r="M1358" s="17">
        <f t="shared" si="2"/>
        <v>3.5</v>
      </c>
      <c r="N1358" s="18">
        <f t="shared" si="3"/>
        <v>172.608</v>
      </c>
      <c r="O1358" s="18">
        <f t="shared" si="4"/>
        <v>402.752</v>
      </c>
      <c r="P1358" s="18">
        <f t="shared" si="5"/>
        <v>402.752</v>
      </c>
      <c r="Q1358" s="8">
        <v>0.0</v>
      </c>
      <c r="R1358" s="18">
        <f t="shared" si="6"/>
        <v>115.072</v>
      </c>
      <c r="S1358" s="19" t="s">
        <v>29</v>
      </c>
      <c r="T1358" s="19" t="s">
        <v>30</v>
      </c>
      <c r="U1358" s="36" t="s">
        <v>1341</v>
      </c>
      <c r="V1358" s="37"/>
      <c r="W1358" s="7"/>
      <c r="X1358" s="7"/>
      <c r="Y1358" s="7"/>
      <c r="Z1358" s="7"/>
      <c r="AA1358" s="7"/>
    </row>
    <row r="1359" ht="18.75" customHeight="1">
      <c r="A1359" s="22" t="s">
        <v>1168</v>
      </c>
      <c r="B1359" s="23" t="s">
        <v>1343</v>
      </c>
      <c r="C1359" s="23" t="s">
        <v>1170</v>
      </c>
      <c r="D1359" s="24" t="s">
        <v>1477</v>
      </c>
      <c r="E1359" s="23" t="s">
        <v>1478</v>
      </c>
      <c r="F1359" s="25" t="s">
        <v>202</v>
      </c>
      <c r="G1359" s="40"/>
      <c r="H1359" s="27">
        <v>399.0</v>
      </c>
      <c r="I1359" s="28">
        <v>5.0</v>
      </c>
      <c r="J1359" s="100" t="s">
        <v>54</v>
      </c>
      <c r="K1359" s="30">
        <v>0.3</v>
      </c>
      <c r="L1359" s="31">
        <f t="shared" si="1"/>
        <v>1.5</v>
      </c>
      <c r="M1359" s="31">
        <f t="shared" si="2"/>
        <v>3.5</v>
      </c>
      <c r="N1359" s="32">
        <f t="shared" si="3"/>
        <v>119.7</v>
      </c>
      <c r="O1359" s="32">
        <f t="shared" si="4"/>
        <v>279.3</v>
      </c>
      <c r="P1359" s="32">
        <f t="shared" si="5"/>
        <v>279.3</v>
      </c>
      <c r="Q1359" s="22">
        <v>0.0</v>
      </c>
      <c r="R1359" s="32">
        <f t="shared" si="6"/>
        <v>79.8</v>
      </c>
      <c r="S1359" s="33" t="s">
        <v>29</v>
      </c>
      <c r="T1359" s="33" t="s">
        <v>30</v>
      </c>
      <c r="U1359" s="38" t="s">
        <v>438</v>
      </c>
      <c r="V1359" s="35"/>
      <c r="W1359" s="7"/>
      <c r="X1359" s="7"/>
      <c r="Y1359" s="7"/>
      <c r="Z1359" s="7"/>
      <c r="AA1359" s="7"/>
    </row>
    <row r="1360" ht="18.75" customHeight="1">
      <c r="A1360" s="8" t="s">
        <v>1168</v>
      </c>
      <c r="B1360" s="9" t="s">
        <v>1191</v>
      </c>
      <c r="C1360" s="9" t="s">
        <v>1192</v>
      </c>
      <c r="D1360" s="10" t="s">
        <v>1461</v>
      </c>
      <c r="E1360" s="46" t="s">
        <v>1468</v>
      </c>
      <c r="F1360" s="11" t="s">
        <v>202</v>
      </c>
      <c r="G1360" s="39"/>
      <c r="H1360" s="116">
        <v>2199.0</v>
      </c>
      <c r="I1360" s="14">
        <v>5.0</v>
      </c>
      <c r="J1360" s="101" t="s">
        <v>54</v>
      </c>
      <c r="K1360" s="16">
        <v>0.3</v>
      </c>
      <c r="L1360" s="17">
        <f t="shared" si="1"/>
        <v>1.5</v>
      </c>
      <c r="M1360" s="17">
        <f t="shared" si="2"/>
        <v>3.5</v>
      </c>
      <c r="N1360" s="18">
        <f t="shared" si="3"/>
        <v>659.7</v>
      </c>
      <c r="O1360" s="18">
        <f t="shared" si="4"/>
        <v>1539.3</v>
      </c>
      <c r="P1360" s="18">
        <f t="shared" si="5"/>
        <v>1539.3</v>
      </c>
      <c r="Q1360" s="8">
        <v>0.0</v>
      </c>
      <c r="R1360" s="18">
        <f t="shared" si="6"/>
        <v>439.8</v>
      </c>
      <c r="S1360" s="19" t="s">
        <v>29</v>
      </c>
      <c r="T1360" s="19" t="s">
        <v>30</v>
      </c>
      <c r="U1360" s="118" t="s">
        <v>1479</v>
      </c>
      <c r="V1360" s="37"/>
      <c r="W1360" s="7"/>
      <c r="X1360" s="7"/>
      <c r="Y1360" s="7"/>
      <c r="Z1360" s="7"/>
      <c r="AA1360" s="7"/>
    </row>
    <row r="1361" ht="18.75" customHeight="1">
      <c r="A1361" s="22" t="s">
        <v>1168</v>
      </c>
      <c r="B1361" s="102" t="s">
        <v>1178</v>
      </c>
      <c r="C1361" s="23" t="s">
        <v>1082</v>
      </c>
      <c r="D1361" s="24" t="s">
        <v>1461</v>
      </c>
      <c r="E1361" s="41" t="s">
        <v>1468</v>
      </c>
      <c r="F1361" s="25" t="s">
        <v>202</v>
      </c>
      <c r="G1361" s="40"/>
      <c r="H1361" s="83">
        <v>2199.0</v>
      </c>
      <c r="I1361" s="28">
        <v>5.0</v>
      </c>
      <c r="J1361" s="100" t="s">
        <v>54</v>
      </c>
      <c r="K1361" s="30">
        <v>0.3</v>
      </c>
      <c r="L1361" s="31">
        <f t="shared" si="1"/>
        <v>1.5</v>
      </c>
      <c r="M1361" s="31">
        <f t="shared" si="2"/>
        <v>3.5</v>
      </c>
      <c r="N1361" s="32">
        <f t="shared" si="3"/>
        <v>659.7</v>
      </c>
      <c r="O1361" s="32">
        <f t="shared" si="4"/>
        <v>1539.3</v>
      </c>
      <c r="P1361" s="32">
        <f t="shared" si="5"/>
        <v>1539.3</v>
      </c>
      <c r="Q1361" s="22">
        <v>0.0</v>
      </c>
      <c r="R1361" s="32">
        <f t="shared" si="6"/>
        <v>439.8</v>
      </c>
      <c r="S1361" s="33" t="s">
        <v>29</v>
      </c>
      <c r="T1361" s="33" t="s">
        <v>30</v>
      </c>
      <c r="U1361" s="80" t="s">
        <v>1480</v>
      </c>
      <c r="V1361" s="35"/>
      <c r="W1361" s="7"/>
      <c r="X1361" s="7"/>
      <c r="Y1361" s="7"/>
      <c r="Z1361" s="7"/>
      <c r="AA1361" s="7"/>
    </row>
    <row r="1362" ht="18.75" customHeight="1">
      <c r="A1362" s="8" t="s">
        <v>1168</v>
      </c>
      <c r="B1362" s="9" t="s">
        <v>1219</v>
      </c>
      <c r="C1362" s="9" t="s">
        <v>287</v>
      </c>
      <c r="D1362" s="93" t="s">
        <v>1461</v>
      </c>
      <c r="E1362" s="9" t="s">
        <v>1414</v>
      </c>
      <c r="F1362" s="11" t="s">
        <v>37</v>
      </c>
      <c r="G1362" s="73">
        <v>45532.0</v>
      </c>
      <c r="H1362" s="13">
        <v>2014.8</v>
      </c>
      <c r="I1362" s="14">
        <v>10.0</v>
      </c>
      <c r="J1362" s="101" t="s">
        <v>54</v>
      </c>
      <c r="K1362" s="16">
        <v>0.3</v>
      </c>
      <c r="L1362" s="17">
        <f t="shared" si="1"/>
        <v>3</v>
      </c>
      <c r="M1362" s="17">
        <f t="shared" si="2"/>
        <v>7</v>
      </c>
      <c r="N1362" s="18">
        <f t="shared" si="3"/>
        <v>604.44</v>
      </c>
      <c r="O1362" s="18">
        <f t="shared" si="4"/>
        <v>1410.36</v>
      </c>
      <c r="P1362" s="18">
        <f t="shared" si="5"/>
        <v>1410.36</v>
      </c>
      <c r="Q1362" s="8">
        <v>0.0</v>
      </c>
      <c r="R1362" s="18">
        <f t="shared" si="6"/>
        <v>201.48</v>
      </c>
      <c r="S1362" s="19" t="s">
        <v>29</v>
      </c>
      <c r="T1362" s="19" t="s">
        <v>30</v>
      </c>
      <c r="U1362" s="20"/>
      <c r="V1362" s="37"/>
      <c r="W1362" s="7"/>
      <c r="X1362" s="7"/>
      <c r="Y1362" s="7"/>
      <c r="Z1362" s="7"/>
      <c r="AA1362" s="7"/>
    </row>
    <row r="1363" ht="18.75" customHeight="1">
      <c r="A1363" s="22" t="s">
        <v>1481</v>
      </c>
      <c r="B1363" s="23" t="s">
        <v>1482</v>
      </c>
      <c r="C1363" s="23" t="s">
        <v>33</v>
      </c>
      <c r="D1363" s="24">
        <v>0.0</v>
      </c>
      <c r="E1363" s="22" t="s">
        <v>1483</v>
      </c>
      <c r="F1363" s="25" t="s">
        <v>26</v>
      </c>
      <c r="G1363" s="26" t="s">
        <v>27</v>
      </c>
      <c r="H1363" s="27">
        <v>463.56</v>
      </c>
      <c r="I1363" s="28">
        <v>5.0</v>
      </c>
      <c r="J1363" s="29" t="s">
        <v>38</v>
      </c>
      <c r="K1363" s="30">
        <v>0.5</v>
      </c>
      <c r="L1363" s="31">
        <f t="shared" si="1"/>
        <v>2.5</v>
      </c>
      <c r="M1363" s="31">
        <f t="shared" si="2"/>
        <v>2.5</v>
      </c>
      <c r="N1363" s="32">
        <f t="shared" si="3"/>
        <v>231.78</v>
      </c>
      <c r="O1363" s="32">
        <f t="shared" si="4"/>
        <v>231.78</v>
      </c>
      <c r="P1363" s="32">
        <f t="shared" si="5"/>
        <v>231.78</v>
      </c>
      <c r="Q1363" s="22">
        <v>0.0</v>
      </c>
      <c r="R1363" s="32">
        <f t="shared" si="6"/>
        <v>92.712</v>
      </c>
      <c r="S1363" s="33" t="s">
        <v>29</v>
      </c>
      <c r="T1363" s="33" t="s">
        <v>30</v>
      </c>
      <c r="U1363" s="34" t="s">
        <v>125</v>
      </c>
      <c r="V1363" s="35"/>
      <c r="W1363" s="7"/>
      <c r="X1363" s="7"/>
      <c r="Y1363" s="7"/>
      <c r="Z1363" s="7"/>
      <c r="AA1363" s="7"/>
    </row>
    <row r="1364" ht="18.75" customHeight="1">
      <c r="A1364" s="8" t="s">
        <v>1481</v>
      </c>
      <c r="B1364" s="9" t="s">
        <v>1482</v>
      </c>
      <c r="C1364" s="9" t="s">
        <v>33</v>
      </c>
      <c r="D1364" s="10">
        <v>0.0</v>
      </c>
      <c r="E1364" s="8" t="s">
        <v>1484</v>
      </c>
      <c r="F1364" s="11" t="s">
        <v>26</v>
      </c>
      <c r="G1364" s="12" t="s">
        <v>27</v>
      </c>
      <c r="H1364" s="13">
        <v>463.56</v>
      </c>
      <c r="I1364" s="14">
        <v>5.0</v>
      </c>
      <c r="J1364" s="15" t="s">
        <v>38</v>
      </c>
      <c r="K1364" s="16">
        <v>0.5</v>
      </c>
      <c r="L1364" s="17">
        <f t="shared" si="1"/>
        <v>2.5</v>
      </c>
      <c r="M1364" s="17">
        <f t="shared" si="2"/>
        <v>2.5</v>
      </c>
      <c r="N1364" s="18">
        <f t="shared" si="3"/>
        <v>231.78</v>
      </c>
      <c r="O1364" s="18">
        <f t="shared" si="4"/>
        <v>231.78</v>
      </c>
      <c r="P1364" s="18">
        <f t="shared" si="5"/>
        <v>231.78</v>
      </c>
      <c r="Q1364" s="8">
        <v>0.0</v>
      </c>
      <c r="R1364" s="18">
        <f t="shared" si="6"/>
        <v>92.712</v>
      </c>
      <c r="S1364" s="19" t="s">
        <v>29</v>
      </c>
      <c r="T1364" s="19" t="s">
        <v>30</v>
      </c>
      <c r="U1364" s="20" t="s">
        <v>125</v>
      </c>
      <c r="V1364" s="37"/>
      <c r="W1364" s="7"/>
      <c r="X1364" s="7"/>
      <c r="Y1364" s="7"/>
      <c r="Z1364" s="7"/>
      <c r="AA1364" s="7"/>
    </row>
    <row r="1365" ht="18.75" customHeight="1">
      <c r="A1365" s="22" t="s">
        <v>1481</v>
      </c>
      <c r="B1365" s="23" t="s">
        <v>1482</v>
      </c>
      <c r="C1365" s="23" t="s">
        <v>708</v>
      </c>
      <c r="D1365" s="24">
        <v>0.0</v>
      </c>
      <c r="E1365" s="22" t="s">
        <v>1485</v>
      </c>
      <c r="F1365" s="25" t="s">
        <v>37</v>
      </c>
      <c r="G1365" s="26" t="s">
        <v>27</v>
      </c>
      <c r="H1365" s="27">
        <v>759.17</v>
      </c>
      <c r="I1365" s="28">
        <v>5.0</v>
      </c>
      <c r="J1365" s="29" t="s">
        <v>54</v>
      </c>
      <c r="K1365" s="30">
        <v>0.3</v>
      </c>
      <c r="L1365" s="31">
        <f t="shared" si="1"/>
        <v>1.5</v>
      </c>
      <c r="M1365" s="31">
        <f t="shared" si="2"/>
        <v>3.5</v>
      </c>
      <c r="N1365" s="32">
        <f t="shared" si="3"/>
        <v>227.751</v>
      </c>
      <c r="O1365" s="32">
        <f t="shared" si="4"/>
        <v>531.419</v>
      </c>
      <c r="P1365" s="32">
        <f t="shared" si="5"/>
        <v>531.419</v>
      </c>
      <c r="Q1365" s="22">
        <v>0.0</v>
      </c>
      <c r="R1365" s="32">
        <f t="shared" si="6"/>
        <v>151.834</v>
      </c>
      <c r="S1365" s="33" t="s">
        <v>29</v>
      </c>
      <c r="T1365" s="33" t="s">
        <v>30</v>
      </c>
      <c r="U1365" s="38" t="s">
        <v>1486</v>
      </c>
      <c r="V1365" s="35"/>
      <c r="W1365" s="7"/>
      <c r="X1365" s="7"/>
      <c r="Y1365" s="7"/>
      <c r="Z1365" s="7"/>
      <c r="AA1365" s="7"/>
    </row>
    <row r="1366" ht="18.75" customHeight="1">
      <c r="A1366" s="8" t="s">
        <v>1481</v>
      </c>
      <c r="B1366" s="9" t="s">
        <v>1482</v>
      </c>
      <c r="C1366" s="9" t="s">
        <v>708</v>
      </c>
      <c r="D1366" s="10">
        <v>0.0</v>
      </c>
      <c r="E1366" s="8" t="s">
        <v>1487</v>
      </c>
      <c r="F1366" s="11" t="s">
        <v>37</v>
      </c>
      <c r="G1366" s="12" t="s">
        <v>27</v>
      </c>
      <c r="H1366" s="13">
        <v>759.17</v>
      </c>
      <c r="I1366" s="14">
        <v>5.0</v>
      </c>
      <c r="J1366" s="15" t="s">
        <v>38</v>
      </c>
      <c r="K1366" s="16">
        <v>0.5</v>
      </c>
      <c r="L1366" s="17">
        <f t="shared" si="1"/>
        <v>2.5</v>
      </c>
      <c r="M1366" s="17">
        <f t="shared" si="2"/>
        <v>2.5</v>
      </c>
      <c r="N1366" s="18">
        <f t="shared" si="3"/>
        <v>379.585</v>
      </c>
      <c r="O1366" s="18">
        <f t="shared" si="4"/>
        <v>379.585</v>
      </c>
      <c r="P1366" s="18">
        <f t="shared" si="5"/>
        <v>379.585</v>
      </c>
      <c r="Q1366" s="8">
        <v>0.0</v>
      </c>
      <c r="R1366" s="18">
        <f t="shared" si="6"/>
        <v>151.834</v>
      </c>
      <c r="S1366" s="19" t="s">
        <v>29</v>
      </c>
      <c r="T1366" s="19" t="s">
        <v>30</v>
      </c>
      <c r="U1366" s="36" t="s">
        <v>1486</v>
      </c>
      <c r="V1366" s="37"/>
      <c r="W1366" s="7"/>
      <c r="X1366" s="7"/>
      <c r="Y1366" s="7"/>
      <c r="Z1366" s="7"/>
      <c r="AA1366" s="7"/>
    </row>
    <row r="1367" ht="18.75" customHeight="1">
      <c r="A1367" s="22" t="s">
        <v>1481</v>
      </c>
      <c r="B1367" s="23" t="s">
        <v>1482</v>
      </c>
      <c r="C1367" s="23" t="s">
        <v>33</v>
      </c>
      <c r="D1367" s="24">
        <v>0.0</v>
      </c>
      <c r="E1367" s="22" t="s">
        <v>1488</v>
      </c>
      <c r="F1367" s="25" t="s">
        <v>26</v>
      </c>
      <c r="G1367" s="26" t="s">
        <v>27</v>
      </c>
      <c r="H1367" s="27">
        <v>651.75</v>
      </c>
      <c r="I1367" s="28">
        <v>5.0</v>
      </c>
      <c r="J1367" s="29" t="s">
        <v>38</v>
      </c>
      <c r="K1367" s="30">
        <v>0.5</v>
      </c>
      <c r="L1367" s="31">
        <f t="shared" si="1"/>
        <v>2.5</v>
      </c>
      <c r="M1367" s="31">
        <f t="shared" si="2"/>
        <v>2.5</v>
      </c>
      <c r="N1367" s="32">
        <f t="shared" si="3"/>
        <v>325.875</v>
      </c>
      <c r="O1367" s="32">
        <f t="shared" si="4"/>
        <v>325.875</v>
      </c>
      <c r="P1367" s="32">
        <f t="shared" si="5"/>
        <v>325.875</v>
      </c>
      <c r="Q1367" s="22">
        <v>0.0</v>
      </c>
      <c r="R1367" s="32">
        <f t="shared" si="6"/>
        <v>130.35</v>
      </c>
      <c r="S1367" s="33" t="s">
        <v>29</v>
      </c>
      <c r="T1367" s="33" t="s">
        <v>30</v>
      </c>
      <c r="U1367" s="34" t="s">
        <v>121</v>
      </c>
      <c r="V1367" s="35"/>
      <c r="W1367" s="7"/>
      <c r="X1367" s="7"/>
      <c r="Y1367" s="7"/>
      <c r="Z1367" s="7"/>
      <c r="AA1367" s="7"/>
    </row>
    <row r="1368" ht="18.75" customHeight="1">
      <c r="A1368" s="8" t="s">
        <v>1481</v>
      </c>
      <c r="B1368" s="9" t="s">
        <v>1482</v>
      </c>
      <c r="C1368" s="9" t="s">
        <v>33</v>
      </c>
      <c r="D1368" s="10">
        <v>0.0</v>
      </c>
      <c r="E1368" s="8" t="s">
        <v>1489</v>
      </c>
      <c r="F1368" s="11" t="s">
        <v>26</v>
      </c>
      <c r="G1368" s="12" t="s">
        <v>27</v>
      </c>
      <c r="H1368" s="13">
        <v>576.47</v>
      </c>
      <c r="I1368" s="14">
        <v>5.0</v>
      </c>
      <c r="J1368" s="15" t="s">
        <v>38</v>
      </c>
      <c r="K1368" s="16">
        <v>0.5</v>
      </c>
      <c r="L1368" s="17">
        <f t="shared" si="1"/>
        <v>2.5</v>
      </c>
      <c r="M1368" s="17">
        <f t="shared" si="2"/>
        <v>2.5</v>
      </c>
      <c r="N1368" s="18">
        <f t="shared" si="3"/>
        <v>288.235</v>
      </c>
      <c r="O1368" s="18">
        <f t="shared" si="4"/>
        <v>288.235</v>
      </c>
      <c r="P1368" s="18">
        <f t="shared" si="5"/>
        <v>288.235</v>
      </c>
      <c r="Q1368" s="8">
        <v>0.0</v>
      </c>
      <c r="R1368" s="18">
        <f t="shared" si="6"/>
        <v>115.294</v>
      </c>
      <c r="S1368" s="19" t="s">
        <v>29</v>
      </c>
      <c r="T1368" s="19" t="s">
        <v>30</v>
      </c>
      <c r="U1368" s="20" t="s">
        <v>114</v>
      </c>
      <c r="V1368" s="37"/>
      <c r="W1368" s="7"/>
      <c r="X1368" s="7"/>
      <c r="Y1368" s="7"/>
      <c r="Z1368" s="7"/>
      <c r="AA1368" s="7"/>
    </row>
    <row r="1369" ht="18.75" customHeight="1">
      <c r="A1369" s="22" t="s">
        <v>1481</v>
      </c>
      <c r="B1369" s="23" t="s">
        <v>1482</v>
      </c>
      <c r="C1369" s="23" t="s">
        <v>33</v>
      </c>
      <c r="D1369" s="24">
        <v>0.0</v>
      </c>
      <c r="E1369" s="22" t="s">
        <v>1490</v>
      </c>
      <c r="F1369" s="25" t="s">
        <v>26</v>
      </c>
      <c r="G1369" s="26" t="s">
        <v>27</v>
      </c>
      <c r="H1369" s="27">
        <v>623.61</v>
      </c>
      <c r="I1369" s="28">
        <v>5.0</v>
      </c>
      <c r="J1369" s="29" t="s">
        <v>28</v>
      </c>
      <c r="K1369" s="30">
        <v>0.4</v>
      </c>
      <c r="L1369" s="31">
        <f t="shared" si="1"/>
        <v>2</v>
      </c>
      <c r="M1369" s="31">
        <f t="shared" si="2"/>
        <v>3</v>
      </c>
      <c r="N1369" s="32">
        <f t="shared" si="3"/>
        <v>249.444</v>
      </c>
      <c r="O1369" s="32">
        <f t="shared" si="4"/>
        <v>374.166</v>
      </c>
      <c r="P1369" s="32">
        <f t="shared" si="5"/>
        <v>374.166</v>
      </c>
      <c r="Q1369" s="22">
        <v>0.0</v>
      </c>
      <c r="R1369" s="32">
        <f t="shared" si="6"/>
        <v>124.722</v>
      </c>
      <c r="S1369" s="33" t="s">
        <v>29</v>
      </c>
      <c r="T1369" s="33" t="s">
        <v>30</v>
      </c>
      <c r="U1369" s="34" t="s">
        <v>117</v>
      </c>
      <c r="V1369" s="35"/>
      <c r="W1369" s="7"/>
      <c r="X1369" s="7"/>
      <c r="Y1369" s="7"/>
      <c r="Z1369" s="7"/>
      <c r="AA1369" s="7"/>
    </row>
    <row r="1370" ht="18.75" customHeight="1">
      <c r="A1370" s="8" t="s">
        <v>1481</v>
      </c>
      <c r="B1370" s="9" t="s">
        <v>1482</v>
      </c>
      <c r="C1370" s="9" t="s">
        <v>33</v>
      </c>
      <c r="D1370" s="10">
        <v>0.0</v>
      </c>
      <c r="E1370" s="8" t="s">
        <v>1491</v>
      </c>
      <c r="F1370" s="11" t="s">
        <v>26</v>
      </c>
      <c r="G1370" s="12" t="s">
        <v>27</v>
      </c>
      <c r="H1370" s="13">
        <v>328.8</v>
      </c>
      <c r="I1370" s="14">
        <v>5.0</v>
      </c>
      <c r="J1370" s="15" t="s">
        <v>54</v>
      </c>
      <c r="K1370" s="16">
        <v>0.3</v>
      </c>
      <c r="L1370" s="17">
        <f t="shared" si="1"/>
        <v>1.5</v>
      </c>
      <c r="M1370" s="17">
        <f t="shared" si="2"/>
        <v>3.5</v>
      </c>
      <c r="N1370" s="18">
        <f t="shared" si="3"/>
        <v>98.64</v>
      </c>
      <c r="O1370" s="18">
        <f t="shared" si="4"/>
        <v>230.16</v>
      </c>
      <c r="P1370" s="18">
        <f t="shared" si="5"/>
        <v>230.16</v>
      </c>
      <c r="Q1370" s="8">
        <v>0.0</v>
      </c>
      <c r="R1370" s="18">
        <f t="shared" si="6"/>
        <v>65.76</v>
      </c>
      <c r="S1370" s="19" t="s">
        <v>29</v>
      </c>
      <c r="T1370" s="19" t="s">
        <v>30</v>
      </c>
      <c r="U1370" s="20" t="s">
        <v>344</v>
      </c>
      <c r="V1370" s="37"/>
      <c r="W1370" s="7"/>
      <c r="X1370" s="7"/>
      <c r="Y1370" s="7"/>
      <c r="Z1370" s="7"/>
      <c r="AA1370" s="7"/>
    </row>
    <row r="1371" ht="18.75" customHeight="1">
      <c r="A1371" s="22" t="s">
        <v>1481</v>
      </c>
      <c r="B1371" s="23" t="s">
        <v>1482</v>
      </c>
      <c r="C1371" s="23" t="s">
        <v>24</v>
      </c>
      <c r="D1371" s="24">
        <v>190.0</v>
      </c>
      <c r="E1371" s="22" t="s">
        <v>1492</v>
      </c>
      <c r="F1371" s="25" t="s">
        <v>202</v>
      </c>
      <c r="G1371" s="26" t="s">
        <v>27</v>
      </c>
      <c r="H1371" s="27">
        <v>764.99</v>
      </c>
      <c r="I1371" s="28">
        <v>5.0</v>
      </c>
      <c r="J1371" s="29" t="s">
        <v>38</v>
      </c>
      <c r="K1371" s="30">
        <v>0.5</v>
      </c>
      <c r="L1371" s="31">
        <f t="shared" si="1"/>
        <v>2.5</v>
      </c>
      <c r="M1371" s="31">
        <f t="shared" si="2"/>
        <v>2.5</v>
      </c>
      <c r="N1371" s="32">
        <f t="shared" si="3"/>
        <v>382.495</v>
      </c>
      <c r="O1371" s="32">
        <f t="shared" si="4"/>
        <v>382.495</v>
      </c>
      <c r="P1371" s="32">
        <f t="shared" si="5"/>
        <v>382.495</v>
      </c>
      <c r="Q1371" s="22">
        <v>0.0</v>
      </c>
      <c r="R1371" s="32">
        <f t="shared" si="6"/>
        <v>152.998</v>
      </c>
      <c r="S1371" s="33" t="s">
        <v>29</v>
      </c>
      <c r="T1371" s="33" t="s">
        <v>30</v>
      </c>
      <c r="U1371" s="34" t="s">
        <v>203</v>
      </c>
      <c r="V1371" s="35"/>
      <c r="W1371" s="7"/>
      <c r="X1371" s="7"/>
      <c r="Y1371" s="7"/>
      <c r="Z1371" s="7"/>
      <c r="AA1371" s="7"/>
    </row>
    <row r="1372" ht="18.75" customHeight="1">
      <c r="A1372" s="8" t="s">
        <v>1481</v>
      </c>
      <c r="B1372" s="9" t="s">
        <v>1482</v>
      </c>
      <c r="C1372" s="9" t="s">
        <v>33</v>
      </c>
      <c r="D1372" s="10">
        <v>1115.0</v>
      </c>
      <c r="E1372" s="8" t="s">
        <v>1493</v>
      </c>
      <c r="F1372" s="11" t="s">
        <v>26</v>
      </c>
      <c r="G1372" s="12" t="s">
        <v>27</v>
      </c>
      <c r="H1372" s="13">
        <v>2338.0</v>
      </c>
      <c r="I1372" s="14">
        <v>10.0</v>
      </c>
      <c r="J1372" s="15" t="s">
        <v>54</v>
      </c>
      <c r="K1372" s="16">
        <v>0.3</v>
      </c>
      <c r="L1372" s="17">
        <f t="shared" si="1"/>
        <v>3</v>
      </c>
      <c r="M1372" s="17">
        <f t="shared" si="2"/>
        <v>7</v>
      </c>
      <c r="N1372" s="18">
        <f t="shared" si="3"/>
        <v>701.4</v>
      </c>
      <c r="O1372" s="18">
        <f t="shared" si="4"/>
        <v>1636.6</v>
      </c>
      <c r="P1372" s="18">
        <f t="shared" si="5"/>
        <v>1636.6</v>
      </c>
      <c r="Q1372" s="8">
        <v>0.0</v>
      </c>
      <c r="R1372" s="18">
        <f t="shared" si="6"/>
        <v>233.8</v>
      </c>
      <c r="S1372" s="19" t="s">
        <v>29</v>
      </c>
      <c r="T1372" s="19" t="s">
        <v>30</v>
      </c>
      <c r="U1372" s="36" t="s">
        <v>45</v>
      </c>
      <c r="V1372" s="37"/>
      <c r="W1372" s="7"/>
      <c r="X1372" s="7"/>
      <c r="Y1372" s="7"/>
      <c r="Z1372" s="7"/>
      <c r="AA1372" s="7"/>
    </row>
    <row r="1373" ht="18.75" customHeight="1">
      <c r="A1373" s="22" t="s">
        <v>1481</v>
      </c>
      <c r="B1373" s="23" t="s">
        <v>1482</v>
      </c>
      <c r="C1373" s="23" t="s">
        <v>33</v>
      </c>
      <c r="D1373" s="24">
        <v>1116.0</v>
      </c>
      <c r="E1373" s="22" t="s">
        <v>1494</v>
      </c>
      <c r="F1373" s="25" t="s">
        <v>26</v>
      </c>
      <c r="G1373" s="26" t="s">
        <v>27</v>
      </c>
      <c r="H1373" s="27">
        <v>1897.0</v>
      </c>
      <c r="I1373" s="28">
        <v>10.0</v>
      </c>
      <c r="J1373" s="29" t="s">
        <v>28</v>
      </c>
      <c r="K1373" s="30">
        <v>0.4</v>
      </c>
      <c r="L1373" s="31">
        <f t="shared" si="1"/>
        <v>4</v>
      </c>
      <c r="M1373" s="31">
        <f t="shared" si="2"/>
        <v>6</v>
      </c>
      <c r="N1373" s="32">
        <f t="shared" si="3"/>
        <v>758.8</v>
      </c>
      <c r="O1373" s="32">
        <f t="shared" si="4"/>
        <v>1138.2</v>
      </c>
      <c r="P1373" s="32">
        <f t="shared" si="5"/>
        <v>1138.2</v>
      </c>
      <c r="Q1373" s="22">
        <v>0.0</v>
      </c>
      <c r="R1373" s="32">
        <f t="shared" si="6"/>
        <v>189.7</v>
      </c>
      <c r="S1373" s="33" t="s">
        <v>29</v>
      </c>
      <c r="T1373" s="33" t="s">
        <v>30</v>
      </c>
      <c r="U1373" s="34" t="s">
        <v>43</v>
      </c>
      <c r="V1373" s="35"/>
      <c r="W1373" s="7"/>
      <c r="X1373" s="7"/>
      <c r="Y1373" s="7"/>
      <c r="Z1373" s="7"/>
      <c r="AA1373" s="7"/>
    </row>
    <row r="1374" ht="18.75" customHeight="1">
      <c r="A1374" s="8" t="s">
        <v>1481</v>
      </c>
      <c r="B1374" s="9" t="s">
        <v>1482</v>
      </c>
      <c r="C1374" s="9" t="s">
        <v>33</v>
      </c>
      <c r="D1374" s="10">
        <v>1117.0</v>
      </c>
      <c r="E1374" s="8" t="s">
        <v>1495</v>
      </c>
      <c r="F1374" s="11" t="s">
        <v>26</v>
      </c>
      <c r="G1374" s="12" t="s">
        <v>27</v>
      </c>
      <c r="H1374" s="13">
        <v>22652.48</v>
      </c>
      <c r="I1374" s="14">
        <v>10.0</v>
      </c>
      <c r="J1374" s="15" t="s">
        <v>38</v>
      </c>
      <c r="K1374" s="16">
        <v>0.5</v>
      </c>
      <c r="L1374" s="17">
        <f t="shared" si="1"/>
        <v>5</v>
      </c>
      <c r="M1374" s="17">
        <f t="shared" si="2"/>
        <v>5</v>
      </c>
      <c r="N1374" s="18">
        <f t="shared" si="3"/>
        <v>11326.24</v>
      </c>
      <c r="O1374" s="18">
        <f t="shared" si="4"/>
        <v>11326.24</v>
      </c>
      <c r="P1374" s="18">
        <f t="shared" si="5"/>
        <v>11326.24</v>
      </c>
      <c r="Q1374" s="8">
        <v>0.0</v>
      </c>
      <c r="R1374" s="18">
        <f t="shared" si="6"/>
        <v>2265.248</v>
      </c>
      <c r="S1374" s="19" t="s">
        <v>29</v>
      </c>
      <c r="T1374" s="19" t="s">
        <v>30</v>
      </c>
      <c r="U1374" s="36" t="s">
        <v>50</v>
      </c>
      <c r="V1374" s="37"/>
      <c r="W1374" s="7"/>
      <c r="X1374" s="7"/>
      <c r="Y1374" s="7"/>
      <c r="Z1374" s="7"/>
      <c r="AA1374" s="7"/>
    </row>
    <row r="1375" ht="18.75" customHeight="1">
      <c r="A1375" s="22" t="s">
        <v>1481</v>
      </c>
      <c r="B1375" s="23" t="s">
        <v>1482</v>
      </c>
      <c r="C1375" s="23" t="s">
        <v>33</v>
      </c>
      <c r="D1375" s="24">
        <v>1118.0</v>
      </c>
      <c r="E1375" s="22" t="s">
        <v>1496</v>
      </c>
      <c r="F1375" s="25" t="s">
        <v>26</v>
      </c>
      <c r="G1375" s="26" t="s">
        <v>27</v>
      </c>
      <c r="H1375" s="27">
        <v>1351.57</v>
      </c>
      <c r="I1375" s="28">
        <v>10.0</v>
      </c>
      <c r="J1375" s="29" t="s">
        <v>54</v>
      </c>
      <c r="K1375" s="30">
        <v>0.3</v>
      </c>
      <c r="L1375" s="31">
        <f t="shared" si="1"/>
        <v>3</v>
      </c>
      <c r="M1375" s="31">
        <f t="shared" si="2"/>
        <v>7</v>
      </c>
      <c r="N1375" s="32">
        <f t="shared" si="3"/>
        <v>405.471</v>
      </c>
      <c r="O1375" s="32">
        <f t="shared" si="4"/>
        <v>946.099</v>
      </c>
      <c r="P1375" s="32">
        <f t="shared" si="5"/>
        <v>946.099</v>
      </c>
      <c r="Q1375" s="22">
        <v>0.0</v>
      </c>
      <c r="R1375" s="32">
        <f t="shared" si="6"/>
        <v>135.157</v>
      </c>
      <c r="S1375" s="33" t="s">
        <v>29</v>
      </c>
      <c r="T1375" s="33" t="s">
        <v>30</v>
      </c>
      <c r="U1375" s="34" t="s">
        <v>41</v>
      </c>
      <c r="V1375" s="35"/>
      <c r="W1375" s="7"/>
      <c r="X1375" s="7"/>
      <c r="Y1375" s="7"/>
      <c r="Z1375" s="7"/>
      <c r="AA1375" s="7"/>
    </row>
    <row r="1376" ht="18.75" customHeight="1">
      <c r="A1376" s="8" t="s">
        <v>1481</v>
      </c>
      <c r="B1376" s="9" t="s">
        <v>1482</v>
      </c>
      <c r="C1376" s="9" t="s">
        <v>33</v>
      </c>
      <c r="D1376" s="10">
        <v>1119.0</v>
      </c>
      <c r="E1376" s="8" t="s">
        <v>1497</v>
      </c>
      <c r="F1376" s="11" t="s">
        <v>26</v>
      </c>
      <c r="G1376" s="12" t="s">
        <v>27</v>
      </c>
      <c r="H1376" s="13">
        <v>4899.9</v>
      </c>
      <c r="I1376" s="14">
        <v>5.0</v>
      </c>
      <c r="J1376" s="15" t="s">
        <v>38</v>
      </c>
      <c r="K1376" s="16">
        <v>0.5</v>
      </c>
      <c r="L1376" s="17">
        <f t="shared" si="1"/>
        <v>2.5</v>
      </c>
      <c r="M1376" s="17">
        <f t="shared" si="2"/>
        <v>2.5</v>
      </c>
      <c r="N1376" s="18">
        <f t="shared" si="3"/>
        <v>2449.95</v>
      </c>
      <c r="O1376" s="18">
        <f t="shared" si="4"/>
        <v>2449.95</v>
      </c>
      <c r="P1376" s="18">
        <f t="shared" si="5"/>
        <v>2449.95</v>
      </c>
      <c r="Q1376" s="8">
        <v>0.0</v>
      </c>
      <c r="R1376" s="18">
        <f t="shared" si="6"/>
        <v>979.98</v>
      </c>
      <c r="S1376" s="19" t="s">
        <v>29</v>
      </c>
      <c r="T1376" s="19" t="s">
        <v>30</v>
      </c>
      <c r="U1376" s="20" t="s">
        <v>67</v>
      </c>
      <c r="V1376" s="37"/>
      <c r="W1376" s="7"/>
      <c r="X1376" s="7"/>
      <c r="Y1376" s="7"/>
      <c r="Z1376" s="7"/>
      <c r="AA1376" s="7"/>
    </row>
    <row r="1377" ht="18.75" customHeight="1">
      <c r="A1377" s="22" t="s">
        <v>1481</v>
      </c>
      <c r="B1377" s="23" t="s">
        <v>1482</v>
      </c>
      <c r="C1377" s="23" t="s">
        <v>33</v>
      </c>
      <c r="D1377" s="24">
        <v>1120.0</v>
      </c>
      <c r="E1377" s="22" t="s">
        <v>1498</v>
      </c>
      <c r="F1377" s="25" t="s">
        <v>26</v>
      </c>
      <c r="G1377" s="26" t="s">
        <v>27</v>
      </c>
      <c r="H1377" s="27">
        <v>603.0</v>
      </c>
      <c r="I1377" s="28">
        <v>5.0</v>
      </c>
      <c r="J1377" s="45" t="s">
        <v>63</v>
      </c>
      <c r="K1377" s="30">
        <v>0.700000000000007</v>
      </c>
      <c r="L1377" s="31">
        <f t="shared" si="1"/>
        <v>3.5</v>
      </c>
      <c r="M1377" s="31">
        <f t="shared" si="2"/>
        <v>1.5</v>
      </c>
      <c r="N1377" s="32">
        <f t="shared" si="3"/>
        <v>422.1</v>
      </c>
      <c r="O1377" s="32">
        <f t="shared" si="4"/>
        <v>180.9</v>
      </c>
      <c r="P1377" s="32">
        <f t="shared" si="5"/>
        <v>180.9</v>
      </c>
      <c r="Q1377" s="22">
        <v>0.0</v>
      </c>
      <c r="R1377" s="32">
        <f t="shared" si="6"/>
        <v>120.6</v>
      </c>
      <c r="S1377" s="33" t="s">
        <v>29</v>
      </c>
      <c r="T1377" s="33" t="s">
        <v>30</v>
      </c>
      <c r="U1377" s="34" t="s">
        <v>79</v>
      </c>
      <c r="V1377" s="35"/>
      <c r="W1377" s="7"/>
      <c r="X1377" s="7"/>
      <c r="Y1377" s="7"/>
      <c r="Z1377" s="7"/>
      <c r="AA1377" s="7"/>
    </row>
    <row r="1378" ht="18.75" customHeight="1">
      <c r="A1378" s="8" t="s">
        <v>1481</v>
      </c>
      <c r="B1378" s="9" t="s">
        <v>1482</v>
      </c>
      <c r="C1378" s="9" t="s">
        <v>33</v>
      </c>
      <c r="D1378" s="10">
        <v>1123.0</v>
      </c>
      <c r="E1378" s="8" t="s">
        <v>1499</v>
      </c>
      <c r="F1378" s="11" t="s">
        <v>26</v>
      </c>
      <c r="G1378" s="12" t="s">
        <v>27</v>
      </c>
      <c r="H1378" s="13">
        <v>6246.9</v>
      </c>
      <c r="I1378" s="14">
        <v>5.0</v>
      </c>
      <c r="J1378" s="15" t="s">
        <v>38</v>
      </c>
      <c r="K1378" s="16">
        <v>0.5</v>
      </c>
      <c r="L1378" s="17">
        <f t="shared" si="1"/>
        <v>2.5</v>
      </c>
      <c r="M1378" s="17">
        <f t="shared" si="2"/>
        <v>2.5</v>
      </c>
      <c r="N1378" s="18">
        <f t="shared" si="3"/>
        <v>3123.45</v>
      </c>
      <c r="O1378" s="18">
        <f t="shared" si="4"/>
        <v>3123.45</v>
      </c>
      <c r="P1378" s="18">
        <f t="shared" si="5"/>
        <v>3123.45</v>
      </c>
      <c r="Q1378" s="8">
        <v>0.0</v>
      </c>
      <c r="R1378" s="18">
        <f t="shared" si="6"/>
        <v>1249.38</v>
      </c>
      <c r="S1378" s="19" t="s">
        <v>29</v>
      </c>
      <c r="T1378" s="19" t="s">
        <v>30</v>
      </c>
      <c r="U1378" s="20" t="s">
        <v>333</v>
      </c>
      <c r="V1378" s="37"/>
      <c r="W1378" s="7"/>
      <c r="X1378" s="7"/>
      <c r="Y1378" s="7"/>
      <c r="Z1378" s="7"/>
      <c r="AA1378" s="7"/>
    </row>
    <row r="1379" ht="18.75" customHeight="1">
      <c r="A1379" s="22" t="s">
        <v>1481</v>
      </c>
      <c r="B1379" s="23" t="s">
        <v>1482</v>
      </c>
      <c r="C1379" s="23" t="s">
        <v>33</v>
      </c>
      <c r="D1379" s="24">
        <v>1128.0</v>
      </c>
      <c r="E1379" s="22" t="s">
        <v>547</v>
      </c>
      <c r="F1379" s="25" t="s">
        <v>37</v>
      </c>
      <c r="G1379" s="26" t="s">
        <v>27</v>
      </c>
      <c r="H1379" s="27">
        <v>332.91</v>
      </c>
      <c r="I1379" s="28">
        <v>10.0</v>
      </c>
      <c r="J1379" s="29" t="s">
        <v>54</v>
      </c>
      <c r="K1379" s="30">
        <v>0.3</v>
      </c>
      <c r="L1379" s="31">
        <f t="shared" si="1"/>
        <v>3</v>
      </c>
      <c r="M1379" s="31">
        <f t="shared" si="2"/>
        <v>7</v>
      </c>
      <c r="N1379" s="32">
        <f t="shared" si="3"/>
        <v>99.873</v>
      </c>
      <c r="O1379" s="32">
        <f t="shared" si="4"/>
        <v>233.037</v>
      </c>
      <c r="P1379" s="32">
        <f t="shared" si="5"/>
        <v>233.037</v>
      </c>
      <c r="Q1379" s="22">
        <v>0.0</v>
      </c>
      <c r="R1379" s="32">
        <f t="shared" si="6"/>
        <v>33.291</v>
      </c>
      <c r="S1379" s="33" t="s">
        <v>29</v>
      </c>
      <c r="T1379" s="33" t="s">
        <v>30</v>
      </c>
      <c r="U1379" s="34" t="s">
        <v>223</v>
      </c>
      <c r="V1379" s="35"/>
      <c r="W1379" s="7"/>
      <c r="X1379" s="7"/>
      <c r="Y1379" s="7"/>
      <c r="Z1379" s="7"/>
      <c r="AA1379" s="7"/>
    </row>
    <row r="1380" ht="18.75" customHeight="1">
      <c r="A1380" s="8" t="s">
        <v>1481</v>
      </c>
      <c r="B1380" s="9" t="s">
        <v>1482</v>
      </c>
      <c r="C1380" s="9" t="s">
        <v>24</v>
      </c>
      <c r="D1380" s="10">
        <v>1129.0</v>
      </c>
      <c r="E1380" s="8" t="s">
        <v>808</v>
      </c>
      <c r="F1380" s="11" t="s">
        <v>26</v>
      </c>
      <c r="G1380" s="12" t="s">
        <v>27</v>
      </c>
      <c r="H1380" s="55">
        <v>1260.63</v>
      </c>
      <c r="I1380" s="14">
        <v>10.0</v>
      </c>
      <c r="J1380" s="15" t="s">
        <v>38</v>
      </c>
      <c r="K1380" s="16">
        <v>0.5</v>
      </c>
      <c r="L1380" s="17">
        <f t="shared" si="1"/>
        <v>5</v>
      </c>
      <c r="M1380" s="17">
        <f t="shared" si="2"/>
        <v>5</v>
      </c>
      <c r="N1380" s="18">
        <f t="shared" si="3"/>
        <v>630.315</v>
      </c>
      <c r="O1380" s="18">
        <f t="shared" si="4"/>
        <v>630.315</v>
      </c>
      <c r="P1380" s="18">
        <f t="shared" si="5"/>
        <v>630.315</v>
      </c>
      <c r="Q1380" s="8">
        <v>0.0</v>
      </c>
      <c r="R1380" s="18">
        <f t="shared" si="6"/>
        <v>126.063</v>
      </c>
      <c r="S1380" s="19" t="s">
        <v>29</v>
      </c>
      <c r="T1380" s="19" t="s">
        <v>30</v>
      </c>
      <c r="U1380" s="20" t="s">
        <v>102</v>
      </c>
      <c r="V1380" s="37"/>
      <c r="W1380" s="7"/>
      <c r="X1380" s="7"/>
      <c r="Y1380" s="7"/>
      <c r="Z1380" s="7"/>
      <c r="AA1380" s="7"/>
    </row>
    <row r="1381" ht="18.75" customHeight="1">
      <c r="A1381" s="22" t="s">
        <v>1481</v>
      </c>
      <c r="B1381" s="23" t="s">
        <v>1482</v>
      </c>
      <c r="C1381" s="23" t="s">
        <v>33</v>
      </c>
      <c r="D1381" s="24">
        <v>1130.0</v>
      </c>
      <c r="E1381" s="22" t="s">
        <v>810</v>
      </c>
      <c r="F1381" s="25" t="s">
        <v>26</v>
      </c>
      <c r="G1381" s="26" t="s">
        <v>27</v>
      </c>
      <c r="H1381" s="56">
        <v>840.42</v>
      </c>
      <c r="I1381" s="28">
        <v>10.0</v>
      </c>
      <c r="J1381" s="29" t="s">
        <v>38</v>
      </c>
      <c r="K1381" s="30">
        <v>0.5</v>
      </c>
      <c r="L1381" s="31">
        <f t="shared" si="1"/>
        <v>5</v>
      </c>
      <c r="M1381" s="31">
        <f t="shared" si="2"/>
        <v>5</v>
      </c>
      <c r="N1381" s="32">
        <f t="shared" si="3"/>
        <v>420.21</v>
      </c>
      <c r="O1381" s="32">
        <f t="shared" si="4"/>
        <v>420.21</v>
      </c>
      <c r="P1381" s="32">
        <f t="shared" si="5"/>
        <v>420.21</v>
      </c>
      <c r="Q1381" s="22">
        <v>0.0</v>
      </c>
      <c r="R1381" s="32">
        <f t="shared" si="6"/>
        <v>84.042</v>
      </c>
      <c r="S1381" s="33" t="s">
        <v>29</v>
      </c>
      <c r="T1381" s="33" t="s">
        <v>30</v>
      </c>
      <c r="U1381" s="34" t="s">
        <v>102</v>
      </c>
      <c r="V1381" s="35"/>
      <c r="W1381" s="7"/>
      <c r="X1381" s="7"/>
      <c r="Y1381" s="7"/>
      <c r="Z1381" s="7"/>
      <c r="AA1381" s="7"/>
    </row>
    <row r="1382" ht="18.75" customHeight="1">
      <c r="A1382" s="8" t="s">
        <v>1481</v>
      </c>
      <c r="B1382" s="9" t="s">
        <v>1482</v>
      </c>
      <c r="C1382" s="9" t="s">
        <v>24</v>
      </c>
      <c r="D1382" s="10">
        <v>1132.0</v>
      </c>
      <c r="E1382" s="8" t="s">
        <v>1500</v>
      </c>
      <c r="F1382" s="11" t="s">
        <v>202</v>
      </c>
      <c r="G1382" s="12" t="s">
        <v>27</v>
      </c>
      <c r="H1382" s="13">
        <v>205.0</v>
      </c>
      <c r="I1382" s="14">
        <v>5.0</v>
      </c>
      <c r="J1382" s="15" t="s">
        <v>38</v>
      </c>
      <c r="K1382" s="16">
        <v>0.5</v>
      </c>
      <c r="L1382" s="17">
        <f t="shared" si="1"/>
        <v>2.5</v>
      </c>
      <c r="M1382" s="17">
        <f t="shared" si="2"/>
        <v>2.5</v>
      </c>
      <c r="N1382" s="18">
        <f t="shared" si="3"/>
        <v>102.5</v>
      </c>
      <c r="O1382" s="18">
        <f t="shared" si="4"/>
        <v>102.5</v>
      </c>
      <c r="P1382" s="18">
        <f t="shared" si="5"/>
        <v>102.5</v>
      </c>
      <c r="Q1382" s="8">
        <v>0.0</v>
      </c>
      <c r="R1382" s="18">
        <f t="shared" si="6"/>
        <v>41</v>
      </c>
      <c r="S1382" s="19" t="s">
        <v>29</v>
      </c>
      <c r="T1382" s="19" t="s">
        <v>30</v>
      </c>
      <c r="U1382" s="20" t="s">
        <v>216</v>
      </c>
      <c r="V1382" s="37"/>
      <c r="W1382" s="7"/>
      <c r="X1382" s="7"/>
      <c r="Y1382" s="7"/>
      <c r="Z1382" s="7"/>
      <c r="AA1382" s="7"/>
    </row>
    <row r="1383" ht="18.75" customHeight="1">
      <c r="A1383" s="22" t="s">
        <v>1481</v>
      </c>
      <c r="B1383" s="23" t="s">
        <v>1482</v>
      </c>
      <c r="C1383" s="23" t="s">
        <v>33</v>
      </c>
      <c r="D1383" s="24">
        <v>1134.0</v>
      </c>
      <c r="E1383" s="22" t="s">
        <v>1501</v>
      </c>
      <c r="F1383" s="25" t="s">
        <v>202</v>
      </c>
      <c r="G1383" s="26" t="s">
        <v>27</v>
      </c>
      <c r="H1383" s="27">
        <v>764.99</v>
      </c>
      <c r="I1383" s="28">
        <v>5.0</v>
      </c>
      <c r="J1383" s="29" t="s">
        <v>38</v>
      </c>
      <c r="K1383" s="30">
        <v>0.5</v>
      </c>
      <c r="L1383" s="31">
        <f t="shared" si="1"/>
        <v>2.5</v>
      </c>
      <c r="M1383" s="31">
        <f t="shared" si="2"/>
        <v>2.5</v>
      </c>
      <c r="N1383" s="32">
        <f t="shared" si="3"/>
        <v>382.495</v>
      </c>
      <c r="O1383" s="32">
        <f t="shared" si="4"/>
        <v>382.495</v>
      </c>
      <c r="P1383" s="32">
        <f t="shared" si="5"/>
        <v>382.495</v>
      </c>
      <c r="Q1383" s="22">
        <v>0.0</v>
      </c>
      <c r="R1383" s="32">
        <f t="shared" si="6"/>
        <v>152.998</v>
      </c>
      <c r="S1383" s="33" t="s">
        <v>29</v>
      </c>
      <c r="T1383" s="33" t="s">
        <v>30</v>
      </c>
      <c r="U1383" s="34" t="s">
        <v>203</v>
      </c>
      <c r="V1383" s="35"/>
      <c r="W1383" s="7"/>
      <c r="X1383" s="7"/>
      <c r="Y1383" s="7"/>
      <c r="Z1383" s="7"/>
      <c r="AA1383" s="7"/>
    </row>
    <row r="1384" ht="18.75" customHeight="1">
      <c r="A1384" s="8" t="s">
        <v>1481</v>
      </c>
      <c r="B1384" s="9" t="s">
        <v>1482</v>
      </c>
      <c r="C1384" s="9" t="s">
        <v>33</v>
      </c>
      <c r="D1384" s="10">
        <v>1137.0</v>
      </c>
      <c r="E1384" s="8" t="s">
        <v>1502</v>
      </c>
      <c r="F1384" s="11" t="s">
        <v>26</v>
      </c>
      <c r="G1384" s="12" t="s">
        <v>27</v>
      </c>
      <c r="H1384" s="13">
        <v>1389.99</v>
      </c>
      <c r="I1384" s="14">
        <v>5.0</v>
      </c>
      <c r="J1384" s="15" t="s">
        <v>38</v>
      </c>
      <c r="K1384" s="16">
        <v>0.5</v>
      </c>
      <c r="L1384" s="17">
        <f t="shared" si="1"/>
        <v>2.5</v>
      </c>
      <c r="M1384" s="17">
        <f t="shared" si="2"/>
        <v>2.5</v>
      </c>
      <c r="N1384" s="18">
        <f t="shared" si="3"/>
        <v>694.995</v>
      </c>
      <c r="O1384" s="18">
        <f t="shared" si="4"/>
        <v>694.995</v>
      </c>
      <c r="P1384" s="18">
        <f t="shared" si="5"/>
        <v>694.995</v>
      </c>
      <c r="Q1384" s="8">
        <v>0.0</v>
      </c>
      <c r="R1384" s="18">
        <f t="shared" si="6"/>
        <v>277.998</v>
      </c>
      <c r="S1384" s="19" t="s">
        <v>29</v>
      </c>
      <c r="T1384" s="19" t="s">
        <v>30</v>
      </c>
      <c r="U1384" s="20" t="s">
        <v>59</v>
      </c>
      <c r="V1384" s="37"/>
      <c r="W1384" s="7"/>
      <c r="X1384" s="7"/>
      <c r="Y1384" s="7"/>
      <c r="Z1384" s="7"/>
      <c r="AA1384" s="7"/>
    </row>
    <row r="1385" ht="18.75" customHeight="1">
      <c r="A1385" s="22" t="s">
        <v>1481</v>
      </c>
      <c r="B1385" s="23" t="s">
        <v>1482</v>
      </c>
      <c r="C1385" s="23" t="s">
        <v>33</v>
      </c>
      <c r="D1385" s="24">
        <v>1138.0</v>
      </c>
      <c r="E1385" s="22" t="s">
        <v>1503</v>
      </c>
      <c r="F1385" s="25" t="s">
        <v>26</v>
      </c>
      <c r="G1385" s="26" t="s">
        <v>27</v>
      </c>
      <c r="H1385" s="27">
        <v>4263.9</v>
      </c>
      <c r="I1385" s="28">
        <v>10.0</v>
      </c>
      <c r="J1385" s="29" t="s">
        <v>38</v>
      </c>
      <c r="K1385" s="30">
        <v>0.5</v>
      </c>
      <c r="L1385" s="31">
        <f t="shared" si="1"/>
        <v>5</v>
      </c>
      <c r="M1385" s="31">
        <f t="shared" si="2"/>
        <v>5</v>
      </c>
      <c r="N1385" s="32">
        <f t="shared" si="3"/>
        <v>2131.95</v>
      </c>
      <c r="O1385" s="32">
        <f t="shared" si="4"/>
        <v>2131.95</v>
      </c>
      <c r="P1385" s="32">
        <f t="shared" si="5"/>
        <v>2131.95</v>
      </c>
      <c r="Q1385" s="22">
        <v>0.0</v>
      </c>
      <c r="R1385" s="32">
        <f t="shared" si="6"/>
        <v>426.39</v>
      </c>
      <c r="S1385" s="33" t="s">
        <v>29</v>
      </c>
      <c r="T1385" s="33" t="s">
        <v>30</v>
      </c>
      <c r="U1385" s="34" t="s">
        <v>767</v>
      </c>
      <c r="V1385" s="35"/>
      <c r="W1385" s="7"/>
      <c r="X1385" s="7"/>
      <c r="Y1385" s="7"/>
      <c r="Z1385" s="7"/>
      <c r="AA1385" s="7"/>
    </row>
    <row r="1386" ht="18.75" customHeight="1">
      <c r="A1386" s="8" t="s">
        <v>1481</v>
      </c>
      <c r="B1386" s="9" t="s">
        <v>1482</v>
      </c>
      <c r="C1386" s="9" t="s">
        <v>33</v>
      </c>
      <c r="D1386" s="10">
        <v>1139.0</v>
      </c>
      <c r="E1386" s="8" t="s">
        <v>1504</v>
      </c>
      <c r="F1386" s="11" t="s">
        <v>128</v>
      </c>
      <c r="G1386" s="12" t="s">
        <v>27</v>
      </c>
      <c r="H1386" s="13">
        <v>1669.0</v>
      </c>
      <c r="I1386" s="14">
        <v>5.0</v>
      </c>
      <c r="J1386" s="15" t="s">
        <v>38</v>
      </c>
      <c r="K1386" s="16">
        <v>0.5</v>
      </c>
      <c r="L1386" s="17">
        <f t="shared" si="1"/>
        <v>2.5</v>
      </c>
      <c r="M1386" s="17">
        <f t="shared" si="2"/>
        <v>2.5</v>
      </c>
      <c r="N1386" s="18">
        <f t="shared" si="3"/>
        <v>834.5</v>
      </c>
      <c r="O1386" s="18">
        <f t="shared" si="4"/>
        <v>834.5</v>
      </c>
      <c r="P1386" s="18">
        <f t="shared" si="5"/>
        <v>834.5</v>
      </c>
      <c r="Q1386" s="8">
        <v>0.0</v>
      </c>
      <c r="R1386" s="18">
        <f t="shared" si="6"/>
        <v>333.8</v>
      </c>
      <c r="S1386" s="19" t="s">
        <v>29</v>
      </c>
      <c r="T1386" s="19" t="s">
        <v>30</v>
      </c>
      <c r="U1386" s="20" t="s">
        <v>129</v>
      </c>
      <c r="V1386" s="37"/>
      <c r="W1386" s="7"/>
      <c r="X1386" s="7"/>
      <c r="Y1386" s="7"/>
      <c r="Z1386" s="7"/>
      <c r="AA1386" s="7"/>
    </row>
    <row r="1387" ht="18.75" customHeight="1">
      <c r="A1387" s="22" t="s">
        <v>1481</v>
      </c>
      <c r="B1387" s="23" t="s">
        <v>1482</v>
      </c>
      <c r="C1387" s="23" t="s">
        <v>33</v>
      </c>
      <c r="D1387" s="24">
        <v>1144.0</v>
      </c>
      <c r="E1387" s="22" t="s">
        <v>1505</v>
      </c>
      <c r="F1387" s="25" t="s">
        <v>37</v>
      </c>
      <c r="G1387" s="26" t="s">
        <v>27</v>
      </c>
      <c r="H1387" s="27">
        <v>469.2</v>
      </c>
      <c r="I1387" s="28">
        <v>10.0</v>
      </c>
      <c r="J1387" s="29" t="s">
        <v>28</v>
      </c>
      <c r="K1387" s="30">
        <v>0.4</v>
      </c>
      <c r="L1387" s="31">
        <f t="shared" si="1"/>
        <v>4</v>
      </c>
      <c r="M1387" s="31">
        <f t="shared" si="2"/>
        <v>6</v>
      </c>
      <c r="N1387" s="32">
        <f t="shared" si="3"/>
        <v>187.68</v>
      </c>
      <c r="O1387" s="32">
        <f t="shared" si="4"/>
        <v>281.52</v>
      </c>
      <c r="P1387" s="32">
        <f t="shared" si="5"/>
        <v>281.52</v>
      </c>
      <c r="Q1387" s="22">
        <v>0.0</v>
      </c>
      <c r="R1387" s="32">
        <f t="shared" si="6"/>
        <v>46.92</v>
      </c>
      <c r="S1387" s="33" t="s">
        <v>29</v>
      </c>
      <c r="T1387" s="33" t="s">
        <v>30</v>
      </c>
      <c r="U1387" s="38" t="s">
        <v>52</v>
      </c>
      <c r="V1387" s="35"/>
      <c r="W1387" s="7"/>
      <c r="X1387" s="7"/>
      <c r="Y1387" s="7"/>
      <c r="Z1387" s="7"/>
      <c r="AA1387" s="7"/>
    </row>
    <row r="1388" ht="18.75" customHeight="1">
      <c r="A1388" s="8" t="s">
        <v>1481</v>
      </c>
      <c r="B1388" s="9" t="s">
        <v>1482</v>
      </c>
      <c r="C1388" s="9" t="s">
        <v>33</v>
      </c>
      <c r="D1388" s="10">
        <v>1145.0</v>
      </c>
      <c r="E1388" s="8" t="s">
        <v>1506</v>
      </c>
      <c r="F1388" s="11" t="s">
        <v>26</v>
      </c>
      <c r="G1388" s="12" t="s">
        <v>27</v>
      </c>
      <c r="H1388" s="13">
        <v>15638.9</v>
      </c>
      <c r="I1388" s="14">
        <v>10.0</v>
      </c>
      <c r="J1388" s="15" t="s">
        <v>28</v>
      </c>
      <c r="K1388" s="16">
        <v>0.4</v>
      </c>
      <c r="L1388" s="17">
        <f t="shared" si="1"/>
        <v>4</v>
      </c>
      <c r="M1388" s="17">
        <f t="shared" si="2"/>
        <v>6</v>
      </c>
      <c r="N1388" s="18">
        <f t="shared" si="3"/>
        <v>6255.56</v>
      </c>
      <c r="O1388" s="18">
        <f t="shared" si="4"/>
        <v>9383.34</v>
      </c>
      <c r="P1388" s="18">
        <f t="shared" si="5"/>
        <v>9383.34</v>
      </c>
      <c r="Q1388" s="8">
        <v>0.0</v>
      </c>
      <c r="R1388" s="18">
        <f t="shared" si="6"/>
        <v>1563.89</v>
      </c>
      <c r="S1388" s="19" t="s">
        <v>29</v>
      </c>
      <c r="T1388" s="19" t="s">
        <v>30</v>
      </c>
      <c r="U1388" s="20" t="s">
        <v>35</v>
      </c>
      <c r="V1388" s="37"/>
      <c r="W1388" s="7"/>
      <c r="X1388" s="7"/>
      <c r="Y1388" s="7"/>
      <c r="Z1388" s="7"/>
      <c r="AA1388" s="7"/>
    </row>
    <row r="1389" ht="18.75" customHeight="1">
      <c r="A1389" s="22" t="s">
        <v>1481</v>
      </c>
      <c r="B1389" s="23" t="s">
        <v>1482</v>
      </c>
      <c r="C1389" s="23" t="s">
        <v>24</v>
      </c>
      <c r="D1389" s="24">
        <v>1781.0</v>
      </c>
      <c r="E1389" s="22" t="s">
        <v>1507</v>
      </c>
      <c r="F1389" s="25" t="s">
        <v>37</v>
      </c>
      <c r="G1389" s="26" t="s">
        <v>27</v>
      </c>
      <c r="H1389" s="27">
        <v>553.64</v>
      </c>
      <c r="I1389" s="28">
        <v>10.0</v>
      </c>
      <c r="J1389" s="29" t="s">
        <v>28</v>
      </c>
      <c r="K1389" s="30">
        <v>0.4</v>
      </c>
      <c r="L1389" s="31">
        <f t="shared" si="1"/>
        <v>4</v>
      </c>
      <c r="M1389" s="31">
        <f t="shared" si="2"/>
        <v>6</v>
      </c>
      <c r="N1389" s="32">
        <f t="shared" si="3"/>
        <v>221.456</v>
      </c>
      <c r="O1389" s="32">
        <f t="shared" si="4"/>
        <v>332.184</v>
      </c>
      <c r="P1389" s="32">
        <f t="shared" si="5"/>
        <v>332.184</v>
      </c>
      <c r="Q1389" s="22">
        <v>0.0</v>
      </c>
      <c r="R1389" s="32">
        <f t="shared" si="6"/>
        <v>55.364</v>
      </c>
      <c r="S1389" s="33" t="s">
        <v>29</v>
      </c>
      <c r="T1389" s="33" t="s">
        <v>30</v>
      </c>
      <c r="U1389" s="38" t="s">
        <v>1194</v>
      </c>
      <c r="V1389" s="35"/>
      <c r="W1389" s="7"/>
      <c r="X1389" s="7"/>
      <c r="Y1389" s="7"/>
      <c r="Z1389" s="7"/>
      <c r="AA1389" s="7"/>
    </row>
    <row r="1390" ht="18.75" customHeight="1">
      <c r="A1390" s="8" t="s">
        <v>1481</v>
      </c>
      <c r="B1390" s="9" t="s">
        <v>1482</v>
      </c>
      <c r="C1390" s="9" t="s">
        <v>24</v>
      </c>
      <c r="D1390" s="10">
        <v>1782.0</v>
      </c>
      <c r="E1390" s="8" t="s">
        <v>1508</v>
      </c>
      <c r="F1390" s="11" t="s">
        <v>37</v>
      </c>
      <c r="G1390" s="12" t="s">
        <v>27</v>
      </c>
      <c r="H1390" s="13">
        <v>219.99</v>
      </c>
      <c r="I1390" s="14">
        <v>10.0</v>
      </c>
      <c r="J1390" s="15" t="s">
        <v>28</v>
      </c>
      <c r="K1390" s="16">
        <v>0.4</v>
      </c>
      <c r="L1390" s="17">
        <f t="shared" si="1"/>
        <v>4</v>
      </c>
      <c r="M1390" s="17">
        <f t="shared" si="2"/>
        <v>6</v>
      </c>
      <c r="N1390" s="18">
        <f t="shared" si="3"/>
        <v>87.996</v>
      </c>
      <c r="O1390" s="18">
        <f t="shared" si="4"/>
        <v>131.994</v>
      </c>
      <c r="P1390" s="18">
        <f t="shared" si="5"/>
        <v>131.994</v>
      </c>
      <c r="Q1390" s="8">
        <v>0.0</v>
      </c>
      <c r="R1390" s="18">
        <f t="shared" si="6"/>
        <v>21.999</v>
      </c>
      <c r="S1390" s="19" t="s">
        <v>29</v>
      </c>
      <c r="T1390" s="19" t="s">
        <v>30</v>
      </c>
      <c r="U1390" s="36" t="s">
        <v>1509</v>
      </c>
      <c r="V1390" s="37"/>
      <c r="W1390" s="7"/>
      <c r="X1390" s="7"/>
      <c r="Y1390" s="7"/>
      <c r="Z1390" s="7"/>
      <c r="AA1390" s="7"/>
    </row>
    <row r="1391" ht="18.75" customHeight="1">
      <c r="A1391" s="22" t="s">
        <v>1481</v>
      </c>
      <c r="B1391" s="23" t="s">
        <v>1482</v>
      </c>
      <c r="C1391" s="23" t="s">
        <v>24</v>
      </c>
      <c r="D1391" s="24">
        <v>1785.0</v>
      </c>
      <c r="E1391" s="22" t="s">
        <v>1510</v>
      </c>
      <c r="F1391" s="25" t="s">
        <v>202</v>
      </c>
      <c r="G1391" s="26" t="s">
        <v>27</v>
      </c>
      <c r="H1391" s="27">
        <v>205.0</v>
      </c>
      <c r="I1391" s="28">
        <v>5.0</v>
      </c>
      <c r="J1391" s="29" t="s">
        <v>54</v>
      </c>
      <c r="K1391" s="30">
        <v>0.3</v>
      </c>
      <c r="L1391" s="31">
        <f t="shared" si="1"/>
        <v>1.5</v>
      </c>
      <c r="M1391" s="31">
        <f t="shared" si="2"/>
        <v>3.5</v>
      </c>
      <c r="N1391" s="32">
        <f t="shared" si="3"/>
        <v>61.5</v>
      </c>
      <c r="O1391" s="32">
        <f t="shared" si="4"/>
        <v>143.5</v>
      </c>
      <c r="P1391" s="32">
        <f t="shared" si="5"/>
        <v>143.5</v>
      </c>
      <c r="Q1391" s="22">
        <v>0.0</v>
      </c>
      <c r="R1391" s="32">
        <f t="shared" si="6"/>
        <v>41</v>
      </c>
      <c r="S1391" s="33" t="s">
        <v>29</v>
      </c>
      <c r="T1391" s="33" t="s">
        <v>30</v>
      </c>
      <c r="U1391" s="34" t="s">
        <v>216</v>
      </c>
      <c r="V1391" s="35"/>
      <c r="W1391" s="7"/>
      <c r="X1391" s="7"/>
      <c r="Y1391" s="7"/>
      <c r="Z1391" s="7"/>
      <c r="AA1391" s="7"/>
    </row>
    <row r="1392" ht="18.75" customHeight="1">
      <c r="A1392" s="8" t="s">
        <v>1481</v>
      </c>
      <c r="B1392" s="9" t="s">
        <v>1482</v>
      </c>
      <c r="C1392" s="9" t="s">
        <v>230</v>
      </c>
      <c r="D1392" s="10">
        <v>1786.0</v>
      </c>
      <c r="E1392" s="8" t="s">
        <v>1511</v>
      </c>
      <c r="F1392" s="11" t="s">
        <v>26</v>
      </c>
      <c r="G1392" s="12" t="s">
        <v>27</v>
      </c>
      <c r="H1392" s="13">
        <v>785.82</v>
      </c>
      <c r="I1392" s="14">
        <v>5.0</v>
      </c>
      <c r="J1392" s="15" t="s">
        <v>38</v>
      </c>
      <c r="K1392" s="16">
        <v>0.5</v>
      </c>
      <c r="L1392" s="17">
        <f t="shared" si="1"/>
        <v>2.5</v>
      </c>
      <c r="M1392" s="17">
        <f t="shared" si="2"/>
        <v>2.5</v>
      </c>
      <c r="N1392" s="18">
        <f t="shared" si="3"/>
        <v>392.91</v>
      </c>
      <c r="O1392" s="18">
        <f t="shared" si="4"/>
        <v>392.91</v>
      </c>
      <c r="P1392" s="18">
        <f t="shared" si="5"/>
        <v>392.91</v>
      </c>
      <c r="Q1392" s="8">
        <v>0.0</v>
      </c>
      <c r="R1392" s="18">
        <f t="shared" si="6"/>
        <v>157.164</v>
      </c>
      <c r="S1392" s="19" t="s">
        <v>29</v>
      </c>
      <c r="T1392" s="19" t="s">
        <v>30</v>
      </c>
      <c r="U1392" s="20" t="s">
        <v>220</v>
      </c>
      <c r="V1392" s="37"/>
      <c r="W1392" s="7"/>
      <c r="X1392" s="7"/>
      <c r="Y1392" s="7"/>
      <c r="Z1392" s="7"/>
      <c r="AA1392" s="7"/>
    </row>
    <row r="1393" ht="18.75" customHeight="1">
      <c r="A1393" s="22" t="s">
        <v>1481</v>
      </c>
      <c r="B1393" s="23" t="s">
        <v>1482</v>
      </c>
      <c r="C1393" s="23" t="s">
        <v>33</v>
      </c>
      <c r="D1393" s="24">
        <v>1788.0</v>
      </c>
      <c r="E1393" s="22" t="s">
        <v>1512</v>
      </c>
      <c r="F1393" s="25" t="s">
        <v>37</v>
      </c>
      <c r="G1393" s="26" t="s">
        <v>27</v>
      </c>
      <c r="H1393" s="27">
        <v>209.51</v>
      </c>
      <c r="I1393" s="28">
        <v>10.0</v>
      </c>
      <c r="J1393" s="29" t="s">
        <v>54</v>
      </c>
      <c r="K1393" s="30">
        <v>0.3</v>
      </c>
      <c r="L1393" s="31">
        <f t="shared" si="1"/>
        <v>3</v>
      </c>
      <c r="M1393" s="31">
        <f t="shared" si="2"/>
        <v>7</v>
      </c>
      <c r="N1393" s="32">
        <f t="shared" si="3"/>
        <v>62.853</v>
      </c>
      <c r="O1393" s="32">
        <f t="shared" si="4"/>
        <v>146.657</v>
      </c>
      <c r="P1393" s="32">
        <f t="shared" si="5"/>
        <v>146.657</v>
      </c>
      <c r="Q1393" s="22">
        <v>0.0</v>
      </c>
      <c r="R1393" s="32">
        <f t="shared" si="6"/>
        <v>20.951</v>
      </c>
      <c r="S1393" s="33" t="s">
        <v>29</v>
      </c>
      <c r="T1393" s="33" t="s">
        <v>30</v>
      </c>
      <c r="U1393" s="38" t="s">
        <v>905</v>
      </c>
      <c r="V1393" s="35"/>
      <c r="W1393" s="7"/>
      <c r="X1393" s="7"/>
      <c r="Y1393" s="7"/>
      <c r="Z1393" s="7"/>
      <c r="AA1393" s="7"/>
    </row>
    <row r="1394" ht="18.75" customHeight="1">
      <c r="A1394" s="8" t="s">
        <v>1481</v>
      </c>
      <c r="B1394" s="9" t="s">
        <v>1482</v>
      </c>
      <c r="C1394" s="9" t="s">
        <v>24</v>
      </c>
      <c r="D1394" s="10">
        <v>1789.0</v>
      </c>
      <c r="E1394" s="8" t="s">
        <v>1513</v>
      </c>
      <c r="F1394" s="11" t="s">
        <v>37</v>
      </c>
      <c r="G1394" s="12" t="s">
        <v>27</v>
      </c>
      <c r="H1394" s="13">
        <v>209.51</v>
      </c>
      <c r="I1394" s="14">
        <v>10.0</v>
      </c>
      <c r="J1394" s="15" t="s">
        <v>54</v>
      </c>
      <c r="K1394" s="16">
        <v>0.3</v>
      </c>
      <c r="L1394" s="17">
        <f t="shared" si="1"/>
        <v>3</v>
      </c>
      <c r="M1394" s="17">
        <f t="shared" si="2"/>
        <v>7</v>
      </c>
      <c r="N1394" s="18">
        <f t="shared" si="3"/>
        <v>62.853</v>
      </c>
      <c r="O1394" s="18">
        <f t="shared" si="4"/>
        <v>146.657</v>
      </c>
      <c r="P1394" s="18">
        <f t="shared" si="5"/>
        <v>146.657</v>
      </c>
      <c r="Q1394" s="8">
        <v>0.0</v>
      </c>
      <c r="R1394" s="18">
        <f t="shared" si="6"/>
        <v>20.951</v>
      </c>
      <c r="S1394" s="19" t="s">
        <v>29</v>
      </c>
      <c r="T1394" s="19" t="s">
        <v>30</v>
      </c>
      <c r="U1394" s="36" t="s">
        <v>905</v>
      </c>
      <c r="V1394" s="37"/>
      <c r="W1394" s="7"/>
      <c r="X1394" s="7"/>
      <c r="Y1394" s="7"/>
      <c r="Z1394" s="7"/>
      <c r="AA1394" s="7"/>
    </row>
    <row r="1395" ht="18.75" customHeight="1">
      <c r="A1395" s="22" t="s">
        <v>1481</v>
      </c>
      <c r="B1395" s="23" t="s">
        <v>1482</v>
      </c>
      <c r="C1395" s="23" t="s">
        <v>24</v>
      </c>
      <c r="D1395" s="24">
        <v>1790.0</v>
      </c>
      <c r="E1395" s="22" t="s">
        <v>1514</v>
      </c>
      <c r="F1395" s="25" t="s">
        <v>26</v>
      </c>
      <c r="G1395" s="26" t="s">
        <v>27</v>
      </c>
      <c r="H1395" s="27">
        <v>235.03</v>
      </c>
      <c r="I1395" s="28">
        <v>10.0</v>
      </c>
      <c r="J1395" s="29" t="s">
        <v>54</v>
      </c>
      <c r="K1395" s="30">
        <v>0.3</v>
      </c>
      <c r="L1395" s="31">
        <f t="shared" si="1"/>
        <v>3</v>
      </c>
      <c r="M1395" s="31">
        <f t="shared" si="2"/>
        <v>7</v>
      </c>
      <c r="N1395" s="32">
        <f t="shared" si="3"/>
        <v>70.509</v>
      </c>
      <c r="O1395" s="32">
        <f t="shared" si="4"/>
        <v>164.521</v>
      </c>
      <c r="P1395" s="32">
        <f t="shared" si="5"/>
        <v>164.521</v>
      </c>
      <c r="Q1395" s="22">
        <v>0.0</v>
      </c>
      <c r="R1395" s="32">
        <f t="shared" si="6"/>
        <v>23.503</v>
      </c>
      <c r="S1395" s="33" t="s">
        <v>29</v>
      </c>
      <c r="T1395" s="33" t="s">
        <v>30</v>
      </c>
      <c r="U1395" s="34" t="s">
        <v>96</v>
      </c>
      <c r="V1395" s="35"/>
      <c r="W1395" s="7"/>
      <c r="X1395" s="7"/>
      <c r="Y1395" s="7"/>
      <c r="Z1395" s="7"/>
      <c r="AA1395" s="7"/>
    </row>
    <row r="1396" ht="18.75" customHeight="1">
      <c r="A1396" s="8" t="s">
        <v>1481</v>
      </c>
      <c r="B1396" s="9" t="s">
        <v>1482</v>
      </c>
      <c r="C1396" s="9" t="s">
        <v>145</v>
      </c>
      <c r="D1396" s="10">
        <v>1792.0</v>
      </c>
      <c r="E1396" s="8" t="s">
        <v>1515</v>
      </c>
      <c r="F1396" s="11" t="s">
        <v>26</v>
      </c>
      <c r="G1396" s="12" t="s">
        <v>27</v>
      </c>
      <c r="H1396" s="13">
        <v>1583.6</v>
      </c>
      <c r="I1396" s="14">
        <v>10.0</v>
      </c>
      <c r="J1396" s="48" t="s">
        <v>63</v>
      </c>
      <c r="K1396" s="16">
        <v>0.700000000000007</v>
      </c>
      <c r="L1396" s="17">
        <f t="shared" si="1"/>
        <v>7</v>
      </c>
      <c r="M1396" s="17">
        <f t="shared" si="2"/>
        <v>3</v>
      </c>
      <c r="N1396" s="18">
        <f t="shared" si="3"/>
        <v>1108.52</v>
      </c>
      <c r="O1396" s="18">
        <f t="shared" si="4"/>
        <v>475.08</v>
      </c>
      <c r="P1396" s="18">
        <f t="shared" si="5"/>
        <v>475.08</v>
      </c>
      <c r="Q1396" s="8">
        <v>0.0</v>
      </c>
      <c r="R1396" s="18">
        <f t="shared" si="6"/>
        <v>158.36</v>
      </c>
      <c r="S1396" s="19" t="s">
        <v>29</v>
      </c>
      <c r="T1396" s="19" t="s">
        <v>30</v>
      </c>
      <c r="U1396" s="20" t="s">
        <v>232</v>
      </c>
      <c r="V1396" s="37"/>
      <c r="W1396" s="7"/>
      <c r="X1396" s="7"/>
      <c r="Y1396" s="7"/>
      <c r="Z1396" s="7"/>
      <c r="AA1396" s="7"/>
    </row>
    <row r="1397" ht="18.75" customHeight="1">
      <c r="A1397" s="22" t="s">
        <v>1481</v>
      </c>
      <c r="B1397" s="23" t="s">
        <v>1482</v>
      </c>
      <c r="C1397" s="23" t="s">
        <v>985</v>
      </c>
      <c r="D1397" s="24">
        <v>1794.0</v>
      </c>
      <c r="E1397" s="22" t="s">
        <v>1516</v>
      </c>
      <c r="F1397" s="25" t="s">
        <v>26</v>
      </c>
      <c r="G1397" s="26" t="s">
        <v>27</v>
      </c>
      <c r="H1397" s="27">
        <v>2219.0</v>
      </c>
      <c r="I1397" s="28">
        <v>10.0</v>
      </c>
      <c r="J1397" s="29" t="s">
        <v>28</v>
      </c>
      <c r="K1397" s="30">
        <v>0.4</v>
      </c>
      <c r="L1397" s="31">
        <f t="shared" si="1"/>
        <v>4</v>
      </c>
      <c r="M1397" s="31">
        <f t="shared" si="2"/>
        <v>6</v>
      </c>
      <c r="N1397" s="32">
        <f t="shared" si="3"/>
        <v>887.6</v>
      </c>
      <c r="O1397" s="32">
        <f t="shared" si="4"/>
        <v>1331.4</v>
      </c>
      <c r="P1397" s="32">
        <f t="shared" si="5"/>
        <v>1331.4</v>
      </c>
      <c r="Q1397" s="22">
        <v>0.0</v>
      </c>
      <c r="R1397" s="32">
        <f t="shared" si="6"/>
        <v>221.9</v>
      </c>
      <c r="S1397" s="33" t="s">
        <v>29</v>
      </c>
      <c r="T1397" s="33" t="s">
        <v>30</v>
      </c>
      <c r="U1397" s="34" t="s">
        <v>418</v>
      </c>
      <c r="V1397" s="35"/>
      <c r="W1397" s="7"/>
      <c r="X1397" s="7"/>
      <c r="Y1397" s="7"/>
      <c r="Z1397" s="7"/>
      <c r="AA1397" s="7"/>
    </row>
    <row r="1398" ht="18.75" customHeight="1">
      <c r="A1398" s="8" t="s">
        <v>1481</v>
      </c>
      <c r="B1398" s="9" t="s">
        <v>1482</v>
      </c>
      <c r="C1398" s="9" t="s">
        <v>985</v>
      </c>
      <c r="D1398" s="10">
        <v>1795.0</v>
      </c>
      <c r="E1398" s="8" t="s">
        <v>1517</v>
      </c>
      <c r="F1398" s="11" t="s">
        <v>26</v>
      </c>
      <c r="G1398" s="12" t="s">
        <v>27</v>
      </c>
      <c r="H1398" s="55">
        <v>840.42</v>
      </c>
      <c r="I1398" s="14">
        <v>10.0</v>
      </c>
      <c r="J1398" s="15" t="s">
        <v>38</v>
      </c>
      <c r="K1398" s="16">
        <v>0.5</v>
      </c>
      <c r="L1398" s="17">
        <f t="shared" si="1"/>
        <v>5</v>
      </c>
      <c r="M1398" s="17">
        <f t="shared" si="2"/>
        <v>5</v>
      </c>
      <c r="N1398" s="18">
        <f t="shared" si="3"/>
        <v>420.21</v>
      </c>
      <c r="O1398" s="18">
        <f t="shared" si="4"/>
        <v>420.21</v>
      </c>
      <c r="P1398" s="18">
        <f t="shared" si="5"/>
        <v>420.21</v>
      </c>
      <c r="Q1398" s="8">
        <v>0.0</v>
      </c>
      <c r="R1398" s="18">
        <f t="shared" si="6"/>
        <v>84.042</v>
      </c>
      <c r="S1398" s="19" t="s">
        <v>29</v>
      </c>
      <c r="T1398" s="19" t="s">
        <v>30</v>
      </c>
      <c r="U1398" s="20" t="s">
        <v>102</v>
      </c>
      <c r="V1398" s="37"/>
      <c r="W1398" s="7"/>
      <c r="X1398" s="7"/>
      <c r="Y1398" s="7"/>
      <c r="Z1398" s="7"/>
      <c r="AA1398" s="7"/>
    </row>
    <row r="1399" ht="18.75" customHeight="1">
      <c r="A1399" s="22" t="s">
        <v>1481</v>
      </c>
      <c r="B1399" s="23" t="s">
        <v>1482</v>
      </c>
      <c r="C1399" s="23" t="s">
        <v>985</v>
      </c>
      <c r="D1399" s="24">
        <v>1796.0</v>
      </c>
      <c r="E1399" s="22" t="s">
        <v>1518</v>
      </c>
      <c r="F1399" s="25" t="s">
        <v>26</v>
      </c>
      <c r="G1399" s="26" t="s">
        <v>27</v>
      </c>
      <c r="H1399" s="56">
        <v>1260.63</v>
      </c>
      <c r="I1399" s="28">
        <v>10.0</v>
      </c>
      <c r="J1399" s="29" t="s">
        <v>38</v>
      </c>
      <c r="K1399" s="30">
        <v>0.5</v>
      </c>
      <c r="L1399" s="31">
        <f t="shared" si="1"/>
        <v>5</v>
      </c>
      <c r="M1399" s="31">
        <f t="shared" si="2"/>
        <v>5</v>
      </c>
      <c r="N1399" s="32">
        <f t="shared" si="3"/>
        <v>630.315</v>
      </c>
      <c r="O1399" s="32">
        <f t="shared" si="4"/>
        <v>630.315</v>
      </c>
      <c r="P1399" s="32">
        <f t="shared" si="5"/>
        <v>630.315</v>
      </c>
      <c r="Q1399" s="22">
        <v>0.0</v>
      </c>
      <c r="R1399" s="32">
        <f t="shared" si="6"/>
        <v>126.063</v>
      </c>
      <c r="S1399" s="33" t="s">
        <v>29</v>
      </c>
      <c r="T1399" s="33" t="s">
        <v>30</v>
      </c>
      <c r="U1399" s="34" t="s">
        <v>102</v>
      </c>
      <c r="V1399" s="35"/>
      <c r="W1399" s="7"/>
      <c r="X1399" s="7"/>
      <c r="Y1399" s="7"/>
      <c r="Z1399" s="7"/>
      <c r="AA1399" s="7"/>
    </row>
    <row r="1400" ht="18.75" customHeight="1">
      <c r="A1400" s="8" t="s">
        <v>1481</v>
      </c>
      <c r="B1400" s="9" t="s">
        <v>1482</v>
      </c>
      <c r="C1400" s="9" t="s">
        <v>985</v>
      </c>
      <c r="D1400" s="10">
        <v>1797.0</v>
      </c>
      <c r="E1400" s="8" t="s">
        <v>1519</v>
      </c>
      <c r="F1400" s="11" t="s">
        <v>37</v>
      </c>
      <c r="G1400" s="12" t="s">
        <v>27</v>
      </c>
      <c r="H1400" s="13">
        <v>1044.42</v>
      </c>
      <c r="I1400" s="14">
        <v>10.0</v>
      </c>
      <c r="J1400" s="15" t="s">
        <v>54</v>
      </c>
      <c r="K1400" s="16">
        <v>0.3</v>
      </c>
      <c r="L1400" s="17">
        <f t="shared" si="1"/>
        <v>3</v>
      </c>
      <c r="M1400" s="17">
        <f t="shared" si="2"/>
        <v>7</v>
      </c>
      <c r="N1400" s="18">
        <f t="shared" si="3"/>
        <v>313.326</v>
      </c>
      <c r="O1400" s="18">
        <f t="shared" si="4"/>
        <v>731.094</v>
      </c>
      <c r="P1400" s="18">
        <f t="shared" si="5"/>
        <v>731.094</v>
      </c>
      <c r="Q1400" s="8">
        <v>0.0</v>
      </c>
      <c r="R1400" s="18">
        <f t="shared" si="6"/>
        <v>104.442</v>
      </c>
      <c r="S1400" s="19" t="s">
        <v>29</v>
      </c>
      <c r="T1400" s="19" t="s">
        <v>30</v>
      </c>
      <c r="U1400" s="20" t="s">
        <v>346</v>
      </c>
      <c r="V1400" s="37"/>
      <c r="W1400" s="7"/>
      <c r="X1400" s="7"/>
      <c r="Y1400" s="7"/>
      <c r="Z1400" s="7"/>
      <c r="AA1400" s="7"/>
    </row>
    <row r="1401" ht="18.75" customHeight="1">
      <c r="A1401" s="22" t="s">
        <v>1481</v>
      </c>
      <c r="B1401" s="23" t="s">
        <v>1482</v>
      </c>
      <c r="C1401" s="23" t="s">
        <v>985</v>
      </c>
      <c r="D1401" s="24">
        <v>1798.0</v>
      </c>
      <c r="E1401" s="22" t="s">
        <v>1520</v>
      </c>
      <c r="F1401" s="25" t="s">
        <v>37</v>
      </c>
      <c r="G1401" s="26" t="s">
        <v>27</v>
      </c>
      <c r="H1401" s="27">
        <v>578.76</v>
      </c>
      <c r="I1401" s="28">
        <v>10.0</v>
      </c>
      <c r="J1401" s="29" t="s">
        <v>28</v>
      </c>
      <c r="K1401" s="30">
        <v>0.4</v>
      </c>
      <c r="L1401" s="31">
        <f t="shared" si="1"/>
        <v>4</v>
      </c>
      <c r="M1401" s="31">
        <f t="shared" si="2"/>
        <v>6</v>
      </c>
      <c r="N1401" s="32">
        <f t="shared" si="3"/>
        <v>231.504</v>
      </c>
      <c r="O1401" s="32">
        <f t="shared" si="4"/>
        <v>347.256</v>
      </c>
      <c r="P1401" s="32">
        <f t="shared" si="5"/>
        <v>347.256</v>
      </c>
      <c r="Q1401" s="22">
        <v>0.0</v>
      </c>
      <c r="R1401" s="32">
        <f t="shared" si="6"/>
        <v>57.876</v>
      </c>
      <c r="S1401" s="33" t="s">
        <v>29</v>
      </c>
      <c r="T1401" s="33" t="s">
        <v>30</v>
      </c>
      <c r="U1401" s="38" t="s">
        <v>784</v>
      </c>
      <c r="V1401" s="35"/>
      <c r="W1401" s="7"/>
      <c r="X1401" s="7"/>
      <c r="Y1401" s="7"/>
      <c r="Z1401" s="7"/>
      <c r="AA1401" s="7"/>
    </row>
    <row r="1402" ht="18.75" customHeight="1">
      <c r="A1402" s="8" t="s">
        <v>1481</v>
      </c>
      <c r="B1402" s="9" t="s">
        <v>1482</v>
      </c>
      <c r="C1402" s="9" t="s">
        <v>985</v>
      </c>
      <c r="D1402" s="10">
        <v>1799.0</v>
      </c>
      <c r="E1402" s="8" t="s">
        <v>1521</v>
      </c>
      <c r="F1402" s="11" t="s">
        <v>37</v>
      </c>
      <c r="G1402" s="12" t="s">
        <v>27</v>
      </c>
      <c r="H1402" s="13">
        <v>626.99</v>
      </c>
      <c r="I1402" s="14">
        <v>5.0</v>
      </c>
      <c r="J1402" s="15" t="s">
        <v>54</v>
      </c>
      <c r="K1402" s="16">
        <v>0.3</v>
      </c>
      <c r="L1402" s="17">
        <f t="shared" si="1"/>
        <v>1.5</v>
      </c>
      <c r="M1402" s="17">
        <f t="shared" si="2"/>
        <v>3.5</v>
      </c>
      <c r="N1402" s="18">
        <f t="shared" si="3"/>
        <v>188.097</v>
      </c>
      <c r="O1402" s="18">
        <f t="shared" si="4"/>
        <v>438.893</v>
      </c>
      <c r="P1402" s="18">
        <f t="shared" si="5"/>
        <v>438.893</v>
      </c>
      <c r="Q1402" s="8">
        <v>0.0</v>
      </c>
      <c r="R1402" s="18">
        <f t="shared" si="6"/>
        <v>125.398</v>
      </c>
      <c r="S1402" s="19" t="s">
        <v>29</v>
      </c>
      <c r="T1402" s="19" t="s">
        <v>30</v>
      </c>
      <c r="U1402" s="20" t="s">
        <v>284</v>
      </c>
      <c r="V1402" s="37"/>
      <c r="W1402" s="7"/>
      <c r="X1402" s="7"/>
      <c r="Y1402" s="7"/>
      <c r="Z1402" s="7"/>
      <c r="AA1402" s="7"/>
    </row>
    <row r="1403" ht="18.75" customHeight="1">
      <c r="A1403" s="22" t="s">
        <v>1481</v>
      </c>
      <c r="B1403" s="23" t="s">
        <v>1482</v>
      </c>
      <c r="C1403" s="23" t="s">
        <v>985</v>
      </c>
      <c r="D1403" s="24">
        <v>1800.0</v>
      </c>
      <c r="E1403" s="22" t="s">
        <v>1522</v>
      </c>
      <c r="F1403" s="25" t="s">
        <v>37</v>
      </c>
      <c r="G1403" s="26" t="s">
        <v>27</v>
      </c>
      <c r="H1403" s="27">
        <v>626.99</v>
      </c>
      <c r="I1403" s="28">
        <v>10.0</v>
      </c>
      <c r="J1403" s="29" t="s">
        <v>54</v>
      </c>
      <c r="K1403" s="30">
        <v>0.3</v>
      </c>
      <c r="L1403" s="31">
        <f t="shared" si="1"/>
        <v>3</v>
      </c>
      <c r="M1403" s="31">
        <f t="shared" si="2"/>
        <v>7</v>
      </c>
      <c r="N1403" s="32">
        <f t="shared" si="3"/>
        <v>188.097</v>
      </c>
      <c r="O1403" s="32">
        <f t="shared" si="4"/>
        <v>438.893</v>
      </c>
      <c r="P1403" s="32">
        <f t="shared" si="5"/>
        <v>438.893</v>
      </c>
      <c r="Q1403" s="22">
        <v>0.0</v>
      </c>
      <c r="R1403" s="32">
        <f t="shared" si="6"/>
        <v>62.699</v>
      </c>
      <c r="S1403" s="33" t="s">
        <v>29</v>
      </c>
      <c r="T1403" s="33" t="s">
        <v>30</v>
      </c>
      <c r="U1403" s="34" t="s">
        <v>284</v>
      </c>
      <c r="V1403" s="35"/>
      <c r="W1403" s="7"/>
      <c r="X1403" s="7"/>
      <c r="Y1403" s="7"/>
      <c r="Z1403" s="7"/>
      <c r="AA1403" s="7"/>
    </row>
    <row r="1404" ht="18.75" customHeight="1">
      <c r="A1404" s="8" t="s">
        <v>1481</v>
      </c>
      <c r="B1404" s="9" t="s">
        <v>1482</v>
      </c>
      <c r="C1404" s="9" t="s">
        <v>985</v>
      </c>
      <c r="D1404" s="10">
        <v>1804.0</v>
      </c>
      <c r="E1404" s="8" t="s">
        <v>1523</v>
      </c>
      <c r="F1404" s="11" t="s">
        <v>37</v>
      </c>
      <c r="G1404" s="12" t="s">
        <v>27</v>
      </c>
      <c r="H1404" s="13">
        <v>653.67</v>
      </c>
      <c r="I1404" s="14">
        <v>10.0</v>
      </c>
      <c r="J1404" s="15" t="s">
        <v>54</v>
      </c>
      <c r="K1404" s="16">
        <v>0.3</v>
      </c>
      <c r="L1404" s="17">
        <f t="shared" si="1"/>
        <v>3</v>
      </c>
      <c r="M1404" s="17">
        <f t="shared" si="2"/>
        <v>7</v>
      </c>
      <c r="N1404" s="18">
        <f t="shared" si="3"/>
        <v>196.101</v>
      </c>
      <c r="O1404" s="18">
        <f t="shared" si="4"/>
        <v>457.569</v>
      </c>
      <c r="P1404" s="18">
        <f t="shared" si="5"/>
        <v>457.569</v>
      </c>
      <c r="Q1404" s="8">
        <v>0.0</v>
      </c>
      <c r="R1404" s="18">
        <f t="shared" si="6"/>
        <v>65.367</v>
      </c>
      <c r="S1404" s="19" t="s">
        <v>29</v>
      </c>
      <c r="T1404" s="19" t="s">
        <v>30</v>
      </c>
      <c r="U1404" s="36" t="s">
        <v>1524</v>
      </c>
      <c r="V1404" s="37"/>
      <c r="W1404" s="7"/>
      <c r="X1404" s="7"/>
      <c r="Y1404" s="7"/>
      <c r="Z1404" s="7"/>
      <c r="AA1404" s="7"/>
    </row>
    <row r="1405" ht="18.75" customHeight="1">
      <c r="A1405" s="22" t="s">
        <v>1481</v>
      </c>
      <c r="B1405" s="23" t="s">
        <v>1482</v>
      </c>
      <c r="C1405" s="23" t="s">
        <v>24</v>
      </c>
      <c r="D1405" s="24">
        <v>1807.0</v>
      </c>
      <c r="E1405" s="22" t="s">
        <v>1525</v>
      </c>
      <c r="F1405" s="25" t="s">
        <v>37</v>
      </c>
      <c r="G1405" s="26" t="s">
        <v>27</v>
      </c>
      <c r="H1405" s="27">
        <v>332.91</v>
      </c>
      <c r="I1405" s="28">
        <v>10.0</v>
      </c>
      <c r="J1405" s="29" t="s">
        <v>54</v>
      </c>
      <c r="K1405" s="30">
        <v>0.3</v>
      </c>
      <c r="L1405" s="31">
        <f t="shared" si="1"/>
        <v>3</v>
      </c>
      <c r="M1405" s="31">
        <f t="shared" si="2"/>
        <v>7</v>
      </c>
      <c r="N1405" s="32">
        <f t="shared" si="3"/>
        <v>99.873</v>
      </c>
      <c r="O1405" s="32">
        <f t="shared" si="4"/>
        <v>233.037</v>
      </c>
      <c r="P1405" s="32">
        <f t="shared" si="5"/>
        <v>233.037</v>
      </c>
      <c r="Q1405" s="22">
        <v>0.0</v>
      </c>
      <c r="R1405" s="32">
        <f t="shared" si="6"/>
        <v>33.291</v>
      </c>
      <c r="S1405" s="33" t="s">
        <v>29</v>
      </c>
      <c r="T1405" s="33" t="s">
        <v>30</v>
      </c>
      <c r="U1405" s="34" t="s">
        <v>298</v>
      </c>
      <c r="V1405" s="35"/>
      <c r="W1405" s="7"/>
      <c r="X1405" s="7"/>
      <c r="Y1405" s="7"/>
      <c r="Z1405" s="7"/>
      <c r="AA1405" s="7"/>
    </row>
    <row r="1406" ht="18.75" customHeight="1">
      <c r="A1406" s="8" t="s">
        <v>1481</v>
      </c>
      <c r="B1406" s="9" t="s">
        <v>1482</v>
      </c>
      <c r="C1406" s="9" t="s">
        <v>24</v>
      </c>
      <c r="D1406" s="10">
        <v>1808.0</v>
      </c>
      <c r="E1406" s="8" t="s">
        <v>1526</v>
      </c>
      <c r="F1406" s="11" t="s">
        <v>37</v>
      </c>
      <c r="G1406" s="12" t="s">
        <v>27</v>
      </c>
      <c r="H1406" s="13">
        <v>1880.55</v>
      </c>
      <c r="I1406" s="14">
        <v>10.0</v>
      </c>
      <c r="J1406" s="15" t="s">
        <v>81</v>
      </c>
      <c r="K1406" s="16">
        <v>0.150000000000002</v>
      </c>
      <c r="L1406" s="17">
        <f t="shared" si="1"/>
        <v>1.5</v>
      </c>
      <c r="M1406" s="17">
        <f t="shared" si="2"/>
        <v>8.5</v>
      </c>
      <c r="N1406" s="18">
        <f t="shared" si="3"/>
        <v>282.0825</v>
      </c>
      <c r="O1406" s="18">
        <f t="shared" si="4"/>
        <v>1598.4675</v>
      </c>
      <c r="P1406" s="18">
        <f t="shared" si="5"/>
        <v>1598.4675</v>
      </c>
      <c r="Q1406" s="8">
        <v>0.0</v>
      </c>
      <c r="R1406" s="18">
        <f t="shared" si="6"/>
        <v>188.055</v>
      </c>
      <c r="S1406" s="19" t="s">
        <v>29</v>
      </c>
      <c r="T1406" s="19" t="s">
        <v>30</v>
      </c>
      <c r="U1406" s="20" t="s">
        <v>69</v>
      </c>
      <c r="V1406" s="37"/>
      <c r="W1406" s="7"/>
      <c r="X1406" s="7"/>
      <c r="Y1406" s="7"/>
      <c r="Z1406" s="7"/>
      <c r="AA1406" s="7"/>
    </row>
    <row r="1407" ht="18.75" customHeight="1">
      <c r="A1407" s="22" t="s">
        <v>1481</v>
      </c>
      <c r="B1407" s="23" t="s">
        <v>1482</v>
      </c>
      <c r="C1407" s="23" t="s">
        <v>33</v>
      </c>
      <c r="D1407" s="24">
        <v>1823.0</v>
      </c>
      <c r="E1407" s="22" t="s">
        <v>1527</v>
      </c>
      <c r="F1407" s="25" t="s">
        <v>37</v>
      </c>
      <c r="G1407" s="26" t="s">
        <v>27</v>
      </c>
      <c r="H1407" s="27">
        <v>194.21</v>
      </c>
      <c r="I1407" s="28">
        <v>10.0</v>
      </c>
      <c r="J1407" s="29" t="s">
        <v>28</v>
      </c>
      <c r="K1407" s="30">
        <v>0.4</v>
      </c>
      <c r="L1407" s="31">
        <f t="shared" si="1"/>
        <v>4</v>
      </c>
      <c r="M1407" s="31">
        <f t="shared" si="2"/>
        <v>6</v>
      </c>
      <c r="N1407" s="32">
        <f t="shared" si="3"/>
        <v>77.684</v>
      </c>
      <c r="O1407" s="32">
        <f t="shared" si="4"/>
        <v>116.526</v>
      </c>
      <c r="P1407" s="32">
        <f t="shared" si="5"/>
        <v>116.526</v>
      </c>
      <c r="Q1407" s="22">
        <v>0.0</v>
      </c>
      <c r="R1407" s="32">
        <f t="shared" si="6"/>
        <v>19.421</v>
      </c>
      <c r="S1407" s="33" t="s">
        <v>29</v>
      </c>
      <c r="T1407" s="33" t="s">
        <v>30</v>
      </c>
      <c r="U1407" s="34" t="s">
        <v>1528</v>
      </c>
      <c r="V1407" s="35"/>
      <c r="W1407" s="7"/>
      <c r="X1407" s="7"/>
      <c r="Y1407" s="7"/>
      <c r="Z1407" s="7"/>
      <c r="AA1407" s="7"/>
    </row>
    <row r="1408" ht="18.75" customHeight="1">
      <c r="A1408" s="8" t="s">
        <v>1481</v>
      </c>
      <c r="B1408" s="9" t="s">
        <v>1482</v>
      </c>
      <c r="C1408" s="9" t="s">
        <v>33</v>
      </c>
      <c r="D1408" s="10">
        <v>1824.0</v>
      </c>
      <c r="E1408" s="8" t="s">
        <v>1527</v>
      </c>
      <c r="F1408" s="11" t="s">
        <v>37</v>
      </c>
      <c r="G1408" s="12" t="s">
        <v>27</v>
      </c>
      <c r="H1408" s="13">
        <v>194.21</v>
      </c>
      <c r="I1408" s="14">
        <v>10.0</v>
      </c>
      <c r="J1408" s="15" t="s">
        <v>28</v>
      </c>
      <c r="K1408" s="16">
        <v>0.4</v>
      </c>
      <c r="L1408" s="17">
        <f t="shared" si="1"/>
        <v>4</v>
      </c>
      <c r="M1408" s="17">
        <f t="shared" si="2"/>
        <v>6</v>
      </c>
      <c r="N1408" s="18">
        <f t="shared" si="3"/>
        <v>77.684</v>
      </c>
      <c r="O1408" s="18">
        <f t="shared" si="4"/>
        <v>116.526</v>
      </c>
      <c r="P1408" s="18">
        <f t="shared" si="5"/>
        <v>116.526</v>
      </c>
      <c r="Q1408" s="8">
        <v>0.0</v>
      </c>
      <c r="R1408" s="18">
        <f t="shared" si="6"/>
        <v>19.421</v>
      </c>
      <c r="S1408" s="19" t="s">
        <v>29</v>
      </c>
      <c r="T1408" s="19" t="s">
        <v>30</v>
      </c>
      <c r="U1408" s="20" t="s">
        <v>1528</v>
      </c>
      <c r="V1408" s="37"/>
      <c r="W1408" s="7"/>
      <c r="X1408" s="7"/>
      <c r="Y1408" s="7"/>
      <c r="Z1408" s="7"/>
      <c r="AA1408" s="7"/>
    </row>
    <row r="1409" ht="18.75" customHeight="1">
      <c r="A1409" s="22" t="s">
        <v>1481</v>
      </c>
      <c r="B1409" s="23" t="s">
        <v>1482</v>
      </c>
      <c r="C1409" s="23" t="s">
        <v>33</v>
      </c>
      <c r="D1409" s="24">
        <v>1825.0</v>
      </c>
      <c r="E1409" s="22" t="s">
        <v>1529</v>
      </c>
      <c r="F1409" s="25" t="s">
        <v>37</v>
      </c>
      <c r="G1409" s="26" t="s">
        <v>27</v>
      </c>
      <c r="H1409" s="27">
        <v>379.0</v>
      </c>
      <c r="I1409" s="28">
        <v>10.0</v>
      </c>
      <c r="J1409" s="29" t="s">
        <v>54</v>
      </c>
      <c r="K1409" s="30">
        <v>0.3</v>
      </c>
      <c r="L1409" s="31">
        <f t="shared" si="1"/>
        <v>3</v>
      </c>
      <c r="M1409" s="31">
        <f t="shared" si="2"/>
        <v>7</v>
      </c>
      <c r="N1409" s="32">
        <f t="shared" si="3"/>
        <v>113.7</v>
      </c>
      <c r="O1409" s="32">
        <f t="shared" si="4"/>
        <v>265.3</v>
      </c>
      <c r="P1409" s="32">
        <f t="shared" si="5"/>
        <v>265.3</v>
      </c>
      <c r="Q1409" s="22">
        <v>0.0</v>
      </c>
      <c r="R1409" s="32">
        <f t="shared" si="6"/>
        <v>37.9</v>
      </c>
      <c r="S1409" s="33" t="s">
        <v>29</v>
      </c>
      <c r="T1409" s="33" t="s">
        <v>30</v>
      </c>
      <c r="U1409" s="38" t="s">
        <v>1530</v>
      </c>
      <c r="V1409" s="35"/>
      <c r="W1409" s="7"/>
      <c r="X1409" s="7"/>
      <c r="Y1409" s="7"/>
      <c r="Z1409" s="7"/>
      <c r="AA1409" s="7"/>
    </row>
    <row r="1410" ht="18.75" customHeight="1">
      <c r="A1410" s="8" t="s">
        <v>1481</v>
      </c>
      <c r="B1410" s="9" t="s">
        <v>1482</v>
      </c>
      <c r="C1410" s="9" t="s">
        <v>230</v>
      </c>
      <c r="D1410" s="10">
        <v>1826.0</v>
      </c>
      <c r="E1410" s="8" t="s">
        <v>1527</v>
      </c>
      <c r="F1410" s="11" t="s">
        <v>37</v>
      </c>
      <c r="G1410" s="12" t="s">
        <v>27</v>
      </c>
      <c r="H1410" s="13">
        <v>194.21</v>
      </c>
      <c r="I1410" s="14">
        <v>10.0</v>
      </c>
      <c r="J1410" s="15" t="s">
        <v>28</v>
      </c>
      <c r="K1410" s="16">
        <v>0.4</v>
      </c>
      <c r="L1410" s="17">
        <f t="shared" si="1"/>
        <v>4</v>
      </c>
      <c r="M1410" s="17">
        <f t="shared" si="2"/>
        <v>6</v>
      </c>
      <c r="N1410" s="18">
        <f t="shared" si="3"/>
        <v>77.684</v>
      </c>
      <c r="O1410" s="18">
        <f t="shared" si="4"/>
        <v>116.526</v>
      </c>
      <c r="P1410" s="18">
        <f t="shared" si="5"/>
        <v>116.526</v>
      </c>
      <c r="Q1410" s="8">
        <v>0.0</v>
      </c>
      <c r="R1410" s="18">
        <f t="shared" si="6"/>
        <v>19.421</v>
      </c>
      <c r="S1410" s="19" t="s">
        <v>29</v>
      </c>
      <c r="T1410" s="19" t="s">
        <v>30</v>
      </c>
      <c r="U1410" s="20" t="s">
        <v>1528</v>
      </c>
      <c r="V1410" s="37"/>
      <c r="W1410" s="7"/>
      <c r="X1410" s="7"/>
      <c r="Y1410" s="7"/>
      <c r="Z1410" s="7"/>
      <c r="AA1410" s="7"/>
    </row>
    <row r="1411" ht="18.75" customHeight="1">
      <c r="A1411" s="22" t="s">
        <v>1481</v>
      </c>
      <c r="B1411" s="23" t="s">
        <v>1482</v>
      </c>
      <c r="C1411" s="23" t="s">
        <v>230</v>
      </c>
      <c r="D1411" s="24">
        <v>1827.0</v>
      </c>
      <c r="E1411" s="22" t="s">
        <v>1527</v>
      </c>
      <c r="F1411" s="25" t="s">
        <v>37</v>
      </c>
      <c r="G1411" s="26" t="s">
        <v>27</v>
      </c>
      <c r="H1411" s="27">
        <v>194.21</v>
      </c>
      <c r="I1411" s="28">
        <v>10.0</v>
      </c>
      <c r="J1411" s="29" t="s">
        <v>28</v>
      </c>
      <c r="K1411" s="30">
        <v>0.4</v>
      </c>
      <c r="L1411" s="31">
        <f t="shared" si="1"/>
        <v>4</v>
      </c>
      <c r="M1411" s="31">
        <f t="shared" si="2"/>
        <v>6</v>
      </c>
      <c r="N1411" s="32">
        <f t="shared" si="3"/>
        <v>77.684</v>
      </c>
      <c r="O1411" s="32">
        <f t="shared" si="4"/>
        <v>116.526</v>
      </c>
      <c r="P1411" s="32">
        <f t="shared" si="5"/>
        <v>116.526</v>
      </c>
      <c r="Q1411" s="22">
        <v>0.0</v>
      </c>
      <c r="R1411" s="32">
        <f t="shared" si="6"/>
        <v>19.421</v>
      </c>
      <c r="S1411" s="33" t="s">
        <v>29</v>
      </c>
      <c r="T1411" s="33" t="s">
        <v>30</v>
      </c>
      <c r="U1411" s="34" t="s">
        <v>1528</v>
      </c>
      <c r="V1411" s="35"/>
      <c r="W1411" s="7"/>
      <c r="X1411" s="7"/>
      <c r="Y1411" s="7"/>
      <c r="Z1411" s="7"/>
      <c r="AA1411" s="7"/>
    </row>
    <row r="1412" ht="18.75" customHeight="1">
      <c r="A1412" s="8" t="s">
        <v>1481</v>
      </c>
      <c r="B1412" s="9" t="s">
        <v>1482</v>
      </c>
      <c r="C1412" s="9" t="s">
        <v>230</v>
      </c>
      <c r="D1412" s="10">
        <v>1828.0</v>
      </c>
      <c r="E1412" s="8" t="s">
        <v>1529</v>
      </c>
      <c r="F1412" s="11" t="s">
        <v>37</v>
      </c>
      <c r="G1412" s="12" t="s">
        <v>27</v>
      </c>
      <c r="H1412" s="13">
        <v>379.0</v>
      </c>
      <c r="I1412" s="14">
        <v>10.0</v>
      </c>
      <c r="J1412" s="15" t="s">
        <v>28</v>
      </c>
      <c r="K1412" s="16">
        <v>0.4</v>
      </c>
      <c r="L1412" s="17">
        <f t="shared" si="1"/>
        <v>4</v>
      </c>
      <c r="M1412" s="17">
        <f t="shared" si="2"/>
        <v>6</v>
      </c>
      <c r="N1412" s="18">
        <f t="shared" si="3"/>
        <v>151.6</v>
      </c>
      <c r="O1412" s="18">
        <f t="shared" si="4"/>
        <v>227.4</v>
      </c>
      <c r="P1412" s="18">
        <f t="shared" si="5"/>
        <v>227.4</v>
      </c>
      <c r="Q1412" s="8">
        <v>0.0</v>
      </c>
      <c r="R1412" s="18">
        <f t="shared" si="6"/>
        <v>37.9</v>
      </c>
      <c r="S1412" s="19" t="s">
        <v>29</v>
      </c>
      <c r="T1412" s="19" t="s">
        <v>30</v>
      </c>
      <c r="U1412" s="36" t="s">
        <v>1530</v>
      </c>
      <c r="V1412" s="37"/>
      <c r="W1412" s="7"/>
      <c r="X1412" s="7"/>
      <c r="Y1412" s="7"/>
      <c r="Z1412" s="7"/>
      <c r="AA1412" s="7"/>
    </row>
    <row r="1413" ht="18.75" customHeight="1">
      <c r="A1413" s="22" t="s">
        <v>1481</v>
      </c>
      <c r="B1413" s="23" t="s">
        <v>1482</v>
      </c>
      <c r="C1413" s="23" t="s">
        <v>230</v>
      </c>
      <c r="D1413" s="24">
        <v>1829.0</v>
      </c>
      <c r="E1413" s="22" t="s">
        <v>1531</v>
      </c>
      <c r="F1413" s="25" t="s">
        <v>37</v>
      </c>
      <c r="G1413" s="26" t="s">
        <v>27</v>
      </c>
      <c r="H1413" s="27">
        <v>546.9</v>
      </c>
      <c r="I1413" s="28">
        <v>10.0</v>
      </c>
      <c r="J1413" s="29" t="s">
        <v>38</v>
      </c>
      <c r="K1413" s="30">
        <v>0.5</v>
      </c>
      <c r="L1413" s="31">
        <f t="shared" si="1"/>
        <v>5</v>
      </c>
      <c r="M1413" s="31">
        <f t="shared" si="2"/>
        <v>5</v>
      </c>
      <c r="N1413" s="32">
        <f t="shared" si="3"/>
        <v>273.45</v>
      </c>
      <c r="O1413" s="32">
        <f t="shared" si="4"/>
        <v>273.45</v>
      </c>
      <c r="P1413" s="32">
        <f t="shared" si="5"/>
        <v>273.45</v>
      </c>
      <c r="Q1413" s="22">
        <v>0.0</v>
      </c>
      <c r="R1413" s="32">
        <f t="shared" si="6"/>
        <v>54.69</v>
      </c>
      <c r="S1413" s="33" t="s">
        <v>29</v>
      </c>
      <c r="T1413" s="33" t="s">
        <v>30</v>
      </c>
      <c r="U1413" s="34" t="s">
        <v>270</v>
      </c>
      <c r="V1413" s="35"/>
      <c r="W1413" s="7"/>
      <c r="X1413" s="7"/>
      <c r="Y1413" s="7"/>
      <c r="Z1413" s="7"/>
      <c r="AA1413" s="7"/>
    </row>
    <row r="1414" ht="18.75" customHeight="1">
      <c r="A1414" s="8" t="s">
        <v>1481</v>
      </c>
      <c r="B1414" s="9" t="s">
        <v>1482</v>
      </c>
      <c r="C1414" s="9" t="s">
        <v>708</v>
      </c>
      <c r="D1414" s="10">
        <v>1830.0</v>
      </c>
      <c r="E1414" s="8" t="s">
        <v>1532</v>
      </c>
      <c r="F1414" s="11" t="s">
        <v>37</v>
      </c>
      <c r="G1414" s="12" t="s">
        <v>27</v>
      </c>
      <c r="H1414" s="13">
        <v>194.21</v>
      </c>
      <c r="I1414" s="14">
        <v>5.0</v>
      </c>
      <c r="J1414" s="15" t="s">
        <v>28</v>
      </c>
      <c r="K1414" s="16">
        <v>0.4</v>
      </c>
      <c r="L1414" s="17">
        <f t="shared" si="1"/>
        <v>2</v>
      </c>
      <c r="M1414" s="17">
        <f t="shared" si="2"/>
        <v>3</v>
      </c>
      <c r="N1414" s="18">
        <f t="shared" si="3"/>
        <v>77.684</v>
      </c>
      <c r="O1414" s="18">
        <f t="shared" si="4"/>
        <v>116.526</v>
      </c>
      <c r="P1414" s="18">
        <f t="shared" si="5"/>
        <v>116.526</v>
      </c>
      <c r="Q1414" s="8">
        <v>0.0</v>
      </c>
      <c r="R1414" s="18">
        <f t="shared" si="6"/>
        <v>38.842</v>
      </c>
      <c r="S1414" s="19" t="s">
        <v>29</v>
      </c>
      <c r="T1414" s="19" t="s">
        <v>30</v>
      </c>
      <c r="U1414" s="20" t="s">
        <v>1528</v>
      </c>
      <c r="V1414" s="37"/>
      <c r="W1414" s="7"/>
      <c r="X1414" s="7"/>
      <c r="Y1414" s="7"/>
      <c r="Z1414" s="7"/>
      <c r="AA1414" s="7"/>
    </row>
    <row r="1415" ht="18.75" customHeight="1">
      <c r="A1415" s="22" t="s">
        <v>1481</v>
      </c>
      <c r="B1415" s="23" t="s">
        <v>1482</v>
      </c>
      <c r="C1415" s="23" t="s">
        <v>708</v>
      </c>
      <c r="D1415" s="24">
        <v>1831.0</v>
      </c>
      <c r="E1415" s="22" t="s">
        <v>1527</v>
      </c>
      <c r="F1415" s="25" t="s">
        <v>37</v>
      </c>
      <c r="G1415" s="26" t="s">
        <v>27</v>
      </c>
      <c r="H1415" s="27">
        <v>194.21</v>
      </c>
      <c r="I1415" s="28">
        <v>10.0</v>
      </c>
      <c r="J1415" s="29" t="s">
        <v>28</v>
      </c>
      <c r="K1415" s="30">
        <v>0.4</v>
      </c>
      <c r="L1415" s="31">
        <f t="shared" si="1"/>
        <v>4</v>
      </c>
      <c r="M1415" s="31">
        <f t="shared" si="2"/>
        <v>6</v>
      </c>
      <c r="N1415" s="32">
        <f t="shared" si="3"/>
        <v>77.684</v>
      </c>
      <c r="O1415" s="32">
        <f t="shared" si="4"/>
        <v>116.526</v>
      </c>
      <c r="P1415" s="32">
        <f t="shared" si="5"/>
        <v>116.526</v>
      </c>
      <c r="Q1415" s="22">
        <v>0.0</v>
      </c>
      <c r="R1415" s="32">
        <f t="shared" si="6"/>
        <v>19.421</v>
      </c>
      <c r="S1415" s="33" t="s">
        <v>29</v>
      </c>
      <c r="T1415" s="33" t="s">
        <v>30</v>
      </c>
      <c r="U1415" s="34" t="s">
        <v>1528</v>
      </c>
      <c r="V1415" s="35"/>
      <c r="W1415" s="7"/>
      <c r="X1415" s="7"/>
      <c r="Y1415" s="7"/>
      <c r="Z1415" s="7"/>
      <c r="AA1415" s="7"/>
    </row>
    <row r="1416" ht="18.75" customHeight="1">
      <c r="A1416" s="8" t="s">
        <v>1481</v>
      </c>
      <c r="B1416" s="9" t="s">
        <v>1482</v>
      </c>
      <c r="C1416" s="9" t="s">
        <v>708</v>
      </c>
      <c r="D1416" s="10">
        <v>1832.0</v>
      </c>
      <c r="E1416" s="8" t="s">
        <v>1527</v>
      </c>
      <c r="F1416" s="11" t="s">
        <v>37</v>
      </c>
      <c r="G1416" s="12" t="s">
        <v>27</v>
      </c>
      <c r="H1416" s="13">
        <v>194.21</v>
      </c>
      <c r="I1416" s="14">
        <v>10.0</v>
      </c>
      <c r="J1416" s="15" t="s">
        <v>54</v>
      </c>
      <c r="K1416" s="16">
        <v>0.3</v>
      </c>
      <c r="L1416" s="17">
        <f t="shared" si="1"/>
        <v>3</v>
      </c>
      <c r="M1416" s="17">
        <f t="shared" si="2"/>
        <v>7</v>
      </c>
      <c r="N1416" s="18">
        <f t="shared" si="3"/>
        <v>58.263</v>
      </c>
      <c r="O1416" s="18">
        <f t="shared" si="4"/>
        <v>135.947</v>
      </c>
      <c r="P1416" s="18">
        <f t="shared" si="5"/>
        <v>135.947</v>
      </c>
      <c r="Q1416" s="8">
        <v>0.0</v>
      </c>
      <c r="R1416" s="18">
        <f t="shared" si="6"/>
        <v>19.421</v>
      </c>
      <c r="S1416" s="19" t="s">
        <v>29</v>
      </c>
      <c r="T1416" s="19" t="s">
        <v>30</v>
      </c>
      <c r="U1416" s="20" t="s">
        <v>1528</v>
      </c>
      <c r="V1416" s="37"/>
      <c r="W1416" s="7"/>
      <c r="X1416" s="7"/>
      <c r="Y1416" s="7"/>
      <c r="Z1416" s="7"/>
      <c r="AA1416" s="7"/>
    </row>
    <row r="1417" ht="18.75" customHeight="1">
      <c r="A1417" s="22" t="s">
        <v>1481</v>
      </c>
      <c r="B1417" s="23" t="s">
        <v>1482</v>
      </c>
      <c r="C1417" s="23" t="s">
        <v>708</v>
      </c>
      <c r="D1417" s="24">
        <v>1833.0</v>
      </c>
      <c r="E1417" s="22" t="s">
        <v>1533</v>
      </c>
      <c r="F1417" s="25" t="s">
        <v>37</v>
      </c>
      <c r="G1417" s="26" t="s">
        <v>27</v>
      </c>
      <c r="H1417" s="27">
        <v>578.76</v>
      </c>
      <c r="I1417" s="28">
        <v>10.0</v>
      </c>
      <c r="J1417" s="29" t="s">
        <v>28</v>
      </c>
      <c r="K1417" s="30">
        <v>0.4</v>
      </c>
      <c r="L1417" s="31">
        <f t="shared" si="1"/>
        <v>4</v>
      </c>
      <c r="M1417" s="31">
        <f t="shared" si="2"/>
        <v>6</v>
      </c>
      <c r="N1417" s="32">
        <f t="shared" si="3"/>
        <v>231.504</v>
      </c>
      <c r="O1417" s="32">
        <f t="shared" si="4"/>
        <v>347.256</v>
      </c>
      <c r="P1417" s="32">
        <f t="shared" si="5"/>
        <v>347.256</v>
      </c>
      <c r="Q1417" s="22">
        <v>0.0</v>
      </c>
      <c r="R1417" s="32">
        <f t="shared" si="6"/>
        <v>57.876</v>
      </c>
      <c r="S1417" s="33" t="s">
        <v>29</v>
      </c>
      <c r="T1417" s="33" t="s">
        <v>30</v>
      </c>
      <c r="U1417" s="38" t="s">
        <v>784</v>
      </c>
      <c r="V1417" s="35"/>
      <c r="W1417" s="7"/>
      <c r="X1417" s="7"/>
      <c r="Y1417" s="7"/>
      <c r="Z1417" s="7"/>
      <c r="AA1417" s="7"/>
    </row>
    <row r="1418" ht="18.75" customHeight="1">
      <c r="A1418" s="8" t="s">
        <v>1481</v>
      </c>
      <c r="B1418" s="9" t="s">
        <v>1482</v>
      </c>
      <c r="C1418" s="9" t="s">
        <v>708</v>
      </c>
      <c r="D1418" s="10">
        <v>1834.0</v>
      </c>
      <c r="E1418" s="8" t="s">
        <v>1534</v>
      </c>
      <c r="F1418" s="11" t="s">
        <v>37</v>
      </c>
      <c r="G1418" s="12" t="s">
        <v>27</v>
      </c>
      <c r="H1418" s="13">
        <v>553.64</v>
      </c>
      <c r="I1418" s="14">
        <v>10.0</v>
      </c>
      <c r="J1418" s="15" t="s">
        <v>54</v>
      </c>
      <c r="K1418" s="16">
        <v>0.3</v>
      </c>
      <c r="L1418" s="17">
        <f t="shared" si="1"/>
        <v>3</v>
      </c>
      <c r="M1418" s="17">
        <f t="shared" si="2"/>
        <v>7</v>
      </c>
      <c r="N1418" s="18">
        <f t="shared" si="3"/>
        <v>166.092</v>
      </c>
      <c r="O1418" s="18">
        <f t="shared" si="4"/>
        <v>387.548</v>
      </c>
      <c r="P1418" s="18">
        <f t="shared" si="5"/>
        <v>387.548</v>
      </c>
      <c r="Q1418" s="8">
        <v>0.0</v>
      </c>
      <c r="R1418" s="18">
        <f t="shared" si="6"/>
        <v>55.364</v>
      </c>
      <c r="S1418" s="19" t="s">
        <v>29</v>
      </c>
      <c r="T1418" s="19" t="s">
        <v>30</v>
      </c>
      <c r="U1418" s="36" t="s">
        <v>1194</v>
      </c>
      <c r="V1418" s="37"/>
      <c r="W1418" s="7"/>
      <c r="X1418" s="7"/>
      <c r="Y1418" s="7"/>
      <c r="Z1418" s="7"/>
      <c r="AA1418" s="7"/>
    </row>
    <row r="1419" ht="18.75" customHeight="1">
      <c r="A1419" s="22" t="s">
        <v>1481</v>
      </c>
      <c r="B1419" s="23" t="s">
        <v>1482</v>
      </c>
      <c r="C1419" s="23" t="s">
        <v>708</v>
      </c>
      <c r="D1419" s="24">
        <v>1835.0</v>
      </c>
      <c r="E1419" s="22" t="s">
        <v>1535</v>
      </c>
      <c r="F1419" s="25" t="s">
        <v>37</v>
      </c>
      <c r="G1419" s="26" t="s">
        <v>27</v>
      </c>
      <c r="H1419" s="27">
        <v>478.4</v>
      </c>
      <c r="I1419" s="28">
        <v>10.0</v>
      </c>
      <c r="J1419" s="29" t="s">
        <v>54</v>
      </c>
      <c r="K1419" s="30">
        <v>0.3</v>
      </c>
      <c r="L1419" s="31">
        <f t="shared" si="1"/>
        <v>3</v>
      </c>
      <c r="M1419" s="31">
        <f t="shared" si="2"/>
        <v>7</v>
      </c>
      <c r="N1419" s="32">
        <f t="shared" si="3"/>
        <v>143.52</v>
      </c>
      <c r="O1419" s="32">
        <f t="shared" si="4"/>
        <v>334.88</v>
      </c>
      <c r="P1419" s="32">
        <f t="shared" si="5"/>
        <v>334.88</v>
      </c>
      <c r="Q1419" s="22">
        <v>0.0</v>
      </c>
      <c r="R1419" s="32">
        <f t="shared" si="6"/>
        <v>47.84</v>
      </c>
      <c r="S1419" s="33" t="s">
        <v>29</v>
      </c>
      <c r="T1419" s="33" t="s">
        <v>30</v>
      </c>
      <c r="U1419" s="38" t="s">
        <v>1070</v>
      </c>
      <c r="V1419" s="35"/>
      <c r="W1419" s="7"/>
      <c r="X1419" s="7"/>
      <c r="Y1419" s="7"/>
      <c r="Z1419" s="7"/>
      <c r="AA1419" s="7"/>
    </row>
    <row r="1420" ht="18.75" customHeight="1">
      <c r="A1420" s="8" t="s">
        <v>1481</v>
      </c>
      <c r="B1420" s="9" t="s">
        <v>1482</v>
      </c>
      <c r="C1420" s="9" t="s">
        <v>708</v>
      </c>
      <c r="D1420" s="10">
        <v>1836.0</v>
      </c>
      <c r="E1420" s="8" t="s">
        <v>1536</v>
      </c>
      <c r="F1420" s="11" t="s">
        <v>37</v>
      </c>
      <c r="G1420" s="12" t="s">
        <v>27</v>
      </c>
      <c r="H1420" s="13">
        <v>896.0</v>
      </c>
      <c r="I1420" s="14">
        <v>5.0</v>
      </c>
      <c r="J1420" s="15" t="s">
        <v>28</v>
      </c>
      <c r="K1420" s="16">
        <v>0.4</v>
      </c>
      <c r="L1420" s="17">
        <f t="shared" si="1"/>
        <v>2</v>
      </c>
      <c r="M1420" s="17">
        <f t="shared" si="2"/>
        <v>3</v>
      </c>
      <c r="N1420" s="18">
        <f t="shared" si="3"/>
        <v>358.4</v>
      </c>
      <c r="O1420" s="18">
        <f t="shared" si="4"/>
        <v>537.6</v>
      </c>
      <c r="P1420" s="18">
        <f t="shared" si="5"/>
        <v>537.6</v>
      </c>
      <c r="Q1420" s="8">
        <v>0.0</v>
      </c>
      <c r="R1420" s="18">
        <f t="shared" si="6"/>
        <v>179.2</v>
      </c>
      <c r="S1420" s="19" t="s">
        <v>29</v>
      </c>
      <c r="T1420" s="19" t="s">
        <v>30</v>
      </c>
      <c r="U1420" s="36" t="s">
        <v>1537</v>
      </c>
      <c r="V1420" s="37"/>
      <c r="W1420" s="7"/>
      <c r="X1420" s="7"/>
      <c r="Y1420" s="7"/>
      <c r="Z1420" s="7"/>
      <c r="AA1420" s="7"/>
    </row>
    <row r="1421" ht="18.75" customHeight="1">
      <c r="A1421" s="22" t="s">
        <v>1481</v>
      </c>
      <c r="B1421" s="23" t="s">
        <v>1482</v>
      </c>
      <c r="C1421" s="23" t="s">
        <v>708</v>
      </c>
      <c r="D1421" s="24">
        <v>1837.0</v>
      </c>
      <c r="E1421" s="22" t="s">
        <v>1538</v>
      </c>
      <c r="F1421" s="25" t="s">
        <v>26</v>
      </c>
      <c r="G1421" s="26" t="s">
        <v>27</v>
      </c>
      <c r="H1421" s="27">
        <v>199.0</v>
      </c>
      <c r="I1421" s="28">
        <v>10.0</v>
      </c>
      <c r="J1421" s="29" t="s">
        <v>38</v>
      </c>
      <c r="K1421" s="30">
        <v>0.5</v>
      </c>
      <c r="L1421" s="31">
        <f t="shared" si="1"/>
        <v>5</v>
      </c>
      <c r="M1421" s="31">
        <f t="shared" si="2"/>
        <v>5</v>
      </c>
      <c r="N1421" s="32">
        <f t="shared" si="3"/>
        <v>99.5</v>
      </c>
      <c r="O1421" s="32">
        <f t="shared" si="4"/>
        <v>99.5</v>
      </c>
      <c r="P1421" s="32">
        <f t="shared" si="5"/>
        <v>99.5</v>
      </c>
      <c r="Q1421" s="22">
        <v>0.0</v>
      </c>
      <c r="R1421" s="32">
        <f t="shared" si="6"/>
        <v>19.9</v>
      </c>
      <c r="S1421" s="33" t="s">
        <v>29</v>
      </c>
      <c r="T1421" s="33" t="s">
        <v>30</v>
      </c>
      <c r="U1421" s="34" t="s">
        <v>266</v>
      </c>
      <c r="V1421" s="35"/>
      <c r="W1421" s="7"/>
      <c r="X1421" s="7"/>
      <c r="Y1421" s="7"/>
      <c r="Z1421" s="7"/>
      <c r="AA1421" s="7"/>
    </row>
    <row r="1422" ht="18.75" customHeight="1">
      <c r="A1422" s="8" t="s">
        <v>1481</v>
      </c>
      <c r="B1422" s="9" t="s">
        <v>1482</v>
      </c>
      <c r="C1422" s="9" t="s">
        <v>24</v>
      </c>
      <c r="D1422" s="10">
        <v>1841.0</v>
      </c>
      <c r="E1422" s="8" t="s">
        <v>1527</v>
      </c>
      <c r="F1422" s="11" t="s">
        <v>37</v>
      </c>
      <c r="G1422" s="12" t="s">
        <v>27</v>
      </c>
      <c r="H1422" s="13">
        <v>194.21</v>
      </c>
      <c r="I1422" s="14">
        <v>10.0</v>
      </c>
      <c r="J1422" s="15" t="s">
        <v>28</v>
      </c>
      <c r="K1422" s="16">
        <v>0.4</v>
      </c>
      <c r="L1422" s="17">
        <f t="shared" si="1"/>
        <v>4</v>
      </c>
      <c r="M1422" s="17">
        <f t="shared" si="2"/>
        <v>6</v>
      </c>
      <c r="N1422" s="18">
        <f t="shared" si="3"/>
        <v>77.684</v>
      </c>
      <c r="O1422" s="18">
        <f t="shared" si="4"/>
        <v>116.526</v>
      </c>
      <c r="P1422" s="18">
        <f t="shared" si="5"/>
        <v>116.526</v>
      </c>
      <c r="Q1422" s="8">
        <v>0.0</v>
      </c>
      <c r="R1422" s="18">
        <f t="shared" si="6"/>
        <v>19.421</v>
      </c>
      <c r="S1422" s="19" t="s">
        <v>29</v>
      </c>
      <c r="T1422" s="19" t="s">
        <v>30</v>
      </c>
      <c r="U1422" s="20" t="s">
        <v>1528</v>
      </c>
      <c r="V1422" s="37"/>
      <c r="W1422" s="7"/>
      <c r="X1422" s="7"/>
      <c r="Y1422" s="7"/>
      <c r="Z1422" s="7"/>
      <c r="AA1422" s="7"/>
    </row>
    <row r="1423" ht="18.75" customHeight="1">
      <c r="A1423" s="22" t="s">
        <v>1481</v>
      </c>
      <c r="B1423" s="23" t="s">
        <v>1482</v>
      </c>
      <c r="C1423" s="23" t="s">
        <v>24</v>
      </c>
      <c r="D1423" s="24">
        <v>1842.0</v>
      </c>
      <c r="E1423" s="22" t="s">
        <v>1539</v>
      </c>
      <c r="F1423" s="25" t="s">
        <v>37</v>
      </c>
      <c r="G1423" s="40"/>
      <c r="H1423" s="27">
        <v>156.75</v>
      </c>
      <c r="I1423" s="28">
        <v>10.0</v>
      </c>
      <c r="J1423" s="29" t="s">
        <v>38</v>
      </c>
      <c r="K1423" s="30">
        <v>0.5</v>
      </c>
      <c r="L1423" s="31">
        <f t="shared" si="1"/>
        <v>5</v>
      </c>
      <c r="M1423" s="31">
        <f t="shared" si="2"/>
        <v>5</v>
      </c>
      <c r="N1423" s="32">
        <f t="shared" si="3"/>
        <v>78.375</v>
      </c>
      <c r="O1423" s="32">
        <f t="shared" si="4"/>
        <v>78.375</v>
      </c>
      <c r="P1423" s="32">
        <f t="shared" si="5"/>
        <v>78.375</v>
      </c>
      <c r="Q1423" s="22">
        <v>0.0</v>
      </c>
      <c r="R1423" s="32">
        <f t="shared" si="6"/>
        <v>15.675</v>
      </c>
      <c r="S1423" s="33" t="s">
        <v>29</v>
      </c>
      <c r="T1423" s="33" t="s">
        <v>30</v>
      </c>
      <c r="U1423" s="38" t="s">
        <v>77</v>
      </c>
      <c r="V1423" s="35"/>
      <c r="W1423" s="7"/>
      <c r="X1423" s="7"/>
      <c r="Y1423" s="7"/>
      <c r="Z1423" s="7"/>
      <c r="AA1423" s="7"/>
    </row>
    <row r="1424" ht="18.75" customHeight="1">
      <c r="A1424" s="8" t="s">
        <v>1481</v>
      </c>
      <c r="B1424" s="9" t="s">
        <v>1482</v>
      </c>
      <c r="C1424" s="9" t="s">
        <v>24</v>
      </c>
      <c r="D1424" s="10">
        <v>1843.0</v>
      </c>
      <c r="E1424" s="8" t="s">
        <v>1529</v>
      </c>
      <c r="F1424" s="11" t="s">
        <v>37</v>
      </c>
      <c r="G1424" s="12" t="s">
        <v>27</v>
      </c>
      <c r="H1424" s="13">
        <v>379.0</v>
      </c>
      <c r="I1424" s="14">
        <v>10.0</v>
      </c>
      <c r="J1424" s="15" t="s">
        <v>54</v>
      </c>
      <c r="K1424" s="16">
        <v>0.3</v>
      </c>
      <c r="L1424" s="17">
        <f t="shared" si="1"/>
        <v>3</v>
      </c>
      <c r="M1424" s="17">
        <f t="shared" si="2"/>
        <v>7</v>
      </c>
      <c r="N1424" s="18">
        <f t="shared" si="3"/>
        <v>113.7</v>
      </c>
      <c r="O1424" s="18">
        <f t="shared" si="4"/>
        <v>265.3</v>
      </c>
      <c r="P1424" s="18">
        <f t="shared" si="5"/>
        <v>265.3</v>
      </c>
      <c r="Q1424" s="8">
        <v>0.0</v>
      </c>
      <c r="R1424" s="18">
        <f t="shared" si="6"/>
        <v>37.9</v>
      </c>
      <c r="S1424" s="19" t="s">
        <v>29</v>
      </c>
      <c r="T1424" s="19" t="s">
        <v>30</v>
      </c>
      <c r="U1424" s="36" t="s">
        <v>1530</v>
      </c>
      <c r="V1424" s="37"/>
      <c r="W1424" s="7"/>
      <c r="X1424" s="7"/>
      <c r="Y1424" s="7"/>
      <c r="Z1424" s="7"/>
      <c r="AA1424" s="7"/>
    </row>
    <row r="1425" ht="18.75" customHeight="1">
      <c r="A1425" s="22" t="s">
        <v>1481</v>
      </c>
      <c r="B1425" s="23" t="s">
        <v>1482</v>
      </c>
      <c r="C1425" s="23" t="s">
        <v>230</v>
      </c>
      <c r="D1425" s="24">
        <v>1844.0</v>
      </c>
      <c r="E1425" s="22" t="s">
        <v>1540</v>
      </c>
      <c r="F1425" s="25" t="s">
        <v>37</v>
      </c>
      <c r="G1425" s="26" t="s">
        <v>27</v>
      </c>
      <c r="H1425" s="27">
        <v>431.07</v>
      </c>
      <c r="I1425" s="28">
        <v>10.0</v>
      </c>
      <c r="J1425" s="29" t="s">
        <v>28</v>
      </c>
      <c r="K1425" s="30">
        <v>0.4</v>
      </c>
      <c r="L1425" s="31">
        <f t="shared" si="1"/>
        <v>4</v>
      </c>
      <c r="M1425" s="31">
        <f t="shared" si="2"/>
        <v>6</v>
      </c>
      <c r="N1425" s="32">
        <f t="shared" si="3"/>
        <v>172.428</v>
      </c>
      <c r="O1425" s="32">
        <f t="shared" si="4"/>
        <v>258.642</v>
      </c>
      <c r="P1425" s="32">
        <f t="shared" si="5"/>
        <v>258.642</v>
      </c>
      <c r="Q1425" s="22">
        <v>0.0</v>
      </c>
      <c r="R1425" s="32">
        <f t="shared" si="6"/>
        <v>43.107</v>
      </c>
      <c r="S1425" s="33" t="s">
        <v>29</v>
      </c>
      <c r="T1425" s="33" t="s">
        <v>30</v>
      </c>
      <c r="U1425" s="34" t="s">
        <v>912</v>
      </c>
      <c r="V1425" s="35"/>
      <c r="W1425" s="7"/>
      <c r="X1425" s="7"/>
      <c r="Y1425" s="7"/>
      <c r="Z1425" s="7"/>
      <c r="AA1425" s="7"/>
    </row>
    <row r="1426" ht="18.75" customHeight="1">
      <c r="A1426" s="8" t="s">
        <v>1481</v>
      </c>
      <c r="B1426" s="9" t="s">
        <v>1482</v>
      </c>
      <c r="C1426" s="9" t="s">
        <v>230</v>
      </c>
      <c r="D1426" s="10">
        <v>1845.0</v>
      </c>
      <c r="E1426" s="8" t="s">
        <v>1540</v>
      </c>
      <c r="F1426" s="11" t="s">
        <v>37</v>
      </c>
      <c r="G1426" s="12" t="s">
        <v>27</v>
      </c>
      <c r="H1426" s="13">
        <v>431.07</v>
      </c>
      <c r="I1426" s="14">
        <v>10.0</v>
      </c>
      <c r="J1426" s="15" t="s">
        <v>28</v>
      </c>
      <c r="K1426" s="16">
        <v>0.4</v>
      </c>
      <c r="L1426" s="17">
        <f t="shared" si="1"/>
        <v>4</v>
      </c>
      <c r="M1426" s="17">
        <f t="shared" si="2"/>
        <v>6</v>
      </c>
      <c r="N1426" s="18">
        <f t="shared" si="3"/>
        <v>172.428</v>
      </c>
      <c r="O1426" s="18">
        <f t="shared" si="4"/>
        <v>258.642</v>
      </c>
      <c r="P1426" s="18">
        <f t="shared" si="5"/>
        <v>258.642</v>
      </c>
      <c r="Q1426" s="8">
        <v>0.0</v>
      </c>
      <c r="R1426" s="18">
        <f t="shared" si="6"/>
        <v>43.107</v>
      </c>
      <c r="S1426" s="19" t="s">
        <v>29</v>
      </c>
      <c r="T1426" s="19" t="s">
        <v>30</v>
      </c>
      <c r="U1426" s="20" t="s">
        <v>912</v>
      </c>
      <c r="V1426" s="37"/>
      <c r="W1426" s="7"/>
      <c r="X1426" s="7"/>
      <c r="Y1426" s="7"/>
      <c r="Z1426" s="7"/>
      <c r="AA1426" s="7"/>
    </row>
    <row r="1427" ht="18.75" customHeight="1">
      <c r="A1427" s="22" t="s">
        <v>1481</v>
      </c>
      <c r="B1427" s="23" t="s">
        <v>1482</v>
      </c>
      <c r="C1427" s="23" t="s">
        <v>61</v>
      </c>
      <c r="D1427" s="24">
        <v>1846.0</v>
      </c>
      <c r="E1427" s="22" t="s">
        <v>1541</v>
      </c>
      <c r="F1427" s="25" t="s">
        <v>37</v>
      </c>
      <c r="G1427" s="26" t="s">
        <v>27</v>
      </c>
      <c r="H1427" s="27">
        <v>553.64</v>
      </c>
      <c r="I1427" s="28">
        <v>10.0</v>
      </c>
      <c r="J1427" s="29" t="s">
        <v>28</v>
      </c>
      <c r="K1427" s="30">
        <v>0.4</v>
      </c>
      <c r="L1427" s="31">
        <f t="shared" si="1"/>
        <v>4</v>
      </c>
      <c r="M1427" s="31">
        <f t="shared" si="2"/>
        <v>6</v>
      </c>
      <c r="N1427" s="32">
        <f t="shared" si="3"/>
        <v>221.456</v>
      </c>
      <c r="O1427" s="32">
        <f t="shared" si="4"/>
        <v>332.184</v>
      </c>
      <c r="P1427" s="32">
        <f t="shared" si="5"/>
        <v>332.184</v>
      </c>
      <c r="Q1427" s="22">
        <v>0.0</v>
      </c>
      <c r="R1427" s="32">
        <f t="shared" si="6"/>
        <v>55.364</v>
      </c>
      <c r="S1427" s="33" t="s">
        <v>29</v>
      </c>
      <c r="T1427" s="33" t="s">
        <v>30</v>
      </c>
      <c r="U1427" s="38" t="s">
        <v>1194</v>
      </c>
      <c r="V1427" s="35"/>
      <c r="W1427" s="7"/>
      <c r="X1427" s="7"/>
      <c r="Y1427" s="7"/>
      <c r="Z1427" s="7"/>
      <c r="AA1427" s="7"/>
    </row>
    <row r="1428" ht="18.75" customHeight="1">
      <c r="A1428" s="8" t="s">
        <v>1481</v>
      </c>
      <c r="B1428" s="9" t="s">
        <v>1482</v>
      </c>
      <c r="C1428" s="9" t="s">
        <v>539</v>
      </c>
      <c r="D1428" s="10">
        <v>1930.0</v>
      </c>
      <c r="E1428" s="8" t="s">
        <v>1542</v>
      </c>
      <c r="F1428" s="11" t="s">
        <v>128</v>
      </c>
      <c r="G1428" s="12" t="s">
        <v>27</v>
      </c>
      <c r="H1428" s="13">
        <v>1669.0</v>
      </c>
      <c r="I1428" s="14">
        <v>5.0</v>
      </c>
      <c r="J1428" s="15" t="s">
        <v>38</v>
      </c>
      <c r="K1428" s="16">
        <v>0.5</v>
      </c>
      <c r="L1428" s="17">
        <f t="shared" si="1"/>
        <v>2.5</v>
      </c>
      <c r="M1428" s="17">
        <f t="shared" si="2"/>
        <v>2.5</v>
      </c>
      <c r="N1428" s="18">
        <f t="shared" si="3"/>
        <v>834.5</v>
      </c>
      <c r="O1428" s="18">
        <f t="shared" si="4"/>
        <v>834.5</v>
      </c>
      <c r="P1428" s="18">
        <f t="shared" si="5"/>
        <v>834.5</v>
      </c>
      <c r="Q1428" s="8">
        <v>0.0</v>
      </c>
      <c r="R1428" s="18">
        <f t="shared" si="6"/>
        <v>333.8</v>
      </c>
      <c r="S1428" s="19" t="s">
        <v>29</v>
      </c>
      <c r="T1428" s="19" t="s">
        <v>30</v>
      </c>
      <c r="U1428" s="20" t="s">
        <v>129</v>
      </c>
      <c r="V1428" s="37"/>
      <c r="W1428" s="7"/>
      <c r="X1428" s="7"/>
      <c r="Y1428" s="7"/>
      <c r="Z1428" s="7"/>
      <c r="AA1428" s="7"/>
    </row>
    <row r="1429" ht="18.75" customHeight="1">
      <c r="A1429" s="22" t="s">
        <v>1481</v>
      </c>
      <c r="B1429" s="23" t="s">
        <v>1482</v>
      </c>
      <c r="C1429" s="23" t="s">
        <v>33</v>
      </c>
      <c r="D1429" s="24">
        <v>1956.0</v>
      </c>
      <c r="E1429" s="22" t="s">
        <v>1543</v>
      </c>
      <c r="F1429" s="25" t="s">
        <v>37</v>
      </c>
      <c r="G1429" s="26" t="s">
        <v>27</v>
      </c>
      <c r="H1429" s="27">
        <v>469.2</v>
      </c>
      <c r="I1429" s="28">
        <v>10.0</v>
      </c>
      <c r="J1429" s="29" t="s">
        <v>54</v>
      </c>
      <c r="K1429" s="30">
        <v>0.3</v>
      </c>
      <c r="L1429" s="31">
        <f t="shared" si="1"/>
        <v>3</v>
      </c>
      <c r="M1429" s="31">
        <f t="shared" si="2"/>
        <v>7</v>
      </c>
      <c r="N1429" s="32">
        <f t="shared" si="3"/>
        <v>140.76</v>
      </c>
      <c r="O1429" s="32">
        <f t="shared" si="4"/>
        <v>328.44</v>
      </c>
      <c r="P1429" s="32">
        <f t="shared" si="5"/>
        <v>328.44</v>
      </c>
      <c r="Q1429" s="22">
        <v>0.0</v>
      </c>
      <c r="R1429" s="32">
        <f t="shared" si="6"/>
        <v>46.92</v>
      </c>
      <c r="S1429" s="33" t="s">
        <v>29</v>
      </c>
      <c r="T1429" s="33" t="s">
        <v>30</v>
      </c>
      <c r="U1429" s="38" t="s">
        <v>52</v>
      </c>
      <c r="V1429" s="35"/>
      <c r="W1429" s="7"/>
      <c r="X1429" s="7"/>
      <c r="Y1429" s="7"/>
      <c r="Z1429" s="7"/>
      <c r="AA1429" s="7"/>
    </row>
    <row r="1430" ht="18.75" customHeight="1">
      <c r="A1430" s="8" t="s">
        <v>1481</v>
      </c>
      <c r="B1430" s="9" t="s">
        <v>1482</v>
      </c>
      <c r="C1430" s="9" t="s">
        <v>145</v>
      </c>
      <c r="D1430" s="10">
        <v>2340.0</v>
      </c>
      <c r="E1430" s="8" t="s">
        <v>1544</v>
      </c>
      <c r="F1430" s="11" t="s">
        <v>26</v>
      </c>
      <c r="G1430" s="12" t="s">
        <v>27</v>
      </c>
      <c r="H1430" s="13">
        <v>260.0</v>
      </c>
      <c r="I1430" s="14">
        <v>5.0</v>
      </c>
      <c r="J1430" s="15" t="s">
        <v>54</v>
      </c>
      <c r="K1430" s="16">
        <v>0.3</v>
      </c>
      <c r="L1430" s="17">
        <f t="shared" si="1"/>
        <v>1.5</v>
      </c>
      <c r="M1430" s="17">
        <f t="shared" si="2"/>
        <v>3.5</v>
      </c>
      <c r="N1430" s="18">
        <f t="shared" si="3"/>
        <v>78</v>
      </c>
      <c r="O1430" s="18">
        <f t="shared" si="4"/>
        <v>182</v>
      </c>
      <c r="P1430" s="18">
        <f t="shared" si="5"/>
        <v>182</v>
      </c>
      <c r="Q1430" s="8">
        <v>0.0</v>
      </c>
      <c r="R1430" s="18">
        <f t="shared" si="6"/>
        <v>52</v>
      </c>
      <c r="S1430" s="19" t="s">
        <v>29</v>
      </c>
      <c r="T1430" s="19" t="s">
        <v>30</v>
      </c>
      <c r="U1430" s="36" t="s">
        <v>521</v>
      </c>
      <c r="V1430" s="37"/>
      <c r="W1430" s="7"/>
      <c r="X1430" s="7"/>
      <c r="Y1430" s="7"/>
      <c r="Z1430" s="7"/>
      <c r="AA1430" s="7"/>
    </row>
    <row r="1431" ht="18.75" customHeight="1">
      <c r="A1431" s="22" t="s">
        <v>1481</v>
      </c>
      <c r="B1431" s="23" t="s">
        <v>1482</v>
      </c>
      <c r="C1431" s="23" t="s">
        <v>33</v>
      </c>
      <c r="D1431" s="24" t="s">
        <v>1545</v>
      </c>
      <c r="E1431" s="22" t="s">
        <v>406</v>
      </c>
      <c r="F1431" s="25" t="s">
        <v>26</v>
      </c>
      <c r="G1431" s="26" t="s">
        <v>27</v>
      </c>
      <c r="H1431" s="27">
        <v>6583.2</v>
      </c>
      <c r="I1431" s="28">
        <v>10.0</v>
      </c>
      <c r="J1431" s="45" t="s">
        <v>63</v>
      </c>
      <c r="K1431" s="30">
        <v>0.700000000000007</v>
      </c>
      <c r="L1431" s="31">
        <f t="shared" si="1"/>
        <v>7</v>
      </c>
      <c r="M1431" s="31">
        <f t="shared" si="2"/>
        <v>3</v>
      </c>
      <c r="N1431" s="32">
        <f t="shared" si="3"/>
        <v>4608.24</v>
      </c>
      <c r="O1431" s="32">
        <f t="shared" si="4"/>
        <v>1974.96</v>
      </c>
      <c r="P1431" s="32">
        <f t="shared" si="5"/>
        <v>1974.96</v>
      </c>
      <c r="Q1431" s="22">
        <v>0.0</v>
      </c>
      <c r="R1431" s="32">
        <f t="shared" si="6"/>
        <v>658.32</v>
      </c>
      <c r="S1431" s="33" t="s">
        <v>29</v>
      </c>
      <c r="T1431" s="33" t="s">
        <v>30</v>
      </c>
      <c r="U1431" s="34" t="s">
        <v>312</v>
      </c>
      <c r="V1431" s="35"/>
      <c r="W1431" s="7"/>
      <c r="X1431" s="7"/>
      <c r="Y1431" s="7"/>
      <c r="Z1431" s="7"/>
      <c r="AA1431" s="7"/>
    </row>
    <row r="1432" ht="18.75" customHeight="1">
      <c r="A1432" s="8" t="s">
        <v>1546</v>
      </c>
      <c r="B1432" s="9" t="s">
        <v>1547</v>
      </c>
      <c r="C1432" s="9" t="s">
        <v>145</v>
      </c>
      <c r="D1432" s="10">
        <v>0.0</v>
      </c>
      <c r="E1432" s="8" t="s">
        <v>1548</v>
      </c>
      <c r="F1432" s="11" t="s">
        <v>26</v>
      </c>
      <c r="G1432" s="12" t="s">
        <v>27</v>
      </c>
      <c r="H1432" s="13">
        <v>463.56</v>
      </c>
      <c r="I1432" s="14">
        <v>5.0</v>
      </c>
      <c r="J1432" s="15" t="s">
        <v>54</v>
      </c>
      <c r="K1432" s="16">
        <v>0.3</v>
      </c>
      <c r="L1432" s="17">
        <f t="shared" si="1"/>
        <v>1.5</v>
      </c>
      <c r="M1432" s="17">
        <f t="shared" si="2"/>
        <v>3.5</v>
      </c>
      <c r="N1432" s="18">
        <f t="shared" si="3"/>
        <v>139.068</v>
      </c>
      <c r="O1432" s="18">
        <f t="shared" si="4"/>
        <v>324.492</v>
      </c>
      <c r="P1432" s="18">
        <f t="shared" si="5"/>
        <v>324.492</v>
      </c>
      <c r="Q1432" s="8">
        <v>0.0</v>
      </c>
      <c r="R1432" s="18">
        <f t="shared" si="6"/>
        <v>92.712</v>
      </c>
      <c r="S1432" s="19" t="s">
        <v>29</v>
      </c>
      <c r="T1432" s="19" t="s">
        <v>30</v>
      </c>
      <c r="U1432" s="20" t="s">
        <v>125</v>
      </c>
      <c r="V1432" s="37"/>
      <c r="W1432" s="7"/>
      <c r="X1432" s="7"/>
      <c r="Y1432" s="7"/>
      <c r="Z1432" s="7"/>
      <c r="AA1432" s="7"/>
    </row>
    <row r="1433" ht="18.75" customHeight="1">
      <c r="A1433" s="22" t="s">
        <v>1546</v>
      </c>
      <c r="B1433" s="23" t="s">
        <v>1547</v>
      </c>
      <c r="C1433" s="23" t="s">
        <v>985</v>
      </c>
      <c r="D1433" s="24">
        <v>0.0</v>
      </c>
      <c r="E1433" s="22" t="s">
        <v>1549</v>
      </c>
      <c r="F1433" s="25" t="s">
        <v>26</v>
      </c>
      <c r="G1433" s="26" t="s">
        <v>27</v>
      </c>
      <c r="H1433" s="27">
        <v>463.56</v>
      </c>
      <c r="I1433" s="28">
        <v>5.0</v>
      </c>
      <c r="J1433" s="29" t="s">
        <v>54</v>
      </c>
      <c r="K1433" s="30">
        <v>0.3</v>
      </c>
      <c r="L1433" s="31">
        <f t="shared" si="1"/>
        <v>1.5</v>
      </c>
      <c r="M1433" s="31">
        <f t="shared" si="2"/>
        <v>3.5</v>
      </c>
      <c r="N1433" s="32">
        <f t="shared" si="3"/>
        <v>139.068</v>
      </c>
      <c r="O1433" s="32">
        <f t="shared" si="4"/>
        <v>324.492</v>
      </c>
      <c r="P1433" s="32">
        <f t="shared" si="5"/>
        <v>324.492</v>
      </c>
      <c r="Q1433" s="22">
        <v>0.0</v>
      </c>
      <c r="R1433" s="32">
        <f t="shared" si="6"/>
        <v>92.712</v>
      </c>
      <c r="S1433" s="33" t="s">
        <v>29</v>
      </c>
      <c r="T1433" s="33" t="s">
        <v>30</v>
      </c>
      <c r="U1433" s="34" t="s">
        <v>125</v>
      </c>
      <c r="V1433" s="35"/>
      <c r="W1433" s="7"/>
      <c r="X1433" s="7"/>
      <c r="Y1433" s="7"/>
      <c r="Z1433" s="7"/>
      <c r="AA1433" s="7"/>
    </row>
    <row r="1434" ht="18.75" customHeight="1">
      <c r="A1434" s="8" t="s">
        <v>1546</v>
      </c>
      <c r="B1434" s="9" t="s">
        <v>1547</v>
      </c>
      <c r="C1434" s="9" t="s">
        <v>985</v>
      </c>
      <c r="D1434" s="10">
        <v>0.0</v>
      </c>
      <c r="E1434" s="8" t="s">
        <v>1550</v>
      </c>
      <c r="F1434" s="11" t="s">
        <v>26</v>
      </c>
      <c r="G1434" s="12" t="s">
        <v>27</v>
      </c>
      <c r="H1434" s="13">
        <v>463.56</v>
      </c>
      <c r="I1434" s="14">
        <v>5.0</v>
      </c>
      <c r="J1434" s="15" t="s">
        <v>54</v>
      </c>
      <c r="K1434" s="16">
        <v>0.3</v>
      </c>
      <c r="L1434" s="17">
        <f t="shared" si="1"/>
        <v>1.5</v>
      </c>
      <c r="M1434" s="17">
        <f t="shared" si="2"/>
        <v>3.5</v>
      </c>
      <c r="N1434" s="18">
        <f t="shared" si="3"/>
        <v>139.068</v>
      </c>
      <c r="O1434" s="18">
        <f t="shared" si="4"/>
        <v>324.492</v>
      </c>
      <c r="P1434" s="18">
        <f t="shared" si="5"/>
        <v>324.492</v>
      </c>
      <c r="Q1434" s="8">
        <v>0.0</v>
      </c>
      <c r="R1434" s="18">
        <f t="shared" si="6"/>
        <v>92.712</v>
      </c>
      <c r="S1434" s="19" t="s">
        <v>29</v>
      </c>
      <c r="T1434" s="19" t="s">
        <v>30</v>
      </c>
      <c r="U1434" s="20" t="s">
        <v>125</v>
      </c>
      <c r="V1434" s="37"/>
      <c r="W1434" s="7"/>
      <c r="X1434" s="7"/>
      <c r="Y1434" s="7"/>
      <c r="Z1434" s="7"/>
      <c r="AA1434" s="7"/>
    </row>
    <row r="1435" ht="18.75" customHeight="1">
      <c r="A1435" s="22" t="s">
        <v>1546</v>
      </c>
      <c r="B1435" s="23" t="s">
        <v>1547</v>
      </c>
      <c r="C1435" s="23" t="s">
        <v>145</v>
      </c>
      <c r="D1435" s="24">
        <v>0.0</v>
      </c>
      <c r="E1435" s="22" t="s">
        <v>1551</v>
      </c>
      <c r="F1435" s="25" t="s">
        <v>26</v>
      </c>
      <c r="G1435" s="26" t="s">
        <v>27</v>
      </c>
      <c r="H1435" s="27">
        <v>463.56</v>
      </c>
      <c r="I1435" s="28">
        <v>5.0</v>
      </c>
      <c r="J1435" s="29" t="s">
        <v>54</v>
      </c>
      <c r="K1435" s="30">
        <v>0.3</v>
      </c>
      <c r="L1435" s="31">
        <f t="shared" si="1"/>
        <v>1.5</v>
      </c>
      <c r="M1435" s="31">
        <f t="shared" si="2"/>
        <v>3.5</v>
      </c>
      <c r="N1435" s="32">
        <f t="shared" si="3"/>
        <v>139.068</v>
      </c>
      <c r="O1435" s="32">
        <f t="shared" si="4"/>
        <v>324.492</v>
      </c>
      <c r="P1435" s="32">
        <f t="shared" si="5"/>
        <v>324.492</v>
      </c>
      <c r="Q1435" s="22">
        <v>0.0</v>
      </c>
      <c r="R1435" s="32">
        <f t="shared" si="6"/>
        <v>92.712</v>
      </c>
      <c r="S1435" s="33" t="s">
        <v>29</v>
      </c>
      <c r="T1435" s="33" t="s">
        <v>30</v>
      </c>
      <c r="U1435" s="34" t="s">
        <v>125</v>
      </c>
      <c r="V1435" s="35"/>
      <c r="W1435" s="7"/>
      <c r="X1435" s="7"/>
      <c r="Y1435" s="7"/>
      <c r="Z1435" s="7"/>
      <c r="AA1435" s="7"/>
    </row>
    <row r="1436" ht="18.75" customHeight="1">
      <c r="A1436" s="8" t="s">
        <v>1546</v>
      </c>
      <c r="B1436" s="9" t="s">
        <v>1547</v>
      </c>
      <c r="C1436" s="9" t="s">
        <v>985</v>
      </c>
      <c r="D1436" s="10">
        <v>0.0</v>
      </c>
      <c r="E1436" s="8" t="s">
        <v>1552</v>
      </c>
      <c r="F1436" s="11" t="s">
        <v>26</v>
      </c>
      <c r="G1436" s="12" t="s">
        <v>27</v>
      </c>
      <c r="H1436" s="13">
        <v>651.75</v>
      </c>
      <c r="I1436" s="14">
        <v>5.0</v>
      </c>
      <c r="J1436" s="15" t="s">
        <v>54</v>
      </c>
      <c r="K1436" s="16">
        <v>0.3</v>
      </c>
      <c r="L1436" s="17">
        <f t="shared" si="1"/>
        <v>1.5</v>
      </c>
      <c r="M1436" s="17">
        <f t="shared" si="2"/>
        <v>3.5</v>
      </c>
      <c r="N1436" s="18">
        <f t="shared" si="3"/>
        <v>195.525</v>
      </c>
      <c r="O1436" s="18">
        <f t="shared" si="4"/>
        <v>456.225</v>
      </c>
      <c r="P1436" s="18">
        <f t="shared" si="5"/>
        <v>456.225</v>
      </c>
      <c r="Q1436" s="8">
        <v>0.0</v>
      </c>
      <c r="R1436" s="18">
        <f t="shared" si="6"/>
        <v>130.35</v>
      </c>
      <c r="S1436" s="19" t="s">
        <v>29</v>
      </c>
      <c r="T1436" s="19" t="s">
        <v>30</v>
      </c>
      <c r="U1436" s="20" t="s">
        <v>121</v>
      </c>
      <c r="V1436" s="37"/>
      <c r="W1436" s="7"/>
      <c r="X1436" s="7"/>
      <c r="Y1436" s="7"/>
      <c r="Z1436" s="7"/>
      <c r="AA1436" s="7"/>
    </row>
    <row r="1437" ht="18.75" customHeight="1">
      <c r="A1437" s="22" t="s">
        <v>1546</v>
      </c>
      <c r="B1437" s="23" t="s">
        <v>1547</v>
      </c>
      <c r="C1437" s="23" t="s">
        <v>145</v>
      </c>
      <c r="D1437" s="24">
        <v>0.0</v>
      </c>
      <c r="E1437" s="22" t="s">
        <v>1553</v>
      </c>
      <c r="F1437" s="25" t="s">
        <v>26</v>
      </c>
      <c r="G1437" s="26" t="s">
        <v>27</v>
      </c>
      <c r="H1437" s="27">
        <v>651.75</v>
      </c>
      <c r="I1437" s="28">
        <v>5.0</v>
      </c>
      <c r="J1437" s="29" t="s">
        <v>54</v>
      </c>
      <c r="K1437" s="30">
        <v>0.3</v>
      </c>
      <c r="L1437" s="31">
        <f t="shared" si="1"/>
        <v>1.5</v>
      </c>
      <c r="M1437" s="31">
        <f t="shared" si="2"/>
        <v>3.5</v>
      </c>
      <c r="N1437" s="32">
        <f t="shared" si="3"/>
        <v>195.525</v>
      </c>
      <c r="O1437" s="32">
        <f t="shared" si="4"/>
        <v>456.225</v>
      </c>
      <c r="P1437" s="32">
        <f t="shared" si="5"/>
        <v>456.225</v>
      </c>
      <c r="Q1437" s="22">
        <v>0.0</v>
      </c>
      <c r="R1437" s="32">
        <f t="shared" si="6"/>
        <v>130.35</v>
      </c>
      <c r="S1437" s="33" t="s">
        <v>29</v>
      </c>
      <c r="T1437" s="33" t="s">
        <v>30</v>
      </c>
      <c r="U1437" s="34" t="s">
        <v>121</v>
      </c>
      <c r="V1437" s="35"/>
      <c r="W1437" s="7"/>
      <c r="X1437" s="7"/>
      <c r="Y1437" s="7"/>
      <c r="Z1437" s="7"/>
      <c r="AA1437" s="7"/>
    </row>
    <row r="1438" ht="18.75" customHeight="1">
      <c r="A1438" s="8" t="s">
        <v>1546</v>
      </c>
      <c r="B1438" s="9" t="s">
        <v>1547</v>
      </c>
      <c r="C1438" s="9" t="s">
        <v>145</v>
      </c>
      <c r="D1438" s="10">
        <v>0.0</v>
      </c>
      <c r="E1438" s="8" t="s">
        <v>1554</v>
      </c>
      <c r="F1438" s="11" t="s">
        <v>26</v>
      </c>
      <c r="G1438" s="12" t="s">
        <v>27</v>
      </c>
      <c r="H1438" s="13">
        <v>576.47</v>
      </c>
      <c r="I1438" s="14">
        <v>5.0</v>
      </c>
      <c r="J1438" s="15" t="s">
        <v>54</v>
      </c>
      <c r="K1438" s="16">
        <v>0.3</v>
      </c>
      <c r="L1438" s="17">
        <f t="shared" si="1"/>
        <v>1.5</v>
      </c>
      <c r="M1438" s="17">
        <f t="shared" si="2"/>
        <v>3.5</v>
      </c>
      <c r="N1438" s="18">
        <f t="shared" si="3"/>
        <v>172.941</v>
      </c>
      <c r="O1438" s="18">
        <f t="shared" si="4"/>
        <v>403.529</v>
      </c>
      <c r="P1438" s="18">
        <f t="shared" si="5"/>
        <v>403.529</v>
      </c>
      <c r="Q1438" s="8">
        <v>0.0</v>
      </c>
      <c r="R1438" s="18">
        <f t="shared" si="6"/>
        <v>115.294</v>
      </c>
      <c r="S1438" s="19" t="s">
        <v>29</v>
      </c>
      <c r="T1438" s="19" t="s">
        <v>30</v>
      </c>
      <c r="U1438" s="20" t="s">
        <v>114</v>
      </c>
      <c r="V1438" s="37"/>
      <c r="W1438" s="7"/>
      <c r="X1438" s="7"/>
      <c r="Y1438" s="7"/>
      <c r="Z1438" s="7"/>
      <c r="AA1438" s="7"/>
    </row>
    <row r="1439" ht="18.75" customHeight="1">
      <c r="A1439" s="22" t="s">
        <v>1546</v>
      </c>
      <c r="B1439" s="23" t="s">
        <v>1547</v>
      </c>
      <c r="C1439" s="23" t="s">
        <v>145</v>
      </c>
      <c r="D1439" s="24">
        <v>0.0</v>
      </c>
      <c r="E1439" s="22" t="s">
        <v>1555</v>
      </c>
      <c r="F1439" s="25" t="s">
        <v>26</v>
      </c>
      <c r="G1439" s="26" t="s">
        <v>27</v>
      </c>
      <c r="H1439" s="27">
        <v>576.47</v>
      </c>
      <c r="I1439" s="28">
        <v>5.0</v>
      </c>
      <c r="J1439" s="29" t="s">
        <v>54</v>
      </c>
      <c r="K1439" s="30">
        <v>0.3</v>
      </c>
      <c r="L1439" s="31">
        <f t="shared" si="1"/>
        <v>1.5</v>
      </c>
      <c r="M1439" s="31">
        <f t="shared" si="2"/>
        <v>3.5</v>
      </c>
      <c r="N1439" s="32">
        <f t="shared" si="3"/>
        <v>172.941</v>
      </c>
      <c r="O1439" s="32">
        <f t="shared" si="4"/>
        <v>403.529</v>
      </c>
      <c r="P1439" s="32">
        <f t="shared" si="5"/>
        <v>403.529</v>
      </c>
      <c r="Q1439" s="22">
        <v>0.0</v>
      </c>
      <c r="R1439" s="32">
        <f t="shared" si="6"/>
        <v>115.294</v>
      </c>
      <c r="S1439" s="33" t="s">
        <v>29</v>
      </c>
      <c r="T1439" s="33" t="s">
        <v>30</v>
      </c>
      <c r="U1439" s="34" t="s">
        <v>114</v>
      </c>
      <c r="V1439" s="35"/>
      <c r="W1439" s="7"/>
      <c r="X1439" s="7"/>
      <c r="Y1439" s="7"/>
      <c r="Z1439" s="7"/>
      <c r="AA1439" s="7"/>
    </row>
    <row r="1440" ht="18.75" customHeight="1">
      <c r="A1440" s="8" t="s">
        <v>1546</v>
      </c>
      <c r="B1440" s="9" t="s">
        <v>1547</v>
      </c>
      <c r="C1440" s="9" t="s">
        <v>145</v>
      </c>
      <c r="D1440" s="10">
        <v>0.0</v>
      </c>
      <c r="E1440" s="8" t="s">
        <v>1556</v>
      </c>
      <c r="F1440" s="11" t="s">
        <v>26</v>
      </c>
      <c r="G1440" s="12" t="s">
        <v>27</v>
      </c>
      <c r="H1440" s="13">
        <v>576.47</v>
      </c>
      <c r="I1440" s="14">
        <v>5.0</v>
      </c>
      <c r="J1440" s="15" t="s">
        <v>54</v>
      </c>
      <c r="K1440" s="16">
        <v>0.3</v>
      </c>
      <c r="L1440" s="17">
        <f t="shared" si="1"/>
        <v>1.5</v>
      </c>
      <c r="M1440" s="17">
        <f t="shared" si="2"/>
        <v>3.5</v>
      </c>
      <c r="N1440" s="18">
        <f t="shared" si="3"/>
        <v>172.941</v>
      </c>
      <c r="O1440" s="18">
        <f t="shared" si="4"/>
        <v>403.529</v>
      </c>
      <c r="P1440" s="18">
        <f t="shared" si="5"/>
        <v>403.529</v>
      </c>
      <c r="Q1440" s="8">
        <v>0.0</v>
      </c>
      <c r="R1440" s="18">
        <f t="shared" si="6"/>
        <v>115.294</v>
      </c>
      <c r="S1440" s="19" t="s">
        <v>29</v>
      </c>
      <c r="T1440" s="19" t="s">
        <v>30</v>
      </c>
      <c r="U1440" s="20" t="s">
        <v>114</v>
      </c>
      <c r="V1440" s="37"/>
      <c r="W1440" s="7"/>
      <c r="X1440" s="7"/>
      <c r="Y1440" s="7"/>
      <c r="Z1440" s="7"/>
      <c r="AA1440" s="7"/>
    </row>
    <row r="1441" ht="18.75" customHeight="1">
      <c r="A1441" s="22" t="s">
        <v>1546</v>
      </c>
      <c r="B1441" s="23" t="s">
        <v>1547</v>
      </c>
      <c r="C1441" s="23" t="s">
        <v>33</v>
      </c>
      <c r="D1441" s="24">
        <v>900.0</v>
      </c>
      <c r="E1441" s="22" t="s">
        <v>1557</v>
      </c>
      <c r="F1441" s="25" t="s">
        <v>26</v>
      </c>
      <c r="G1441" s="26" t="s">
        <v>27</v>
      </c>
      <c r="H1441" s="27">
        <v>15638.9</v>
      </c>
      <c r="I1441" s="28">
        <v>10.0</v>
      </c>
      <c r="J1441" s="29" t="s">
        <v>38</v>
      </c>
      <c r="K1441" s="30">
        <v>0.5</v>
      </c>
      <c r="L1441" s="31">
        <f t="shared" si="1"/>
        <v>5</v>
      </c>
      <c r="M1441" s="31">
        <f t="shared" si="2"/>
        <v>5</v>
      </c>
      <c r="N1441" s="32">
        <f t="shared" si="3"/>
        <v>7819.45</v>
      </c>
      <c r="O1441" s="32">
        <f t="shared" si="4"/>
        <v>7819.45</v>
      </c>
      <c r="P1441" s="32">
        <f t="shared" si="5"/>
        <v>7819.45</v>
      </c>
      <c r="Q1441" s="22">
        <v>0.0</v>
      </c>
      <c r="R1441" s="32">
        <f t="shared" si="6"/>
        <v>1563.89</v>
      </c>
      <c r="S1441" s="33" t="s">
        <v>29</v>
      </c>
      <c r="T1441" s="33" t="s">
        <v>30</v>
      </c>
      <c r="U1441" s="34" t="s">
        <v>35</v>
      </c>
      <c r="V1441" s="35"/>
      <c r="W1441" s="7"/>
      <c r="X1441" s="7"/>
      <c r="Y1441" s="7"/>
      <c r="Z1441" s="7"/>
      <c r="AA1441" s="7"/>
    </row>
    <row r="1442" ht="18.75" customHeight="1">
      <c r="A1442" s="8" t="s">
        <v>1546</v>
      </c>
      <c r="B1442" s="9" t="s">
        <v>1547</v>
      </c>
      <c r="C1442" s="9" t="s">
        <v>708</v>
      </c>
      <c r="D1442" s="10">
        <v>1018.0</v>
      </c>
      <c r="E1442" s="8" t="s">
        <v>1558</v>
      </c>
      <c r="F1442" s="11" t="s">
        <v>37</v>
      </c>
      <c r="G1442" s="12" t="s">
        <v>27</v>
      </c>
      <c r="H1442" s="13">
        <v>359.9</v>
      </c>
      <c r="I1442" s="14">
        <v>10.0</v>
      </c>
      <c r="J1442" s="15" t="s">
        <v>28</v>
      </c>
      <c r="K1442" s="16">
        <v>0.4</v>
      </c>
      <c r="L1442" s="17">
        <f t="shared" si="1"/>
        <v>4</v>
      </c>
      <c r="M1442" s="17">
        <f t="shared" si="2"/>
        <v>6</v>
      </c>
      <c r="N1442" s="18">
        <f t="shared" si="3"/>
        <v>143.96</v>
      </c>
      <c r="O1442" s="18">
        <f t="shared" si="4"/>
        <v>215.94</v>
      </c>
      <c r="P1442" s="18">
        <f t="shared" si="5"/>
        <v>215.94</v>
      </c>
      <c r="Q1442" s="8">
        <v>0.0</v>
      </c>
      <c r="R1442" s="18">
        <f t="shared" si="6"/>
        <v>35.99</v>
      </c>
      <c r="S1442" s="19" t="s">
        <v>29</v>
      </c>
      <c r="T1442" s="19" t="s">
        <v>30</v>
      </c>
      <c r="U1442" s="36" t="s">
        <v>1559</v>
      </c>
      <c r="V1442" s="37"/>
      <c r="W1442" s="7"/>
      <c r="X1442" s="7"/>
      <c r="Y1442" s="7"/>
      <c r="Z1442" s="7"/>
      <c r="AA1442" s="7"/>
    </row>
    <row r="1443" ht="18.75" customHeight="1">
      <c r="A1443" s="22" t="s">
        <v>1546</v>
      </c>
      <c r="B1443" s="23" t="s">
        <v>1547</v>
      </c>
      <c r="C1443" s="23" t="s">
        <v>708</v>
      </c>
      <c r="D1443" s="24">
        <v>1025.0</v>
      </c>
      <c r="E1443" s="22" t="s">
        <v>1560</v>
      </c>
      <c r="F1443" s="25" t="s">
        <v>37</v>
      </c>
      <c r="G1443" s="26" t="s">
        <v>27</v>
      </c>
      <c r="H1443" s="27">
        <v>219.99</v>
      </c>
      <c r="I1443" s="28">
        <v>10.0</v>
      </c>
      <c r="J1443" s="29" t="s">
        <v>38</v>
      </c>
      <c r="K1443" s="30">
        <v>0.5</v>
      </c>
      <c r="L1443" s="31">
        <f t="shared" si="1"/>
        <v>5</v>
      </c>
      <c r="M1443" s="31">
        <f t="shared" si="2"/>
        <v>5</v>
      </c>
      <c r="N1443" s="32">
        <f t="shared" si="3"/>
        <v>109.995</v>
      </c>
      <c r="O1443" s="32">
        <f t="shared" si="4"/>
        <v>109.995</v>
      </c>
      <c r="P1443" s="32">
        <f t="shared" si="5"/>
        <v>109.995</v>
      </c>
      <c r="Q1443" s="22">
        <v>0.0</v>
      </c>
      <c r="R1443" s="32">
        <f t="shared" si="6"/>
        <v>21.999</v>
      </c>
      <c r="S1443" s="33" t="s">
        <v>29</v>
      </c>
      <c r="T1443" s="33" t="s">
        <v>30</v>
      </c>
      <c r="U1443" s="38" t="s">
        <v>1509</v>
      </c>
      <c r="V1443" s="35"/>
      <c r="W1443" s="7"/>
      <c r="X1443" s="7"/>
      <c r="Y1443" s="7"/>
      <c r="Z1443" s="7"/>
      <c r="AA1443" s="7"/>
    </row>
    <row r="1444" ht="18.75" customHeight="1">
      <c r="A1444" s="8" t="s">
        <v>1546</v>
      </c>
      <c r="B1444" s="9" t="s">
        <v>1547</v>
      </c>
      <c r="C1444" s="9" t="s">
        <v>708</v>
      </c>
      <c r="D1444" s="10">
        <v>1026.0</v>
      </c>
      <c r="E1444" s="8" t="s">
        <v>1561</v>
      </c>
      <c r="F1444" s="11" t="s">
        <v>37</v>
      </c>
      <c r="G1444" s="12" t="s">
        <v>27</v>
      </c>
      <c r="H1444" s="13">
        <v>415.2</v>
      </c>
      <c r="I1444" s="14">
        <v>10.0</v>
      </c>
      <c r="J1444" s="15" t="s">
        <v>38</v>
      </c>
      <c r="K1444" s="16">
        <v>0.5</v>
      </c>
      <c r="L1444" s="17">
        <f t="shared" si="1"/>
        <v>5</v>
      </c>
      <c r="M1444" s="17">
        <f t="shared" si="2"/>
        <v>5</v>
      </c>
      <c r="N1444" s="18">
        <f t="shared" si="3"/>
        <v>207.6</v>
      </c>
      <c r="O1444" s="18">
        <f t="shared" si="4"/>
        <v>207.6</v>
      </c>
      <c r="P1444" s="18">
        <f t="shared" si="5"/>
        <v>207.6</v>
      </c>
      <c r="Q1444" s="8">
        <v>0.0</v>
      </c>
      <c r="R1444" s="18">
        <f t="shared" si="6"/>
        <v>41.52</v>
      </c>
      <c r="S1444" s="19" t="s">
        <v>29</v>
      </c>
      <c r="T1444" s="19" t="s">
        <v>30</v>
      </c>
      <c r="U1444" s="36" t="s">
        <v>1562</v>
      </c>
      <c r="V1444" s="37"/>
      <c r="W1444" s="7"/>
      <c r="X1444" s="7"/>
      <c r="Y1444" s="7"/>
      <c r="Z1444" s="7"/>
      <c r="AA1444" s="7"/>
    </row>
    <row r="1445" ht="18.75" customHeight="1">
      <c r="A1445" s="22" t="s">
        <v>1546</v>
      </c>
      <c r="B1445" s="23" t="s">
        <v>1547</v>
      </c>
      <c r="C1445" s="23" t="s">
        <v>708</v>
      </c>
      <c r="D1445" s="24">
        <v>1027.0</v>
      </c>
      <c r="E1445" s="22" t="s">
        <v>1563</v>
      </c>
      <c r="F1445" s="25" t="s">
        <v>37</v>
      </c>
      <c r="G1445" s="26" t="s">
        <v>27</v>
      </c>
      <c r="H1445" s="27">
        <v>578.76</v>
      </c>
      <c r="I1445" s="28">
        <v>10.0</v>
      </c>
      <c r="J1445" s="29" t="s">
        <v>154</v>
      </c>
      <c r="K1445" s="30">
        <v>0.8</v>
      </c>
      <c r="L1445" s="31">
        <f t="shared" si="1"/>
        <v>8</v>
      </c>
      <c r="M1445" s="31">
        <f t="shared" si="2"/>
        <v>2</v>
      </c>
      <c r="N1445" s="32">
        <f t="shared" si="3"/>
        <v>463.008</v>
      </c>
      <c r="O1445" s="32">
        <f t="shared" si="4"/>
        <v>115.752</v>
      </c>
      <c r="P1445" s="32">
        <f t="shared" si="5"/>
        <v>115.752</v>
      </c>
      <c r="Q1445" s="22">
        <v>0.0</v>
      </c>
      <c r="R1445" s="32">
        <f t="shared" si="6"/>
        <v>57.876</v>
      </c>
      <c r="S1445" s="33" t="s">
        <v>29</v>
      </c>
      <c r="T1445" s="33" t="s">
        <v>30</v>
      </c>
      <c r="U1445" s="38" t="s">
        <v>784</v>
      </c>
      <c r="V1445" s="35"/>
      <c r="W1445" s="7"/>
      <c r="X1445" s="7"/>
      <c r="Y1445" s="7"/>
      <c r="Z1445" s="7"/>
      <c r="AA1445" s="7"/>
    </row>
    <row r="1446" ht="18.75" customHeight="1">
      <c r="A1446" s="8" t="s">
        <v>1546</v>
      </c>
      <c r="B1446" s="9" t="s">
        <v>1547</v>
      </c>
      <c r="C1446" s="9" t="s">
        <v>708</v>
      </c>
      <c r="D1446" s="10">
        <v>1028.0</v>
      </c>
      <c r="E1446" s="8" t="s">
        <v>1564</v>
      </c>
      <c r="F1446" s="11" t="s">
        <v>37</v>
      </c>
      <c r="G1446" s="12" t="s">
        <v>27</v>
      </c>
      <c r="H1446" s="13">
        <v>365.31</v>
      </c>
      <c r="I1446" s="14">
        <v>10.0</v>
      </c>
      <c r="J1446" s="15" t="s">
        <v>38</v>
      </c>
      <c r="K1446" s="16">
        <v>0.5</v>
      </c>
      <c r="L1446" s="17">
        <f t="shared" si="1"/>
        <v>5</v>
      </c>
      <c r="M1446" s="17">
        <f t="shared" si="2"/>
        <v>5</v>
      </c>
      <c r="N1446" s="18">
        <f t="shared" si="3"/>
        <v>182.655</v>
      </c>
      <c r="O1446" s="18">
        <f t="shared" si="4"/>
        <v>182.655</v>
      </c>
      <c r="P1446" s="18">
        <f t="shared" si="5"/>
        <v>182.655</v>
      </c>
      <c r="Q1446" s="8">
        <v>0.0</v>
      </c>
      <c r="R1446" s="18">
        <f t="shared" si="6"/>
        <v>36.531</v>
      </c>
      <c r="S1446" s="19" t="s">
        <v>29</v>
      </c>
      <c r="T1446" s="19" t="s">
        <v>30</v>
      </c>
      <c r="U1446" s="36" t="s">
        <v>1565</v>
      </c>
      <c r="V1446" s="37"/>
      <c r="W1446" s="7"/>
      <c r="X1446" s="7"/>
      <c r="Y1446" s="7"/>
      <c r="Z1446" s="7"/>
      <c r="AA1446" s="7"/>
    </row>
    <row r="1447" ht="18.75" customHeight="1">
      <c r="A1447" s="22" t="s">
        <v>1546</v>
      </c>
      <c r="B1447" s="23" t="s">
        <v>1547</v>
      </c>
      <c r="C1447" s="23" t="s">
        <v>230</v>
      </c>
      <c r="D1447" s="24">
        <v>1030.0</v>
      </c>
      <c r="E1447" s="22" t="s">
        <v>1566</v>
      </c>
      <c r="F1447" s="25" t="s">
        <v>37</v>
      </c>
      <c r="G1447" s="26" t="s">
        <v>27</v>
      </c>
      <c r="H1447" s="27">
        <v>514.3</v>
      </c>
      <c r="I1447" s="28">
        <v>10.0</v>
      </c>
      <c r="J1447" s="29" t="s">
        <v>28</v>
      </c>
      <c r="K1447" s="30">
        <v>0.4</v>
      </c>
      <c r="L1447" s="31">
        <f t="shared" si="1"/>
        <v>4</v>
      </c>
      <c r="M1447" s="31">
        <f t="shared" si="2"/>
        <v>6</v>
      </c>
      <c r="N1447" s="32">
        <f t="shared" si="3"/>
        <v>205.72</v>
      </c>
      <c r="O1447" s="32">
        <f t="shared" si="4"/>
        <v>308.58</v>
      </c>
      <c r="P1447" s="32">
        <f t="shared" si="5"/>
        <v>308.58</v>
      </c>
      <c r="Q1447" s="22">
        <v>0.0</v>
      </c>
      <c r="R1447" s="32">
        <f t="shared" si="6"/>
        <v>51.43</v>
      </c>
      <c r="S1447" s="33" t="s">
        <v>29</v>
      </c>
      <c r="T1447" s="33" t="s">
        <v>30</v>
      </c>
      <c r="U1447" s="38" t="s">
        <v>1567</v>
      </c>
      <c r="V1447" s="35"/>
      <c r="W1447" s="7"/>
      <c r="X1447" s="7"/>
      <c r="Y1447" s="7"/>
      <c r="Z1447" s="7"/>
      <c r="AA1447" s="7"/>
    </row>
    <row r="1448" ht="18.75" customHeight="1">
      <c r="A1448" s="8" t="s">
        <v>1546</v>
      </c>
      <c r="B1448" s="9" t="s">
        <v>1547</v>
      </c>
      <c r="C1448" s="9" t="s">
        <v>230</v>
      </c>
      <c r="D1448" s="10">
        <v>1031.0</v>
      </c>
      <c r="E1448" s="8" t="s">
        <v>1566</v>
      </c>
      <c r="F1448" s="11" t="s">
        <v>37</v>
      </c>
      <c r="G1448" s="12" t="s">
        <v>27</v>
      </c>
      <c r="H1448" s="13">
        <v>514.3</v>
      </c>
      <c r="I1448" s="14">
        <v>10.0</v>
      </c>
      <c r="J1448" s="15" t="s">
        <v>28</v>
      </c>
      <c r="K1448" s="16">
        <v>0.4</v>
      </c>
      <c r="L1448" s="17">
        <f t="shared" si="1"/>
        <v>4</v>
      </c>
      <c r="M1448" s="17">
        <f t="shared" si="2"/>
        <v>6</v>
      </c>
      <c r="N1448" s="18">
        <f t="shared" si="3"/>
        <v>205.72</v>
      </c>
      <c r="O1448" s="18">
        <f t="shared" si="4"/>
        <v>308.58</v>
      </c>
      <c r="P1448" s="18">
        <f t="shared" si="5"/>
        <v>308.58</v>
      </c>
      <c r="Q1448" s="8">
        <v>0.0</v>
      </c>
      <c r="R1448" s="18">
        <f t="shared" si="6"/>
        <v>51.43</v>
      </c>
      <c r="S1448" s="19" t="s">
        <v>29</v>
      </c>
      <c r="T1448" s="19" t="s">
        <v>30</v>
      </c>
      <c r="U1448" s="36" t="s">
        <v>1567</v>
      </c>
      <c r="V1448" s="37"/>
      <c r="W1448" s="7"/>
      <c r="X1448" s="7"/>
      <c r="Y1448" s="7"/>
      <c r="Z1448" s="7"/>
      <c r="AA1448" s="7"/>
    </row>
    <row r="1449" ht="18.75" customHeight="1">
      <c r="A1449" s="22" t="s">
        <v>1546</v>
      </c>
      <c r="B1449" s="23" t="s">
        <v>1547</v>
      </c>
      <c r="C1449" s="23" t="s">
        <v>33</v>
      </c>
      <c r="D1449" s="24">
        <v>1033.0</v>
      </c>
      <c r="E1449" s="22" t="s">
        <v>1568</v>
      </c>
      <c r="F1449" s="25" t="s">
        <v>37</v>
      </c>
      <c r="G1449" s="26" t="s">
        <v>27</v>
      </c>
      <c r="H1449" s="27">
        <v>626.99</v>
      </c>
      <c r="I1449" s="28">
        <v>10.0</v>
      </c>
      <c r="J1449" s="29" t="s">
        <v>28</v>
      </c>
      <c r="K1449" s="30">
        <v>0.4</v>
      </c>
      <c r="L1449" s="31">
        <f t="shared" si="1"/>
        <v>4</v>
      </c>
      <c r="M1449" s="31">
        <f t="shared" si="2"/>
        <v>6</v>
      </c>
      <c r="N1449" s="32">
        <f t="shared" si="3"/>
        <v>250.796</v>
      </c>
      <c r="O1449" s="32">
        <f t="shared" si="4"/>
        <v>376.194</v>
      </c>
      <c r="P1449" s="32">
        <f t="shared" si="5"/>
        <v>376.194</v>
      </c>
      <c r="Q1449" s="22">
        <v>0.0</v>
      </c>
      <c r="R1449" s="32">
        <f t="shared" si="6"/>
        <v>62.699</v>
      </c>
      <c r="S1449" s="33" t="s">
        <v>29</v>
      </c>
      <c r="T1449" s="33" t="s">
        <v>30</v>
      </c>
      <c r="U1449" s="34" t="s">
        <v>284</v>
      </c>
      <c r="V1449" s="35"/>
      <c r="W1449" s="7"/>
      <c r="X1449" s="7"/>
      <c r="Y1449" s="7"/>
      <c r="Z1449" s="7"/>
      <c r="AA1449" s="7"/>
    </row>
    <row r="1450" ht="18.75" customHeight="1">
      <c r="A1450" s="8" t="s">
        <v>1546</v>
      </c>
      <c r="B1450" s="9" t="s">
        <v>1547</v>
      </c>
      <c r="C1450" s="9" t="s">
        <v>33</v>
      </c>
      <c r="D1450" s="10">
        <v>1034.0</v>
      </c>
      <c r="E1450" s="8" t="s">
        <v>1569</v>
      </c>
      <c r="F1450" s="11" t="s">
        <v>26</v>
      </c>
      <c r="G1450" s="12" t="s">
        <v>27</v>
      </c>
      <c r="H1450" s="13">
        <v>450.0</v>
      </c>
      <c r="I1450" s="14">
        <v>5.0</v>
      </c>
      <c r="J1450" s="15" t="s">
        <v>38</v>
      </c>
      <c r="K1450" s="16">
        <v>0.5</v>
      </c>
      <c r="L1450" s="17">
        <f t="shared" si="1"/>
        <v>2.5</v>
      </c>
      <c r="M1450" s="17">
        <f t="shared" si="2"/>
        <v>2.5</v>
      </c>
      <c r="N1450" s="18">
        <f t="shared" si="3"/>
        <v>225</v>
      </c>
      <c r="O1450" s="18">
        <f t="shared" si="4"/>
        <v>225</v>
      </c>
      <c r="P1450" s="18">
        <f t="shared" si="5"/>
        <v>225</v>
      </c>
      <c r="Q1450" s="8">
        <v>0.0</v>
      </c>
      <c r="R1450" s="18">
        <f t="shared" si="6"/>
        <v>90</v>
      </c>
      <c r="S1450" s="19" t="s">
        <v>29</v>
      </c>
      <c r="T1450" s="19" t="s">
        <v>30</v>
      </c>
      <c r="U1450" s="20" t="s">
        <v>292</v>
      </c>
      <c r="V1450" s="37"/>
      <c r="W1450" s="7"/>
      <c r="X1450" s="7"/>
      <c r="Y1450" s="7"/>
      <c r="Z1450" s="7"/>
      <c r="AA1450" s="7"/>
    </row>
    <row r="1451" ht="18.75" customHeight="1">
      <c r="A1451" s="22" t="s">
        <v>1546</v>
      </c>
      <c r="B1451" s="23" t="s">
        <v>1547</v>
      </c>
      <c r="C1451" s="23" t="s">
        <v>33</v>
      </c>
      <c r="D1451" s="24">
        <v>1035.0</v>
      </c>
      <c r="E1451" s="22" t="s">
        <v>1570</v>
      </c>
      <c r="F1451" s="25" t="s">
        <v>37</v>
      </c>
      <c r="G1451" s="26" t="s">
        <v>27</v>
      </c>
      <c r="H1451" s="27">
        <v>626.99</v>
      </c>
      <c r="I1451" s="28">
        <v>10.0</v>
      </c>
      <c r="J1451" s="29" t="s">
        <v>38</v>
      </c>
      <c r="K1451" s="30">
        <v>0.5</v>
      </c>
      <c r="L1451" s="31">
        <f t="shared" si="1"/>
        <v>5</v>
      </c>
      <c r="M1451" s="31">
        <f t="shared" si="2"/>
        <v>5</v>
      </c>
      <c r="N1451" s="32">
        <f t="shared" si="3"/>
        <v>313.495</v>
      </c>
      <c r="O1451" s="32">
        <f t="shared" si="4"/>
        <v>313.495</v>
      </c>
      <c r="P1451" s="32">
        <f t="shared" si="5"/>
        <v>313.495</v>
      </c>
      <c r="Q1451" s="22">
        <v>0.0</v>
      </c>
      <c r="R1451" s="32">
        <f t="shared" si="6"/>
        <v>62.699</v>
      </c>
      <c r="S1451" s="33" t="s">
        <v>29</v>
      </c>
      <c r="T1451" s="33" t="s">
        <v>30</v>
      </c>
      <c r="U1451" s="34" t="s">
        <v>284</v>
      </c>
      <c r="V1451" s="35"/>
      <c r="W1451" s="7"/>
      <c r="X1451" s="7"/>
      <c r="Y1451" s="7"/>
      <c r="Z1451" s="7"/>
      <c r="AA1451" s="7"/>
    </row>
    <row r="1452" ht="18.75" customHeight="1">
      <c r="A1452" s="8" t="s">
        <v>1546</v>
      </c>
      <c r="B1452" s="9" t="s">
        <v>1547</v>
      </c>
      <c r="C1452" s="9" t="s">
        <v>33</v>
      </c>
      <c r="D1452" s="10">
        <v>1036.0</v>
      </c>
      <c r="E1452" s="8" t="s">
        <v>1571</v>
      </c>
      <c r="F1452" s="11" t="s">
        <v>37</v>
      </c>
      <c r="G1452" s="12" t="s">
        <v>27</v>
      </c>
      <c r="H1452" s="13">
        <v>534.21</v>
      </c>
      <c r="I1452" s="14">
        <v>10.0</v>
      </c>
      <c r="J1452" s="15" t="s">
        <v>38</v>
      </c>
      <c r="K1452" s="16">
        <v>0.5</v>
      </c>
      <c r="L1452" s="17">
        <f t="shared" si="1"/>
        <v>5</v>
      </c>
      <c r="M1452" s="17">
        <f t="shared" si="2"/>
        <v>5</v>
      </c>
      <c r="N1452" s="18">
        <f t="shared" si="3"/>
        <v>267.105</v>
      </c>
      <c r="O1452" s="18">
        <f t="shared" si="4"/>
        <v>267.105</v>
      </c>
      <c r="P1452" s="18">
        <f t="shared" si="5"/>
        <v>267.105</v>
      </c>
      <c r="Q1452" s="8">
        <v>0.0</v>
      </c>
      <c r="R1452" s="18">
        <f t="shared" si="6"/>
        <v>53.421</v>
      </c>
      <c r="S1452" s="19" t="s">
        <v>29</v>
      </c>
      <c r="T1452" s="19" t="s">
        <v>30</v>
      </c>
      <c r="U1452" s="36" t="s">
        <v>1572</v>
      </c>
      <c r="V1452" s="37"/>
      <c r="W1452" s="7"/>
      <c r="X1452" s="7"/>
      <c r="Y1452" s="7"/>
      <c r="Z1452" s="7"/>
      <c r="AA1452" s="7"/>
    </row>
    <row r="1453" ht="18.75" customHeight="1">
      <c r="A1453" s="22" t="s">
        <v>1546</v>
      </c>
      <c r="B1453" s="23" t="s">
        <v>1547</v>
      </c>
      <c r="C1453" s="23" t="s">
        <v>33</v>
      </c>
      <c r="D1453" s="24">
        <v>1037.0</v>
      </c>
      <c r="E1453" s="22" t="s">
        <v>1573</v>
      </c>
      <c r="F1453" s="25" t="s">
        <v>37</v>
      </c>
      <c r="G1453" s="26" t="s">
        <v>27</v>
      </c>
      <c r="H1453" s="27">
        <v>258.9</v>
      </c>
      <c r="I1453" s="28">
        <v>10.0</v>
      </c>
      <c r="J1453" s="29" t="s">
        <v>38</v>
      </c>
      <c r="K1453" s="30">
        <v>0.5</v>
      </c>
      <c r="L1453" s="31">
        <f t="shared" si="1"/>
        <v>5</v>
      </c>
      <c r="M1453" s="31">
        <f t="shared" si="2"/>
        <v>5</v>
      </c>
      <c r="N1453" s="32">
        <f t="shared" si="3"/>
        <v>129.45</v>
      </c>
      <c r="O1453" s="32">
        <f t="shared" si="4"/>
        <v>129.45</v>
      </c>
      <c r="P1453" s="32">
        <f t="shared" si="5"/>
        <v>129.45</v>
      </c>
      <c r="Q1453" s="22">
        <v>0.0</v>
      </c>
      <c r="R1453" s="32">
        <f t="shared" si="6"/>
        <v>25.89</v>
      </c>
      <c r="S1453" s="33" t="s">
        <v>29</v>
      </c>
      <c r="T1453" s="33" t="s">
        <v>30</v>
      </c>
      <c r="U1453" s="38" t="s">
        <v>1574</v>
      </c>
      <c r="V1453" s="35"/>
      <c r="W1453" s="7"/>
      <c r="X1453" s="7"/>
      <c r="Y1453" s="7"/>
      <c r="Z1453" s="7"/>
      <c r="AA1453" s="7"/>
    </row>
    <row r="1454" ht="18.75" customHeight="1">
      <c r="A1454" s="8" t="s">
        <v>1546</v>
      </c>
      <c r="B1454" s="9" t="s">
        <v>1547</v>
      </c>
      <c r="C1454" s="9" t="s">
        <v>33</v>
      </c>
      <c r="D1454" s="10">
        <v>1038.0</v>
      </c>
      <c r="E1454" s="8" t="s">
        <v>1575</v>
      </c>
      <c r="F1454" s="11" t="s">
        <v>26</v>
      </c>
      <c r="G1454" s="12" t="s">
        <v>27</v>
      </c>
      <c r="H1454" s="13">
        <v>340.94</v>
      </c>
      <c r="I1454" s="14">
        <v>5.0</v>
      </c>
      <c r="J1454" s="48" t="s">
        <v>63</v>
      </c>
      <c r="K1454" s="16">
        <v>0.700000000000007</v>
      </c>
      <c r="L1454" s="17">
        <f t="shared" si="1"/>
        <v>3.5</v>
      </c>
      <c r="M1454" s="17">
        <f t="shared" si="2"/>
        <v>1.5</v>
      </c>
      <c r="N1454" s="18">
        <f t="shared" si="3"/>
        <v>238.658</v>
      </c>
      <c r="O1454" s="18">
        <f t="shared" si="4"/>
        <v>102.282</v>
      </c>
      <c r="P1454" s="18">
        <f t="shared" si="5"/>
        <v>102.282</v>
      </c>
      <c r="Q1454" s="8">
        <v>0.0</v>
      </c>
      <c r="R1454" s="18">
        <f t="shared" si="6"/>
        <v>68.188</v>
      </c>
      <c r="S1454" s="19" t="s">
        <v>29</v>
      </c>
      <c r="T1454" s="19" t="s">
        <v>30</v>
      </c>
      <c r="U1454" s="20" t="s">
        <v>660</v>
      </c>
      <c r="V1454" s="37"/>
      <c r="W1454" s="7"/>
      <c r="X1454" s="7"/>
      <c r="Y1454" s="7"/>
      <c r="Z1454" s="7"/>
      <c r="AA1454" s="7"/>
    </row>
    <row r="1455" ht="18.75" customHeight="1">
      <c r="A1455" s="22" t="s">
        <v>1546</v>
      </c>
      <c r="B1455" s="23" t="s">
        <v>1547</v>
      </c>
      <c r="C1455" s="23" t="s">
        <v>33</v>
      </c>
      <c r="D1455" s="24">
        <v>1039.0</v>
      </c>
      <c r="E1455" s="22" t="s">
        <v>1576</v>
      </c>
      <c r="F1455" s="25" t="s">
        <v>37</v>
      </c>
      <c r="G1455" s="26" t="s">
        <v>27</v>
      </c>
      <c r="H1455" s="27">
        <v>1614.0</v>
      </c>
      <c r="I1455" s="28">
        <v>10.0</v>
      </c>
      <c r="J1455" s="29" t="s">
        <v>38</v>
      </c>
      <c r="K1455" s="30">
        <v>0.5</v>
      </c>
      <c r="L1455" s="31">
        <f t="shared" si="1"/>
        <v>5</v>
      </c>
      <c r="M1455" s="31">
        <f t="shared" si="2"/>
        <v>5</v>
      </c>
      <c r="N1455" s="32">
        <f t="shared" si="3"/>
        <v>807</v>
      </c>
      <c r="O1455" s="32">
        <f t="shared" si="4"/>
        <v>807</v>
      </c>
      <c r="P1455" s="32">
        <f t="shared" si="5"/>
        <v>807</v>
      </c>
      <c r="Q1455" s="22">
        <v>0.0</v>
      </c>
      <c r="R1455" s="32">
        <f t="shared" si="6"/>
        <v>161.4</v>
      </c>
      <c r="S1455" s="33" t="s">
        <v>29</v>
      </c>
      <c r="T1455" s="33" t="s">
        <v>30</v>
      </c>
      <c r="U1455" s="34" t="s">
        <v>411</v>
      </c>
      <c r="V1455" s="35"/>
      <c r="W1455" s="7"/>
      <c r="X1455" s="7"/>
      <c r="Y1455" s="7"/>
      <c r="Z1455" s="7"/>
      <c r="AA1455" s="7"/>
    </row>
    <row r="1456" ht="18.75" customHeight="1">
      <c r="A1456" s="8" t="s">
        <v>1546</v>
      </c>
      <c r="B1456" s="9" t="s">
        <v>1547</v>
      </c>
      <c r="C1456" s="9" t="s">
        <v>33</v>
      </c>
      <c r="D1456" s="10">
        <v>1041.0</v>
      </c>
      <c r="E1456" s="8" t="s">
        <v>1577</v>
      </c>
      <c r="F1456" s="11" t="s">
        <v>37</v>
      </c>
      <c r="G1456" s="12" t="s">
        <v>27</v>
      </c>
      <c r="H1456" s="13">
        <v>469.2</v>
      </c>
      <c r="I1456" s="14">
        <v>10.0</v>
      </c>
      <c r="J1456" s="15" t="s">
        <v>28</v>
      </c>
      <c r="K1456" s="16">
        <v>0.4</v>
      </c>
      <c r="L1456" s="17">
        <f t="shared" si="1"/>
        <v>4</v>
      </c>
      <c r="M1456" s="17">
        <f t="shared" si="2"/>
        <v>6</v>
      </c>
      <c r="N1456" s="18">
        <f t="shared" si="3"/>
        <v>187.68</v>
      </c>
      <c r="O1456" s="18">
        <f t="shared" si="4"/>
        <v>281.52</v>
      </c>
      <c r="P1456" s="18">
        <f t="shared" si="5"/>
        <v>281.52</v>
      </c>
      <c r="Q1456" s="8">
        <v>0.0</v>
      </c>
      <c r="R1456" s="18">
        <f t="shared" si="6"/>
        <v>46.92</v>
      </c>
      <c r="S1456" s="19" t="s">
        <v>29</v>
      </c>
      <c r="T1456" s="19" t="s">
        <v>30</v>
      </c>
      <c r="U1456" s="36" t="s">
        <v>52</v>
      </c>
      <c r="V1456" s="37"/>
      <c r="W1456" s="7"/>
      <c r="X1456" s="7"/>
      <c r="Y1456" s="7"/>
      <c r="Z1456" s="7"/>
      <c r="AA1456" s="7"/>
    </row>
    <row r="1457" ht="18.75" customHeight="1">
      <c r="A1457" s="22" t="s">
        <v>1546</v>
      </c>
      <c r="B1457" s="23" t="s">
        <v>1547</v>
      </c>
      <c r="C1457" s="23" t="s">
        <v>33</v>
      </c>
      <c r="D1457" s="24">
        <v>1042.0</v>
      </c>
      <c r="E1457" s="22" t="s">
        <v>1578</v>
      </c>
      <c r="F1457" s="25" t="s">
        <v>37</v>
      </c>
      <c r="G1457" s="26" t="s">
        <v>27</v>
      </c>
      <c r="H1457" s="27">
        <v>469.2</v>
      </c>
      <c r="I1457" s="28">
        <v>10.0</v>
      </c>
      <c r="J1457" s="29" t="s">
        <v>38</v>
      </c>
      <c r="K1457" s="30">
        <v>0.5</v>
      </c>
      <c r="L1457" s="31">
        <f t="shared" si="1"/>
        <v>5</v>
      </c>
      <c r="M1457" s="31">
        <f t="shared" si="2"/>
        <v>5</v>
      </c>
      <c r="N1457" s="32">
        <f t="shared" si="3"/>
        <v>234.6</v>
      </c>
      <c r="O1457" s="32">
        <f t="shared" si="4"/>
        <v>234.6</v>
      </c>
      <c r="P1457" s="32">
        <f t="shared" si="5"/>
        <v>234.6</v>
      </c>
      <c r="Q1457" s="22">
        <v>0.0</v>
      </c>
      <c r="R1457" s="32">
        <f t="shared" si="6"/>
        <v>46.92</v>
      </c>
      <c r="S1457" s="33" t="s">
        <v>29</v>
      </c>
      <c r="T1457" s="33" t="s">
        <v>30</v>
      </c>
      <c r="U1457" s="38" t="s">
        <v>52</v>
      </c>
      <c r="V1457" s="35"/>
      <c r="W1457" s="7"/>
      <c r="X1457" s="7"/>
      <c r="Y1457" s="7"/>
      <c r="Z1457" s="7"/>
      <c r="AA1457" s="7"/>
    </row>
    <row r="1458" ht="18.75" customHeight="1">
      <c r="A1458" s="8" t="s">
        <v>1546</v>
      </c>
      <c r="B1458" s="9" t="s">
        <v>1547</v>
      </c>
      <c r="C1458" s="9" t="s">
        <v>33</v>
      </c>
      <c r="D1458" s="10">
        <v>1043.0</v>
      </c>
      <c r="E1458" s="8" t="s">
        <v>1579</v>
      </c>
      <c r="F1458" s="11" t="s">
        <v>26</v>
      </c>
      <c r="G1458" s="12" t="s">
        <v>27</v>
      </c>
      <c r="H1458" s="13">
        <v>2338.0</v>
      </c>
      <c r="I1458" s="14">
        <v>10.0</v>
      </c>
      <c r="J1458" s="15" t="s">
        <v>38</v>
      </c>
      <c r="K1458" s="16">
        <v>0.5</v>
      </c>
      <c r="L1458" s="17">
        <f t="shared" si="1"/>
        <v>5</v>
      </c>
      <c r="M1458" s="17">
        <f t="shared" si="2"/>
        <v>5</v>
      </c>
      <c r="N1458" s="18">
        <f t="shared" si="3"/>
        <v>1169</v>
      </c>
      <c r="O1458" s="18">
        <f t="shared" si="4"/>
        <v>1169</v>
      </c>
      <c r="P1458" s="18">
        <f t="shared" si="5"/>
        <v>1169</v>
      </c>
      <c r="Q1458" s="8">
        <v>0.0</v>
      </c>
      <c r="R1458" s="18">
        <f t="shared" si="6"/>
        <v>233.8</v>
      </c>
      <c r="S1458" s="19" t="s">
        <v>29</v>
      </c>
      <c r="T1458" s="19" t="s">
        <v>30</v>
      </c>
      <c r="U1458" s="36" t="s">
        <v>45</v>
      </c>
      <c r="V1458" s="37"/>
      <c r="W1458" s="7"/>
      <c r="X1458" s="7"/>
      <c r="Y1458" s="7"/>
      <c r="Z1458" s="7"/>
      <c r="AA1458" s="7"/>
    </row>
    <row r="1459" ht="18.75" customHeight="1">
      <c r="A1459" s="22" t="s">
        <v>1546</v>
      </c>
      <c r="B1459" s="23" t="s">
        <v>1547</v>
      </c>
      <c r="C1459" s="23" t="s">
        <v>33</v>
      </c>
      <c r="D1459" s="24">
        <v>1044.0</v>
      </c>
      <c r="E1459" s="22" t="s">
        <v>413</v>
      </c>
      <c r="F1459" s="25" t="s">
        <v>26</v>
      </c>
      <c r="G1459" s="26" t="s">
        <v>27</v>
      </c>
      <c r="H1459" s="27">
        <v>1897.0</v>
      </c>
      <c r="I1459" s="28">
        <v>10.0</v>
      </c>
      <c r="J1459" s="29" t="s">
        <v>28</v>
      </c>
      <c r="K1459" s="30">
        <v>0.4</v>
      </c>
      <c r="L1459" s="31">
        <f t="shared" si="1"/>
        <v>4</v>
      </c>
      <c r="M1459" s="31">
        <f t="shared" si="2"/>
        <v>6</v>
      </c>
      <c r="N1459" s="32">
        <f t="shared" si="3"/>
        <v>758.8</v>
      </c>
      <c r="O1459" s="32">
        <f t="shared" si="4"/>
        <v>1138.2</v>
      </c>
      <c r="P1459" s="32">
        <f t="shared" si="5"/>
        <v>1138.2</v>
      </c>
      <c r="Q1459" s="22">
        <v>0.0</v>
      </c>
      <c r="R1459" s="32">
        <f t="shared" si="6"/>
        <v>189.7</v>
      </c>
      <c r="S1459" s="33" t="s">
        <v>29</v>
      </c>
      <c r="T1459" s="33" t="s">
        <v>30</v>
      </c>
      <c r="U1459" s="34" t="s">
        <v>43</v>
      </c>
      <c r="V1459" s="35"/>
      <c r="W1459" s="7"/>
      <c r="X1459" s="7"/>
      <c r="Y1459" s="7"/>
      <c r="Z1459" s="7"/>
      <c r="AA1459" s="7"/>
    </row>
    <row r="1460" ht="18.75" customHeight="1">
      <c r="A1460" s="8" t="s">
        <v>1546</v>
      </c>
      <c r="B1460" s="9" t="s">
        <v>1547</v>
      </c>
      <c r="C1460" s="9" t="s">
        <v>33</v>
      </c>
      <c r="D1460" s="10">
        <v>1045.0</v>
      </c>
      <c r="E1460" s="8" t="s">
        <v>415</v>
      </c>
      <c r="F1460" s="11" t="s">
        <v>26</v>
      </c>
      <c r="G1460" s="12" t="s">
        <v>27</v>
      </c>
      <c r="H1460" s="13">
        <v>22652.48</v>
      </c>
      <c r="I1460" s="14">
        <v>10.0</v>
      </c>
      <c r="J1460" s="15" t="s">
        <v>38</v>
      </c>
      <c r="K1460" s="16">
        <v>0.5</v>
      </c>
      <c r="L1460" s="17">
        <f t="shared" si="1"/>
        <v>5</v>
      </c>
      <c r="M1460" s="17">
        <f t="shared" si="2"/>
        <v>5</v>
      </c>
      <c r="N1460" s="18">
        <f t="shared" si="3"/>
        <v>11326.24</v>
      </c>
      <c r="O1460" s="18">
        <f t="shared" si="4"/>
        <v>11326.24</v>
      </c>
      <c r="P1460" s="18">
        <f t="shared" si="5"/>
        <v>11326.24</v>
      </c>
      <c r="Q1460" s="8">
        <v>0.0</v>
      </c>
      <c r="R1460" s="18">
        <f t="shared" si="6"/>
        <v>2265.248</v>
      </c>
      <c r="S1460" s="19" t="s">
        <v>29</v>
      </c>
      <c r="T1460" s="19" t="s">
        <v>30</v>
      </c>
      <c r="U1460" s="36" t="s">
        <v>50</v>
      </c>
      <c r="V1460" s="37"/>
      <c r="W1460" s="7"/>
      <c r="X1460" s="7"/>
      <c r="Y1460" s="7"/>
      <c r="Z1460" s="7"/>
      <c r="AA1460" s="7"/>
    </row>
    <row r="1461" ht="18.75" customHeight="1">
      <c r="A1461" s="22" t="s">
        <v>1546</v>
      </c>
      <c r="B1461" s="23" t="s">
        <v>1547</v>
      </c>
      <c r="C1461" s="23" t="s">
        <v>33</v>
      </c>
      <c r="D1461" s="24">
        <v>1046.0</v>
      </c>
      <c r="E1461" s="22" t="s">
        <v>1580</v>
      </c>
      <c r="F1461" s="25" t="s">
        <v>26</v>
      </c>
      <c r="G1461" s="26" t="s">
        <v>27</v>
      </c>
      <c r="H1461" s="27">
        <v>1351.57</v>
      </c>
      <c r="I1461" s="28">
        <v>10.0</v>
      </c>
      <c r="J1461" s="29" t="s">
        <v>38</v>
      </c>
      <c r="K1461" s="30">
        <v>0.5</v>
      </c>
      <c r="L1461" s="31">
        <f t="shared" si="1"/>
        <v>5</v>
      </c>
      <c r="M1461" s="31">
        <f t="shared" si="2"/>
        <v>5</v>
      </c>
      <c r="N1461" s="32">
        <f t="shared" si="3"/>
        <v>675.785</v>
      </c>
      <c r="O1461" s="32">
        <f t="shared" si="4"/>
        <v>675.785</v>
      </c>
      <c r="P1461" s="32">
        <f t="shared" si="5"/>
        <v>675.785</v>
      </c>
      <c r="Q1461" s="22">
        <v>0.0</v>
      </c>
      <c r="R1461" s="32">
        <f t="shared" si="6"/>
        <v>135.157</v>
      </c>
      <c r="S1461" s="33" t="s">
        <v>29</v>
      </c>
      <c r="T1461" s="33" t="s">
        <v>30</v>
      </c>
      <c r="U1461" s="34" t="s">
        <v>41</v>
      </c>
      <c r="V1461" s="35"/>
      <c r="W1461" s="7"/>
      <c r="X1461" s="7"/>
      <c r="Y1461" s="7"/>
      <c r="Z1461" s="7"/>
      <c r="AA1461" s="7"/>
    </row>
    <row r="1462" ht="18.75" customHeight="1">
      <c r="A1462" s="8" t="s">
        <v>1546</v>
      </c>
      <c r="B1462" s="9" t="s">
        <v>1547</v>
      </c>
      <c r="C1462" s="9" t="s">
        <v>33</v>
      </c>
      <c r="D1462" s="10">
        <v>1047.0</v>
      </c>
      <c r="E1462" s="8" t="s">
        <v>1581</v>
      </c>
      <c r="F1462" s="11" t="s">
        <v>37</v>
      </c>
      <c r="G1462" s="12" t="s">
        <v>27</v>
      </c>
      <c r="H1462" s="13">
        <v>1044.42</v>
      </c>
      <c r="I1462" s="14">
        <v>10.0</v>
      </c>
      <c r="J1462" s="15" t="s">
        <v>54</v>
      </c>
      <c r="K1462" s="16">
        <v>0.3</v>
      </c>
      <c r="L1462" s="17">
        <f t="shared" si="1"/>
        <v>3</v>
      </c>
      <c r="M1462" s="17">
        <f t="shared" si="2"/>
        <v>7</v>
      </c>
      <c r="N1462" s="18">
        <f t="shared" si="3"/>
        <v>313.326</v>
      </c>
      <c r="O1462" s="18">
        <f t="shared" si="4"/>
        <v>731.094</v>
      </c>
      <c r="P1462" s="18">
        <f t="shared" si="5"/>
        <v>731.094</v>
      </c>
      <c r="Q1462" s="8">
        <v>0.0</v>
      </c>
      <c r="R1462" s="18">
        <f t="shared" si="6"/>
        <v>104.442</v>
      </c>
      <c r="S1462" s="19" t="s">
        <v>29</v>
      </c>
      <c r="T1462" s="19" t="s">
        <v>30</v>
      </c>
      <c r="U1462" s="20" t="s">
        <v>346</v>
      </c>
      <c r="V1462" s="37"/>
      <c r="W1462" s="7"/>
      <c r="X1462" s="7"/>
      <c r="Y1462" s="7"/>
      <c r="Z1462" s="7"/>
      <c r="AA1462" s="7"/>
    </row>
    <row r="1463" ht="18.75" customHeight="1">
      <c r="A1463" s="22" t="s">
        <v>1546</v>
      </c>
      <c r="B1463" s="23" t="s">
        <v>1547</v>
      </c>
      <c r="C1463" s="23" t="s">
        <v>33</v>
      </c>
      <c r="D1463" s="24">
        <v>1048.0</v>
      </c>
      <c r="E1463" s="22" t="s">
        <v>1582</v>
      </c>
      <c r="F1463" s="25" t="s">
        <v>37</v>
      </c>
      <c r="G1463" s="26" t="s">
        <v>27</v>
      </c>
      <c r="H1463" s="27">
        <v>1647.58</v>
      </c>
      <c r="I1463" s="28">
        <v>15.0</v>
      </c>
      <c r="J1463" s="29" t="s">
        <v>38</v>
      </c>
      <c r="K1463" s="30">
        <v>0.5</v>
      </c>
      <c r="L1463" s="31">
        <f t="shared" si="1"/>
        <v>7.5</v>
      </c>
      <c r="M1463" s="31">
        <f t="shared" si="2"/>
        <v>7.5</v>
      </c>
      <c r="N1463" s="32">
        <f t="shared" si="3"/>
        <v>823.79</v>
      </c>
      <c r="O1463" s="32">
        <f t="shared" si="4"/>
        <v>823.79</v>
      </c>
      <c r="P1463" s="32">
        <f t="shared" si="5"/>
        <v>823.79</v>
      </c>
      <c r="Q1463" s="22">
        <v>0.0</v>
      </c>
      <c r="R1463" s="32">
        <f t="shared" si="6"/>
        <v>109.8386667</v>
      </c>
      <c r="S1463" s="33" t="s">
        <v>29</v>
      </c>
      <c r="T1463" s="33" t="s">
        <v>30</v>
      </c>
      <c r="U1463" s="34" t="s">
        <v>325</v>
      </c>
      <c r="V1463" s="35"/>
      <c r="W1463" s="7"/>
      <c r="X1463" s="7"/>
      <c r="Y1463" s="7"/>
      <c r="Z1463" s="7"/>
      <c r="AA1463" s="7"/>
    </row>
    <row r="1464" ht="18.75" customHeight="1">
      <c r="A1464" s="8" t="s">
        <v>1546</v>
      </c>
      <c r="B1464" s="9" t="s">
        <v>1547</v>
      </c>
      <c r="C1464" s="9" t="s">
        <v>33</v>
      </c>
      <c r="D1464" s="10">
        <v>1049.0</v>
      </c>
      <c r="E1464" s="8" t="s">
        <v>1583</v>
      </c>
      <c r="F1464" s="11" t="s">
        <v>37</v>
      </c>
      <c r="G1464" s="12" t="s">
        <v>27</v>
      </c>
      <c r="H1464" s="13">
        <v>626.99</v>
      </c>
      <c r="I1464" s="14">
        <v>10.0</v>
      </c>
      <c r="J1464" s="15" t="s">
        <v>54</v>
      </c>
      <c r="K1464" s="16">
        <v>0.3</v>
      </c>
      <c r="L1464" s="17">
        <f t="shared" si="1"/>
        <v>3</v>
      </c>
      <c r="M1464" s="17">
        <f t="shared" si="2"/>
        <v>7</v>
      </c>
      <c r="N1464" s="18">
        <f t="shared" si="3"/>
        <v>188.097</v>
      </c>
      <c r="O1464" s="18">
        <f t="shared" si="4"/>
        <v>438.893</v>
      </c>
      <c r="P1464" s="18">
        <f t="shared" si="5"/>
        <v>438.893</v>
      </c>
      <c r="Q1464" s="8">
        <v>0.0</v>
      </c>
      <c r="R1464" s="18">
        <f t="shared" si="6"/>
        <v>62.699</v>
      </c>
      <c r="S1464" s="19" t="s">
        <v>29</v>
      </c>
      <c r="T1464" s="19" t="s">
        <v>30</v>
      </c>
      <c r="U1464" s="20" t="s">
        <v>284</v>
      </c>
      <c r="V1464" s="37"/>
      <c r="W1464" s="7"/>
      <c r="X1464" s="7"/>
      <c r="Y1464" s="7"/>
      <c r="Z1464" s="7"/>
      <c r="AA1464" s="7"/>
    </row>
    <row r="1465" ht="18.75" customHeight="1">
      <c r="A1465" s="22" t="s">
        <v>1546</v>
      </c>
      <c r="B1465" s="23" t="s">
        <v>1547</v>
      </c>
      <c r="C1465" s="23" t="s">
        <v>33</v>
      </c>
      <c r="D1465" s="24">
        <v>1050.0</v>
      </c>
      <c r="E1465" s="22" t="s">
        <v>1584</v>
      </c>
      <c r="F1465" s="25" t="s">
        <v>26</v>
      </c>
      <c r="G1465" s="26" t="s">
        <v>27</v>
      </c>
      <c r="H1465" s="27">
        <v>1741.5</v>
      </c>
      <c r="I1465" s="28">
        <v>5.0</v>
      </c>
      <c r="J1465" s="29" t="s">
        <v>38</v>
      </c>
      <c r="K1465" s="30">
        <v>0.5</v>
      </c>
      <c r="L1465" s="31">
        <f t="shared" si="1"/>
        <v>2.5</v>
      </c>
      <c r="M1465" s="31">
        <f t="shared" si="2"/>
        <v>2.5</v>
      </c>
      <c r="N1465" s="32">
        <f t="shared" si="3"/>
        <v>870.75</v>
      </c>
      <c r="O1465" s="32">
        <f t="shared" si="4"/>
        <v>870.75</v>
      </c>
      <c r="P1465" s="32">
        <f t="shared" si="5"/>
        <v>870.75</v>
      </c>
      <c r="Q1465" s="22">
        <v>0.0</v>
      </c>
      <c r="R1465" s="32">
        <f t="shared" si="6"/>
        <v>348.3</v>
      </c>
      <c r="S1465" s="33" t="s">
        <v>29</v>
      </c>
      <c r="T1465" s="33" t="s">
        <v>30</v>
      </c>
      <c r="U1465" s="34" t="s">
        <v>452</v>
      </c>
      <c r="V1465" s="35"/>
      <c r="W1465" s="7"/>
      <c r="X1465" s="7"/>
      <c r="Y1465" s="7"/>
      <c r="Z1465" s="7"/>
      <c r="AA1465" s="7"/>
    </row>
    <row r="1466" ht="18.75" customHeight="1">
      <c r="A1466" s="8" t="s">
        <v>1546</v>
      </c>
      <c r="B1466" s="9" t="s">
        <v>1547</v>
      </c>
      <c r="C1466" s="9" t="s">
        <v>33</v>
      </c>
      <c r="D1466" s="10">
        <v>1051.0</v>
      </c>
      <c r="E1466" s="8" t="s">
        <v>1585</v>
      </c>
      <c r="F1466" s="11" t="s">
        <v>26</v>
      </c>
      <c r="G1466" s="12" t="s">
        <v>27</v>
      </c>
      <c r="H1466" s="13">
        <v>4899.9</v>
      </c>
      <c r="I1466" s="14">
        <v>5.0</v>
      </c>
      <c r="J1466" s="15" t="s">
        <v>38</v>
      </c>
      <c r="K1466" s="16">
        <v>0.5</v>
      </c>
      <c r="L1466" s="17">
        <f t="shared" si="1"/>
        <v>2.5</v>
      </c>
      <c r="M1466" s="17">
        <f t="shared" si="2"/>
        <v>2.5</v>
      </c>
      <c r="N1466" s="18">
        <f t="shared" si="3"/>
        <v>2449.95</v>
      </c>
      <c r="O1466" s="18">
        <f t="shared" si="4"/>
        <v>2449.95</v>
      </c>
      <c r="P1466" s="18">
        <f t="shared" si="5"/>
        <v>2449.95</v>
      </c>
      <c r="Q1466" s="8">
        <v>0.0</v>
      </c>
      <c r="R1466" s="18">
        <f t="shared" si="6"/>
        <v>979.98</v>
      </c>
      <c r="S1466" s="19" t="s">
        <v>29</v>
      </c>
      <c r="T1466" s="19" t="s">
        <v>30</v>
      </c>
      <c r="U1466" s="20" t="s">
        <v>67</v>
      </c>
      <c r="V1466" s="37"/>
      <c r="W1466" s="7"/>
      <c r="X1466" s="7"/>
      <c r="Y1466" s="7"/>
      <c r="Z1466" s="7"/>
      <c r="AA1466" s="7"/>
    </row>
    <row r="1467" ht="18.75" customHeight="1">
      <c r="A1467" s="22" t="s">
        <v>1546</v>
      </c>
      <c r="B1467" s="23" t="s">
        <v>1547</v>
      </c>
      <c r="C1467" s="23" t="s">
        <v>230</v>
      </c>
      <c r="D1467" s="24">
        <v>1056.0</v>
      </c>
      <c r="E1467" s="22" t="s">
        <v>1564</v>
      </c>
      <c r="F1467" s="25" t="s">
        <v>37</v>
      </c>
      <c r="G1467" s="26" t="s">
        <v>27</v>
      </c>
      <c r="H1467" s="27">
        <v>365.31</v>
      </c>
      <c r="I1467" s="28">
        <v>10.0</v>
      </c>
      <c r="J1467" s="29" t="s">
        <v>38</v>
      </c>
      <c r="K1467" s="30">
        <v>0.5</v>
      </c>
      <c r="L1467" s="31">
        <f t="shared" si="1"/>
        <v>5</v>
      </c>
      <c r="M1467" s="31">
        <f t="shared" si="2"/>
        <v>5</v>
      </c>
      <c r="N1467" s="32">
        <f t="shared" si="3"/>
        <v>182.655</v>
      </c>
      <c r="O1467" s="32">
        <f t="shared" si="4"/>
        <v>182.655</v>
      </c>
      <c r="P1467" s="32">
        <f t="shared" si="5"/>
        <v>182.655</v>
      </c>
      <c r="Q1467" s="22">
        <v>0.0</v>
      </c>
      <c r="R1467" s="32">
        <f t="shared" si="6"/>
        <v>36.531</v>
      </c>
      <c r="S1467" s="33" t="s">
        <v>29</v>
      </c>
      <c r="T1467" s="33" t="s">
        <v>30</v>
      </c>
      <c r="U1467" s="38" t="s">
        <v>1565</v>
      </c>
      <c r="V1467" s="35"/>
      <c r="W1467" s="7"/>
      <c r="X1467" s="7"/>
      <c r="Y1467" s="7"/>
      <c r="Z1467" s="7"/>
      <c r="AA1467" s="7"/>
    </row>
    <row r="1468" ht="18.75" customHeight="1">
      <c r="A1468" s="8" t="s">
        <v>1546</v>
      </c>
      <c r="B1468" s="9" t="s">
        <v>1547</v>
      </c>
      <c r="C1468" s="9" t="s">
        <v>230</v>
      </c>
      <c r="D1468" s="10">
        <v>1057.0</v>
      </c>
      <c r="E1468" s="8" t="s">
        <v>1586</v>
      </c>
      <c r="F1468" s="11" t="s">
        <v>37</v>
      </c>
      <c r="G1468" s="12" t="s">
        <v>27</v>
      </c>
      <c r="H1468" s="13">
        <v>578.76</v>
      </c>
      <c r="I1468" s="14">
        <v>10.0</v>
      </c>
      <c r="J1468" s="15" t="s">
        <v>28</v>
      </c>
      <c r="K1468" s="16">
        <v>0.4</v>
      </c>
      <c r="L1468" s="17">
        <f t="shared" si="1"/>
        <v>4</v>
      </c>
      <c r="M1468" s="17">
        <f t="shared" si="2"/>
        <v>6</v>
      </c>
      <c r="N1468" s="18">
        <f t="shared" si="3"/>
        <v>231.504</v>
      </c>
      <c r="O1468" s="18">
        <f t="shared" si="4"/>
        <v>347.256</v>
      </c>
      <c r="P1468" s="18">
        <f t="shared" si="5"/>
        <v>347.256</v>
      </c>
      <c r="Q1468" s="8">
        <v>0.0</v>
      </c>
      <c r="R1468" s="18">
        <f t="shared" si="6"/>
        <v>57.876</v>
      </c>
      <c r="S1468" s="19" t="s">
        <v>29</v>
      </c>
      <c r="T1468" s="19" t="s">
        <v>30</v>
      </c>
      <c r="U1468" s="36" t="s">
        <v>784</v>
      </c>
      <c r="V1468" s="37"/>
      <c r="W1468" s="7"/>
      <c r="X1468" s="7"/>
      <c r="Y1468" s="7"/>
      <c r="Z1468" s="7"/>
      <c r="AA1468" s="7"/>
    </row>
    <row r="1469" ht="18.75" customHeight="1">
      <c r="A1469" s="22" t="s">
        <v>1546</v>
      </c>
      <c r="B1469" s="23" t="s">
        <v>1547</v>
      </c>
      <c r="C1469" s="23" t="s">
        <v>230</v>
      </c>
      <c r="D1469" s="24">
        <v>1060.0</v>
      </c>
      <c r="E1469" s="22" t="s">
        <v>1564</v>
      </c>
      <c r="F1469" s="25" t="s">
        <v>37</v>
      </c>
      <c r="G1469" s="26" t="s">
        <v>27</v>
      </c>
      <c r="H1469" s="27">
        <v>365.31</v>
      </c>
      <c r="I1469" s="28">
        <v>10.0</v>
      </c>
      <c r="J1469" s="29" t="s">
        <v>38</v>
      </c>
      <c r="K1469" s="30">
        <v>0.5</v>
      </c>
      <c r="L1469" s="31">
        <f t="shared" si="1"/>
        <v>5</v>
      </c>
      <c r="M1469" s="31">
        <f t="shared" si="2"/>
        <v>5</v>
      </c>
      <c r="N1469" s="32">
        <f t="shared" si="3"/>
        <v>182.655</v>
      </c>
      <c r="O1469" s="32">
        <f t="shared" si="4"/>
        <v>182.655</v>
      </c>
      <c r="P1469" s="32">
        <f t="shared" si="5"/>
        <v>182.655</v>
      </c>
      <c r="Q1469" s="22">
        <v>0.0</v>
      </c>
      <c r="R1469" s="32">
        <f t="shared" si="6"/>
        <v>36.531</v>
      </c>
      <c r="S1469" s="33" t="s">
        <v>29</v>
      </c>
      <c r="T1469" s="33" t="s">
        <v>30</v>
      </c>
      <c r="U1469" s="38" t="s">
        <v>1565</v>
      </c>
      <c r="V1469" s="35"/>
      <c r="W1469" s="7"/>
      <c r="X1469" s="7"/>
      <c r="Y1469" s="7"/>
      <c r="Z1469" s="7"/>
      <c r="AA1469" s="7"/>
    </row>
    <row r="1470" ht="18.75" customHeight="1">
      <c r="A1470" s="8" t="s">
        <v>1546</v>
      </c>
      <c r="B1470" s="9" t="s">
        <v>1547</v>
      </c>
      <c r="C1470" s="9" t="s">
        <v>230</v>
      </c>
      <c r="D1470" s="10">
        <v>1062.0</v>
      </c>
      <c r="E1470" s="8" t="s">
        <v>1587</v>
      </c>
      <c r="F1470" s="11" t="s">
        <v>37</v>
      </c>
      <c r="G1470" s="12" t="s">
        <v>27</v>
      </c>
      <c r="H1470" s="13">
        <v>3900.0</v>
      </c>
      <c r="I1470" s="14">
        <v>10.0</v>
      </c>
      <c r="J1470" s="15" t="s">
        <v>54</v>
      </c>
      <c r="K1470" s="16">
        <v>0.3</v>
      </c>
      <c r="L1470" s="17">
        <f t="shared" si="1"/>
        <v>3</v>
      </c>
      <c r="M1470" s="17">
        <f t="shared" si="2"/>
        <v>7</v>
      </c>
      <c r="N1470" s="18">
        <f t="shared" si="3"/>
        <v>1170</v>
      </c>
      <c r="O1470" s="18">
        <f t="shared" si="4"/>
        <v>2730</v>
      </c>
      <c r="P1470" s="18">
        <f t="shared" si="5"/>
        <v>2730</v>
      </c>
      <c r="Q1470" s="8">
        <v>0.0</v>
      </c>
      <c r="R1470" s="18">
        <f t="shared" si="6"/>
        <v>390</v>
      </c>
      <c r="S1470" s="19" t="s">
        <v>29</v>
      </c>
      <c r="T1470" s="19" t="s">
        <v>30</v>
      </c>
      <c r="U1470" s="36" t="s">
        <v>1588</v>
      </c>
      <c r="V1470" s="37" t="s">
        <v>1589</v>
      </c>
      <c r="W1470" s="7"/>
      <c r="X1470" s="7"/>
      <c r="Y1470" s="7"/>
      <c r="Z1470" s="7"/>
      <c r="AA1470" s="7"/>
    </row>
    <row r="1471" ht="18.75" customHeight="1">
      <c r="A1471" s="22" t="s">
        <v>1546</v>
      </c>
      <c r="B1471" s="23" t="s">
        <v>1547</v>
      </c>
      <c r="C1471" s="23" t="s">
        <v>230</v>
      </c>
      <c r="D1471" s="24">
        <v>1064.0</v>
      </c>
      <c r="E1471" s="22" t="s">
        <v>1590</v>
      </c>
      <c r="F1471" s="25" t="s">
        <v>37</v>
      </c>
      <c r="G1471" s="26" t="s">
        <v>27</v>
      </c>
      <c r="H1471" s="27">
        <v>597.9</v>
      </c>
      <c r="I1471" s="28">
        <v>5.0</v>
      </c>
      <c r="J1471" s="29" t="s">
        <v>38</v>
      </c>
      <c r="K1471" s="30">
        <v>0.5</v>
      </c>
      <c r="L1471" s="31">
        <f t="shared" si="1"/>
        <v>2.5</v>
      </c>
      <c r="M1471" s="31">
        <f t="shared" si="2"/>
        <v>2.5</v>
      </c>
      <c r="N1471" s="32">
        <f t="shared" si="3"/>
        <v>298.95</v>
      </c>
      <c r="O1471" s="32">
        <f t="shared" si="4"/>
        <v>298.95</v>
      </c>
      <c r="P1471" s="32">
        <f t="shared" si="5"/>
        <v>298.95</v>
      </c>
      <c r="Q1471" s="22">
        <v>0.0</v>
      </c>
      <c r="R1471" s="32">
        <f t="shared" si="6"/>
        <v>119.58</v>
      </c>
      <c r="S1471" s="33" t="s">
        <v>29</v>
      </c>
      <c r="T1471" s="33" t="s">
        <v>30</v>
      </c>
      <c r="U1471" s="38" t="s">
        <v>1591</v>
      </c>
      <c r="V1471" s="35"/>
      <c r="W1471" s="7"/>
      <c r="X1471" s="7"/>
      <c r="Y1471" s="7"/>
      <c r="Z1471" s="7"/>
      <c r="AA1471" s="7"/>
    </row>
    <row r="1472" ht="18.75" customHeight="1">
      <c r="A1472" s="8" t="s">
        <v>1546</v>
      </c>
      <c r="B1472" s="9" t="s">
        <v>1547</v>
      </c>
      <c r="C1472" s="9" t="s">
        <v>708</v>
      </c>
      <c r="D1472" s="10">
        <v>1610.0</v>
      </c>
      <c r="E1472" s="8" t="s">
        <v>1592</v>
      </c>
      <c r="F1472" s="11" t="s">
        <v>37</v>
      </c>
      <c r="G1472" s="12" t="s">
        <v>27</v>
      </c>
      <c r="H1472" s="13">
        <v>469.2</v>
      </c>
      <c r="I1472" s="14">
        <v>10.0</v>
      </c>
      <c r="J1472" s="48" t="s">
        <v>63</v>
      </c>
      <c r="K1472" s="16">
        <v>0.700000000000007</v>
      </c>
      <c r="L1472" s="17">
        <f t="shared" si="1"/>
        <v>7</v>
      </c>
      <c r="M1472" s="17">
        <f t="shared" si="2"/>
        <v>3</v>
      </c>
      <c r="N1472" s="18">
        <f t="shared" si="3"/>
        <v>328.44</v>
      </c>
      <c r="O1472" s="18">
        <f t="shared" si="4"/>
        <v>140.76</v>
      </c>
      <c r="P1472" s="18">
        <f t="shared" si="5"/>
        <v>140.76</v>
      </c>
      <c r="Q1472" s="8">
        <v>0.0</v>
      </c>
      <c r="R1472" s="18">
        <f t="shared" si="6"/>
        <v>46.92</v>
      </c>
      <c r="S1472" s="19" t="s">
        <v>29</v>
      </c>
      <c r="T1472" s="19" t="s">
        <v>30</v>
      </c>
      <c r="U1472" s="36" t="s">
        <v>52</v>
      </c>
      <c r="V1472" s="37"/>
      <c r="W1472" s="7"/>
      <c r="X1472" s="7"/>
      <c r="Y1472" s="7"/>
      <c r="Z1472" s="7"/>
      <c r="AA1472" s="7"/>
    </row>
    <row r="1473" ht="18.75" customHeight="1">
      <c r="A1473" s="22" t="s">
        <v>1546</v>
      </c>
      <c r="B1473" s="23" t="s">
        <v>1547</v>
      </c>
      <c r="C1473" s="23" t="s">
        <v>534</v>
      </c>
      <c r="D1473" s="24">
        <v>2106.0</v>
      </c>
      <c r="E1473" s="22" t="s">
        <v>1593</v>
      </c>
      <c r="F1473" s="25" t="s">
        <v>26</v>
      </c>
      <c r="G1473" s="26" t="s">
        <v>27</v>
      </c>
      <c r="H1473" s="27">
        <v>235.03</v>
      </c>
      <c r="I1473" s="28">
        <v>10.0</v>
      </c>
      <c r="J1473" s="29" t="s">
        <v>28</v>
      </c>
      <c r="K1473" s="30">
        <v>0.4</v>
      </c>
      <c r="L1473" s="31">
        <f t="shared" si="1"/>
        <v>4</v>
      </c>
      <c r="M1473" s="31">
        <f t="shared" si="2"/>
        <v>6</v>
      </c>
      <c r="N1473" s="32">
        <f t="shared" si="3"/>
        <v>94.012</v>
      </c>
      <c r="O1473" s="32">
        <f t="shared" si="4"/>
        <v>141.018</v>
      </c>
      <c r="P1473" s="32">
        <f t="shared" si="5"/>
        <v>141.018</v>
      </c>
      <c r="Q1473" s="22">
        <v>0.0</v>
      </c>
      <c r="R1473" s="32">
        <f t="shared" si="6"/>
        <v>23.503</v>
      </c>
      <c r="S1473" s="33" t="s">
        <v>29</v>
      </c>
      <c r="T1473" s="33" t="s">
        <v>30</v>
      </c>
      <c r="U1473" s="34" t="s">
        <v>96</v>
      </c>
      <c r="V1473" s="35"/>
      <c r="W1473" s="7"/>
      <c r="X1473" s="7"/>
      <c r="Y1473" s="7"/>
      <c r="Z1473" s="7"/>
      <c r="AA1473" s="7"/>
    </row>
    <row r="1474" ht="18.75" customHeight="1">
      <c r="A1474" s="8" t="s">
        <v>1546</v>
      </c>
      <c r="B1474" s="9" t="s">
        <v>1547</v>
      </c>
      <c r="C1474" s="9" t="s">
        <v>534</v>
      </c>
      <c r="D1474" s="10">
        <v>2107.0</v>
      </c>
      <c r="E1474" s="8" t="s">
        <v>1594</v>
      </c>
      <c r="F1474" s="11" t="s">
        <v>26</v>
      </c>
      <c r="G1474" s="12" t="s">
        <v>27</v>
      </c>
      <c r="H1474" s="13">
        <v>531.9</v>
      </c>
      <c r="I1474" s="14">
        <v>10.0</v>
      </c>
      <c r="J1474" s="15" t="s">
        <v>54</v>
      </c>
      <c r="K1474" s="16">
        <v>0.3</v>
      </c>
      <c r="L1474" s="17">
        <f t="shared" si="1"/>
        <v>3</v>
      </c>
      <c r="M1474" s="17">
        <f t="shared" si="2"/>
        <v>7</v>
      </c>
      <c r="N1474" s="18">
        <f t="shared" si="3"/>
        <v>159.57</v>
      </c>
      <c r="O1474" s="18">
        <f t="shared" si="4"/>
        <v>372.33</v>
      </c>
      <c r="P1474" s="18">
        <f t="shared" si="5"/>
        <v>372.33</v>
      </c>
      <c r="Q1474" s="8">
        <v>0.0</v>
      </c>
      <c r="R1474" s="18">
        <f t="shared" si="6"/>
        <v>53.19</v>
      </c>
      <c r="S1474" s="19" t="s">
        <v>29</v>
      </c>
      <c r="T1474" s="19" t="s">
        <v>30</v>
      </c>
      <c r="U1474" s="20" t="s">
        <v>191</v>
      </c>
      <c r="V1474" s="37"/>
      <c r="W1474" s="7"/>
      <c r="X1474" s="7"/>
      <c r="Y1474" s="7"/>
      <c r="Z1474" s="7"/>
      <c r="AA1474" s="7"/>
    </row>
    <row r="1475" ht="18.75" customHeight="1">
      <c r="A1475" s="22" t="s">
        <v>1546</v>
      </c>
      <c r="B1475" s="23" t="s">
        <v>1547</v>
      </c>
      <c r="C1475" s="23" t="s">
        <v>534</v>
      </c>
      <c r="D1475" s="24">
        <v>2108.0</v>
      </c>
      <c r="E1475" s="22" t="s">
        <v>1595</v>
      </c>
      <c r="F1475" s="25" t="s">
        <v>26</v>
      </c>
      <c r="G1475" s="26" t="s">
        <v>27</v>
      </c>
      <c r="H1475" s="27">
        <v>37.9</v>
      </c>
      <c r="I1475" s="28">
        <v>5.0</v>
      </c>
      <c r="J1475" s="29" t="s">
        <v>38</v>
      </c>
      <c r="K1475" s="30">
        <v>0.5</v>
      </c>
      <c r="L1475" s="31">
        <f t="shared" si="1"/>
        <v>2.5</v>
      </c>
      <c r="M1475" s="31">
        <f t="shared" si="2"/>
        <v>2.5</v>
      </c>
      <c r="N1475" s="32">
        <f t="shared" si="3"/>
        <v>18.95</v>
      </c>
      <c r="O1475" s="32">
        <f t="shared" si="4"/>
        <v>18.95</v>
      </c>
      <c r="P1475" s="32">
        <f t="shared" si="5"/>
        <v>18.95</v>
      </c>
      <c r="Q1475" s="22">
        <v>0.0</v>
      </c>
      <c r="R1475" s="32">
        <f t="shared" si="6"/>
        <v>7.58</v>
      </c>
      <c r="S1475" s="33" t="s">
        <v>29</v>
      </c>
      <c r="T1475" s="33" t="s">
        <v>30</v>
      </c>
      <c r="U1475" s="34" t="s">
        <v>302</v>
      </c>
      <c r="V1475" s="35"/>
      <c r="W1475" s="7"/>
      <c r="X1475" s="7"/>
      <c r="Y1475" s="7"/>
      <c r="Z1475" s="7"/>
      <c r="AA1475" s="7"/>
    </row>
    <row r="1476" ht="18.75" customHeight="1">
      <c r="A1476" s="8" t="s">
        <v>1546</v>
      </c>
      <c r="B1476" s="9" t="s">
        <v>1547</v>
      </c>
      <c r="C1476" s="9" t="s">
        <v>145</v>
      </c>
      <c r="D1476" s="10">
        <v>2697.0</v>
      </c>
      <c r="E1476" s="8" t="s">
        <v>466</v>
      </c>
      <c r="F1476" s="11" t="s">
        <v>26</v>
      </c>
      <c r="G1476" s="12" t="s">
        <v>27</v>
      </c>
      <c r="H1476" s="13">
        <v>603.0</v>
      </c>
      <c r="I1476" s="14">
        <v>5.0</v>
      </c>
      <c r="J1476" s="15" t="s">
        <v>54</v>
      </c>
      <c r="K1476" s="16">
        <v>0.3</v>
      </c>
      <c r="L1476" s="17">
        <f t="shared" si="1"/>
        <v>1.5</v>
      </c>
      <c r="M1476" s="17">
        <f t="shared" si="2"/>
        <v>3.5</v>
      </c>
      <c r="N1476" s="18">
        <f t="shared" si="3"/>
        <v>180.9</v>
      </c>
      <c r="O1476" s="18">
        <f t="shared" si="4"/>
        <v>422.1</v>
      </c>
      <c r="P1476" s="18">
        <f t="shared" si="5"/>
        <v>422.1</v>
      </c>
      <c r="Q1476" s="8">
        <v>0.0</v>
      </c>
      <c r="R1476" s="18">
        <f t="shared" si="6"/>
        <v>120.6</v>
      </c>
      <c r="S1476" s="19" t="s">
        <v>29</v>
      </c>
      <c r="T1476" s="19" t="s">
        <v>30</v>
      </c>
      <c r="U1476" s="20" t="s">
        <v>79</v>
      </c>
      <c r="V1476" s="37"/>
      <c r="W1476" s="7"/>
      <c r="X1476" s="7"/>
      <c r="Y1476" s="7"/>
      <c r="Z1476" s="7"/>
      <c r="AA1476" s="7"/>
    </row>
    <row r="1477" ht="18.75" customHeight="1">
      <c r="A1477" s="22" t="s">
        <v>1546</v>
      </c>
      <c r="B1477" s="23" t="s">
        <v>1547</v>
      </c>
      <c r="C1477" s="23" t="s">
        <v>150</v>
      </c>
      <c r="D1477" s="24">
        <v>2784.0</v>
      </c>
      <c r="E1477" s="22" t="s">
        <v>1141</v>
      </c>
      <c r="F1477" s="25" t="s">
        <v>26</v>
      </c>
      <c r="G1477" s="26" t="s">
        <v>27</v>
      </c>
      <c r="H1477" s="27">
        <v>6583.2</v>
      </c>
      <c r="I1477" s="28">
        <v>10.0</v>
      </c>
      <c r="J1477" s="29" t="s">
        <v>28</v>
      </c>
      <c r="K1477" s="30">
        <v>0.4</v>
      </c>
      <c r="L1477" s="31">
        <f t="shared" si="1"/>
        <v>4</v>
      </c>
      <c r="M1477" s="31">
        <f t="shared" si="2"/>
        <v>6</v>
      </c>
      <c r="N1477" s="32">
        <f t="shared" si="3"/>
        <v>2633.28</v>
      </c>
      <c r="O1477" s="32">
        <f t="shared" si="4"/>
        <v>3949.92</v>
      </c>
      <c r="P1477" s="32">
        <f t="shared" si="5"/>
        <v>3949.92</v>
      </c>
      <c r="Q1477" s="22">
        <v>0.0</v>
      </c>
      <c r="R1477" s="32">
        <f t="shared" si="6"/>
        <v>658.32</v>
      </c>
      <c r="S1477" s="33" t="s">
        <v>29</v>
      </c>
      <c r="T1477" s="33" t="s">
        <v>30</v>
      </c>
      <c r="U1477" s="34" t="s">
        <v>312</v>
      </c>
      <c r="V1477" s="35"/>
      <c r="W1477" s="7"/>
      <c r="X1477" s="7"/>
      <c r="Y1477" s="7"/>
      <c r="Z1477" s="7"/>
      <c r="AA1477" s="7"/>
    </row>
    <row r="1478" ht="18.75" customHeight="1">
      <c r="A1478" s="8" t="s">
        <v>1546</v>
      </c>
      <c r="B1478" s="9" t="s">
        <v>1547</v>
      </c>
      <c r="C1478" s="8"/>
      <c r="D1478" s="10">
        <v>2853.0</v>
      </c>
      <c r="E1478" s="8" t="s">
        <v>1596</v>
      </c>
      <c r="F1478" s="11" t="s">
        <v>26</v>
      </c>
      <c r="G1478" s="69">
        <v>45448.0</v>
      </c>
      <c r="H1478" s="13">
        <v>919.6</v>
      </c>
      <c r="I1478" s="14">
        <v>10.0</v>
      </c>
      <c r="J1478" s="15" t="s">
        <v>54</v>
      </c>
      <c r="K1478" s="16">
        <v>0.3</v>
      </c>
      <c r="L1478" s="17">
        <f t="shared" si="1"/>
        <v>3</v>
      </c>
      <c r="M1478" s="17">
        <f t="shared" si="2"/>
        <v>7</v>
      </c>
      <c r="N1478" s="18">
        <f t="shared" si="3"/>
        <v>275.88</v>
      </c>
      <c r="O1478" s="18">
        <f t="shared" si="4"/>
        <v>643.72</v>
      </c>
      <c r="P1478" s="18">
        <f t="shared" si="5"/>
        <v>643.72</v>
      </c>
      <c r="Q1478" s="8">
        <v>0.0</v>
      </c>
      <c r="R1478" s="18">
        <f t="shared" si="6"/>
        <v>91.96</v>
      </c>
      <c r="S1478" s="19" t="s">
        <v>29</v>
      </c>
      <c r="T1478" s="19" t="s">
        <v>30</v>
      </c>
      <c r="U1478" s="20"/>
      <c r="V1478" s="37">
        <v>20422.0</v>
      </c>
      <c r="W1478" s="7"/>
      <c r="X1478" s="7"/>
      <c r="Y1478" s="7"/>
      <c r="Z1478" s="7"/>
      <c r="AA1478" s="7"/>
    </row>
    <row r="1479" ht="18.75" customHeight="1">
      <c r="A1479" s="22" t="s">
        <v>1546</v>
      </c>
      <c r="B1479" s="23" t="s">
        <v>1547</v>
      </c>
      <c r="C1479" s="22"/>
      <c r="D1479" s="24">
        <v>2854.0</v>
      </c>
      <c r="E1479" s="22" t="s">
        <v>1597</v>
      </c>
      <c r="F1479" s="25" t="s">
        <v>26</v>
      </c>
      <c r="G1479" s="60">
        <v>45448.0</v>
      </c>
      <c r="H1479" s="27">
        <v>1379.4</v>
      </c>
      <c r="I1479" s="28">
        <v>10.0</v>
      </c>
      <c r="J1479" s="29" t="s">
        <v>54</v>
      </c>
      <c r="K1479" s="30">
        <v>0.3</v>
      </c>
      <c r="L1479" s="31">
        <f t="shared" si="1"/>
        <v>3</v>
      </c>
      <c r="M1479" s="31">
        <f t="shared" si="2"/>
        <v>7</v>
      </c>
      <c r="N1479" s="32">
        <f t="shared" si="3"/>
        <v>413.82</v>
      </c>
      <c r="O1479" s="32">
        <f t="shared" si="4"/>
        <v>965.58</v>
      </c>
      <c r="P1479" s="32">
        <f t="shared" si="5"/>
        <v>965.58</v>
      </c>
      <c r="Q1479" s="22">
        <v>0.0</v>
      </c>
      <c r="R1479" s="32">
        <f t="shared" si="6"/>
        <v>137.94</v>
      </c>
      <c r="S1479" s="33" t="s">
        <v>29</v>
      </c>
      <c r="T1479" s="33" t="s">
        <v>30</v>
      </c>
      <c r="U1479" s="34"/>
      <c r="V1479" s="35">
        <v>20422.0</v>
      </c>
      <c r="W1479" s="7"/>
      <c r="X1479" s="7"/>
      <c r="Y1479" s="7"/>
      <c r="Z1479" s="7"/>
      <c r="AA1479" s="7"/>
    </row>
    <row r="1480" ht="18.75" customHeight="1">
      <c r="A1480" s="8" t="s">
        <v>1546</v>
      </c>
      <c r="B1480" s="9" t="s">
        <v>1547</v>
      </c>
      <c r="C1480" s="8"/>
      <c r="D1480" s="10">
        <v>2855.0</v>
      </c>
      <c r="E1480" s="8" t="s">
        <v>1596</v>
      </c>
      <c r="F1480" s="11" t="s">
        <v>26</v>
      </c>
      <c r="G1480" s="69">
        <v>45448.0</v>
      </c>
      <c r="H1480" s="13">
        <v>919.6</v>
      </c>
      <c r="I1480" s="14">
        <v>10.0</v>
      </c>
      <c r="J1480" s="15" t="s">
        <v>54</v>
      </c>
      <c r="K1480" s="16">
        <v>0.3</v>
      </c>
      <c r="L1480" s="17">
        <f t="shared" si="1"/>
        <v>3</v>
      </c>
      <c r="M1480" s="17">
        <f t="shared" si="2"/>
        <v>7</v>
      </c>
      <c r="N1480" s="18">
        <f t="shared" si="3"/>
        <v>275.88</v>
      </c>
      <c r="O1480" s="18">
        <f t="shared" si="4"/>
        <v>643.72</v>
      </c>
      <c r="P1480" s="18">
        <f t="shared" si="5"/>
        <v>643.72</v>
      </c>
      <c r="Q1480" s="8">
        <v>0.0</v>
      </c>
      <c r="R1480" s="18">
        <f t="shared" si="6"/>
        <v>91.96</v>
      </c>
      <c r="S1480" s="19" t="s">
        <v>29</v>
      </c>
      <c r="T1480" s="19" t="s">
        <v>30</v>
      </c>
      <c r="U1480" s="20"/>
      <c r="V1480" s="37">
        <v>20422.0</v>
      </c>
      <c r="W1480" s="7"/>
      <c r="X1480" s="7"/>
      <c r="Y1480" s="7"/>
      <c r="Z1480" s="7"/>
      <c r="AA1480" s="7"/>
    </row>
    <row r="1481" ht="18.75" customHeight="1">
      <c r="A1481" s="22" t="s">
        <v>1546</v>
      </c>
      <c r="B1481" s="23" t="s">
        <v>1547</v>
      </c>
      <c r="C1481" s="22"/>
      <c r="D1481" s="24">
        <v>2856.0</v>
      </c>
      <c r="E1481" s="22" t="s">
        <v>1597</v>
      </c>
      <c r="F1481" s="25" t="s">
        <v>26</v>
      </c>
      <c r="G1481" s="60">
        <v>45448.0</v>
      </c>
      <c r="H1481" s="27">
        <v>1379.4</v>
      </c>
      <c r="I1481" s="28">
        <v>10.0</v>
      </c>
      <c r="J1481" s="29" t="s">
        <v>54</v>
      </c>
      <c r="K1481" s="30">
        <v>0.3</v>
      </c>
      <c r="L1481" s="31">
        <f t="shared" si="1"/>
        <v>3</v>
      </c>
      <c r="M1481" s="31">
        <f t="shared" si="2"/>
        <v>7</v>
      </c>
      <c r="N1481" s="32">
        <f t="shared" si="3"/>
        <v>413.82</v>
      </c>
      <c r="O1481" s="32">
        <f t="shared" si="4"/>
        <v>965.58</v>
      </c>
      <c r="P1481" s="32">
        <f t="shared" si="5"/>
        <v>965.58</v>
      </c>
      <c r="Q1481" s="22">
        <v>0.0</v>
      </c>
      <c r="R1481" s="32">
        <f t="shared" si="6"/>
        <v>137.94</v>
      </c>
      <c r="S1481" s="33" t="s">
        <v>29</v>
      </c>
      <c r="T1481" s="33" t="s">
        <v>30</v>
      </c>
      <c r="U1481" s="34"/>
      <c r="V1481" s="35">
        <v>20422.0</v>
      </c>
      <c r="W1481" s="7"/>
      <c r="X1481" s="7"/>
      <c r="Y1481" s="7"/>
      <c r="Z1481" s="7"/>
      <c r="AA1481" s="7"/>
    </row>
    <row r="1482" ht="18.75" customHeight="1">
      <c r="A1482" s="8" t="s">
        <v>1546</v>
      </c>
      <c r="B1482" s="9" t="s">
        <v>1547</v>
      </c>
      <c r="C1482" s="9" t="s">
        <v>33</v>
      </c>
      <c r="D1482" s="10">
        <v>3127.0</v>
      </c>
      <c r="E1482" s="8" t="s">
        <v>1598</v>
      </c>
      <c r="F1482" s="11" t="s">
        <v>26</v>
      </c>
      <c r="G1482" s="12" t="s">
        <v>27</v>
      </c>
      <c r="H1482" s="13">
        <v>2298.99</v>
      </c>
      <c r="I1482" s="14">
        <v>10.0</v>
      </c>
      <c r="J1482" s="15" t="s">
        <v>54</v>
      </c>
      <c r="K1482" s="16">
        <v>0.3</v>
      </c>
      <c r="L1482" s="17">
        <f t="shared" si="1"/>
        <v>3</v>
      </c>
      <c r="M1482" s="17">
        <f t="shared" si="2"/>
        <v>7</v>
      </c>
      <c r="N1482" s="18">
        <f t="shared" si="3"/>
        <v>689.697</v>
      </c>
      <c r="O1482" s="18">
        <f t="shared" si="4"/>
        <v>1609.293</v>
      </c>
      <c r="P1482" s="18">
        <f t="shared" si="5"/>
        <v>1609.293</v>
      </c>
      <c r="Q1482" s="8">
        <v>0.0</v>
      </c>
      <c r="R1482" s="18">
        <f t="shared" si="6"/>
        <v>229.899</v>
      </c>
      <c r="S1482" s="19" t="s">
        <v>29</v>
      </c>
      <c r="T1482" s="19" t="s">
        <v>30</v>
      </c>
      <c r="U1482" s="36" t="s">
        <v>423</v>
      </c>
      <c r="V1482" s="37"/>
      <c r="W1482" s="7"/>
      <c r="X1482" s="7"/>
      <c r="Y1482" s="7"/>
      <c r="Z1482" s="7"/>
      <c r="AA1482" s="7"/>
    </row>
    <row r="1483" ht="18.75" customHeight="1">
      <c r="A1483" s="22" t="s">
        <v>1546</v>
      </c>
      <c r="B1483" s="23" t="s">
        <v>1547</v>
      </c>
      <c r="C1483" s="23" t="s">
        <v>33</v>
      </c>
      <c r="D1483" s="24">
        <v>3136.0</v>
      </c>
      <c r="E1483" s="22" t="s">
        <v>1599</v>
      </c>
      <c r="F1483" s="25" t="s">
        <v>26</v>
      </c>
      <c r="G1483" s="26" t="s">
        <v>27</v>
      </c>
      <c r="H1483" s="27">
        <v>6246.9</v>
      </c>
      <c r="I1483" s="28">
        <v>5.0</v>
      </c>
      <c r="J1483" s="29" t="s">
        <v>54</v>
      </c>
      <c r="K1483" s="30">
        <v>0.3</v>
      </c>
      <c r="L1483" s="31">
        <f t="shared" si="1"/>
        <v>1.5</v>
      </c>
      <c r="M1483" s="31">
        <f t="shared" si="2"/>
        <v>3.5</v>
      </c>
      <c r="N1483" s="32">
        <f t="shared" si="3"/>
        <v>1874.07</v>
      </c>
      <c r="O1483" s="32">
        <f t="shared" si="4"/>
        <v>4372.83</v>
      </c>
      <c r="P1483" s="32">
        <f t="shared" si="5"/>
        <v>4372.83</v>
      </c>
      <c r="Q1483" s="22">
        <v>0.0</v>
      </c>
      <c r="R1483" s="32">
        <f t="shared" si="6"/>
        <v>1249.38</v>
      </c>
      <c r="S1483" s="33" t="s">
        <v>29</v>
      </c>
      <c r="T1483" s="33" t="s">
        <v>30</v>
      </c>
      <c r="U1483" s="34" t="s">
        <v>333</v>
      </c>
      <c r="V1483" s="35"/>
      <c r="W1483" s="7"/>
      <c r="X1483" s="7"/>
      <c r="Y1483" s="7"/>
      <c r="Z1483" s="7"/>
      <c r="AA1483" s="7"/>
    </row>
    <row r="1484" ht="18.75" customHeight="1">
      <c r="A1484" s="8" t="s">
        <v>1600</v>
      </c>
      <c r="B1484" s="61" t="s">
        <v>1601</v>
      </c>
      <c r="C1484" s="61" t="s">
        <v>145</v>
      </c>
      <c r="D1484" s="62">
        <v>0.0</v>
      </c>
      <c r="E1484" s="8" t="s">
        <v>1602</v>
      </c>
      <c r="F1484" s="11" t="s">
        <v>26</v>
      </c>
      <c r="G1484" s="12" t="s">
        <v>27</v>
      </c>
      <c r="H1484" s="13">
        <v>463.56</v>
      </c>
      <c r="I1484" s="14">
        <v>5.0</v>
      </c>
      <c r="J1484" s="15" t="s">
        <v>38</v>
      </c>
      <c r="K1484" s="16">
        <v>0.5</v>
      </c>
      <c r="L1484" s="17">
        <f t="shared" si="1"/>
        <v>2.5</v>
      </c>
      <c r="M1484" s="17">
        <f t="shared" si="2"/>
        <v>2.5</v>
      </c>
      <c r="N1484" s="18">
        <f t="shared" si="3"/>
        <v>231.78</v>
      </c>
      <c r="O1484" s="18">
        <f t="shared" si="4"/>
        <v>231.78</v>
      </c>
      <c r="P1484" s="18">
        <f t="shared" si="5"/>
        <v>231.78</v>
      </c>
      <c r="Q1484" s="8">
        <v>0.0</v>
      </c>
      <c r="R1484" s="18">
        <f t="shared" si="6"/>
        <v>92.712</v>
      </c>
      <c r="S1484" s="19" t="s">
        <v>29</v>
      </c>
      <c r="T1484" s="19" t="s">
        <v>30</v>
      </c>
      <c r="U1484" s="20" t="s">
        <v>125</v>
      </c>
      <c r="V1484" s="37"/>
      <c r="W1484" s="7"/>
      <c r="X1484" s="7"/>
      <c r="Y1484" s="7"/>
      <c r="Z1484" s="7"/>
      <c r="AA1484" s="7"/>
    </row>
    <row r="1485" ht="18.75" customHeight="1">
      <c r="A1485" s="22" t="s">
        <v>1600</v>
      </c>
      <c r="B1485" s="63" t="s">
        <v>1601</v>
      </c>
      <c r="C1485" s="63" t="s">
        <v>24</v>
      </c>
      <c r="D1485" s="64">
        <v>0.0</v>
      </c>
      <c r="E1485" s="22" t="s">
        <v>1603</v>
      </c>
      <c r="F1485" s="25" t="s">
        <v>26</v>
      </c>
      <c r="G1485" s="26" t="s">
        <v>27</v>
      </c>
      <c r="H1485" s="27">
        <v>106.44</v>
      </c>
      <c r="I1485" s="28">
        <v>5.0</v>
      </c>
      <c r="J1485" s="29" t="s">
        <v>54</v>
      </c>
      <c r="K1485" s="30">
        <v>0.3</v>
      </c>
      <c r="L1485" s="31">
        <f t="shared" si="1"/>
        <v>1.5</v>
      </c>
      <c r="M1485" s="31">
        <f t="shared" si="2"/>
        <v>3.5</v>
      </c>
      <c r="N1485" s="32">
        <f t="shared" si="3"/>
        <v>31.932</v>
      </c>
      <c r="O1485" s="32">
        <f t="shared" si="4"/>
        <v>74.508</v>
      </c>
      <c r="P1485" s="32">
        <f t="shared" si="5"/>
        <v>74.508</v>
      </c>
      <c r="Q1485" s="22">
        <v>0.0</v>
      </c>
      <c r="R1485" s="32">
        <f t="shared" si="6"/>
        <v>21.288</v>
      </c>
      <c r="S1485" s="33" t="s">
        <v>29</v>
      </c>
      <c r="T1485" s="33" t="s">
        <v>30</v>
      </c>
      <c r="U1485" s="34" t="s">
        <v>133</v>
      </c>
      <c r="V1485" s="35"/>
      <c r="W1485" s="7"/>
      <c r="X1485" s="7"/>
      <c r="Y1485" s="7"/>
      <c r="Z1485" s="7"/>
      <c r="AA1485" s="7"/>
    </row>
    <row r="1486" ht="18.75" customHeight="1">
      <c r="A1486" s="8" t="s">
        <v>1600</v>
      </c>
      <c r="B1486" s="61" t="s">
        <v>1601</v>
      </c>
      <c r="C1486" s="61" t="s">
        <v>24</v>
      </c>
      <c r="D1486" s="62">
        <v>0.0</v>
      </c>
      <c r="E1486" s="8" t="s">
        <v>1604</v>
      </c>
      <c r="F1486" s="11" t="s">
        <v>26</v>
      </c>
      <c r="G1486" s="12" t="s">
        <v>27</v>
      </c>
      <c r="H1486" s="13">
        <v>51.9</v>
      </c>
      <c r="I1486" s="14">
        <v>5.0</v>
      </c>
      <c r="J1486" s="15" t="s">
        <v>54</v>
      </c>
      <c r="K1486" s="16">
        <v>0.3</v>
      </c>
      <c r="L1486" s="17">
        <f t="shared" si="1"/>
        <v>1.5</v>
      </c>
      <c r="M1486" s="17">
        <f t="shared" si="2"/>
        <v>3.5</v>
      </c>
      <c r="N1486" s="18">
        <f t="shared" si="3"/>
        <v>15.57</v>
      </c>
      <c r="O1486" s="18">
        <f t="shared" si="4"/>
        <v>36.33</v>
      </c>
      <c r="P1486" s="18">
        <f t="shared" si="5"/>
        <v>36.33</v>
      </c>
      <c r="Q1486" s="8">
        <v>0.0</v>
      </c>
      <c r="R1486" s="18">
        <f t="shared" si="6"/>
        <v>10.38</v>
      </c>
      <c r="S1486" s="19" t="s">
        <v>29</v>
      </c>
      <c r="T1486" s="19" t="s">
        <v>30</v>
      </c>
      <c r="U1486" s="20" t="s">
        <v>135</v>
      </c>
      <c r="V1486" s="37"/>
      <c r="W1486" s="7"/>
      <c r="X1486" s="7"/>
      <c r="Y1486" s="7"/>
      <c r="Z1486" s="7"/>
      <c r="AA1486" s="7"/>
    </row>
    <row r="1487" ht="18.75" customHeight="1">
      <c r="A1487" s="22" t="s">
        <v>1600</v>
      </c>
      <c r="B1487" s="63" t="s">
        <v>1601</v>
      </c>
      <c r="C1487" s="63" t="s">
        <v>24</v>
      </c>
      <c r="D1487" s="64">
        <v>0.0</v>
      </c>
      <c r="E1487" s="22" t="s">
        <v>1605</v>
      </c>
      <c r="F1487" s="25" t="s">
        <v>26</v>
      </c>
      <c r="G1487" s="26" t="s">
        <v>27</v>
      </c>
      <c r="H1487" s="27">
        <v>22.9</v>
      </c>
      <c r="I1487" s="28">
        <v>5.0</v>
      </c>
      <c r="J1487" s="29" t="s">
        <v>54</v>
      </c>
      <c r="K1487" s="30">
        <v>0.3</v>
      </c>
      <c r="L1487" s="31">
        <f t="shared" si="1"/>
        <v>1.5</v>
      </c>
      <c r="M1487" s="31">
        <f t="shared" si="2"/>
        <v>3.5</v>
      </c>
      <c r="N1487" s="32">
        <f t="shared" si="3"/>
        <v>6.87</v>
      </c>
      <c r="O1487" s="32">
        <f t="shared" si="4"/>
        <v>16.03</v>
      </c>
      <c r="P1487" s="32">
        <f t="shared" si="5"/>
        <v>16.03</v>
      </c>
      <c r="Q1487" s="22">
        <v>0.0</v>
      </c>
      <c r="R1487" s="32">
        <f t="shared" si="6"/>
        <v>4.58</v>
      </c>
      <c r="S1487" s="33" t="s">
        <v>29</v>
      </c>
      <c r="T1487" s="33" t="s">
        <v>30</v>
      </c>
      <c r="U1487" s="38" t="s">
        <v>1606</v>
      </c>
      <c r="V1487" s="35"/>
      <c r="W1487" s="7"/>
      <c r="X1487" s="7"/>
      <c r="Y1487" s="7"/>
      <c r="Z1487" s="7"/>
      <c r="AA1487" s="7"/>
    </row>
    <row r="1488" ht="18.75" customHeight="1">
      <c r="A1488" s="8" t="s">
        <v>1600</v>
      </c>
      <c r="B1488" s="61" t="s">
        <v>1601</v>
      </c>
      <c r="C1488" s="61" t="s">
        <v>145</v>
      </c>
      <c r="D1488" s="62">
        <v>0.0</v>
      </c>
      <c r="E1488" s="8" t="s">
        <v>1607</v>
      </c>
      <c r="F1488" s="11" t="s">
        <v>26</v>
      </c>
      <c r="G1488" s="12" t="s">
        <v>27</v>
      </c>
      <c r="H1488" s="13">
        <v>463.56</v>
      </c>
      <c r="I1488" s="14">
        <v>5.0</v>
      </c>
      <c r="J1488" s="15" t="s">
        <v>38</v>
      </c>
      <c r="K1488" s="16">
        <v>0.5</v>
      </c>
      <c r="L1488" s="17">
        <f t="shared" si="1"/>
        <v>2.5</v>
      </c>
      <c r="M1488" s="17">
        <f t="shared" si="2"/>
        <v>2.5</v>
      </c>
      <c r="N1488" s="18">
        <f t="shared" si="3"/>
        <v>231.78</v>
      </c>
      <c r="O1488" s="18">
        <f t="shared" si="4"/>
        <v>231.78</v>
      </c>
      <c r="P1488" s="18">
        <f t="shared" si="5"/>
        <v>231.78</v>
      </c>
      <c r="Q1488" s="8">
        <v>0.0</v>
      </c>
      <c r="R1488" s="18">
        <f t="shared" si="6"/>
        <v>92.712</v>
      </c>
      <c r="S1488" s="19" t="s">
        <v>29</v>
      </c>
      <c r="T1488" s="19" t="s">
        <v>30</v>
      </c>
      <c r="U1488" s="20" t="s">
        <v>125</v>
      </c>
      <c r="V1488" s="37"/>
      <c r="W1488" s="7"/>
      <c r="X1488" s="7"/>
      <c r="Y1488" s="7"/>
      <c r="Z1488" s="7"/>
      <c r="AA1488" s="7"/>
    </row>
    <row r="1489" ht="18.75" customHeight="1">
      <c r="A1489" s="22" t="s">
        <v>1600</v>
      </c>
      <c r="B1489" s="63" t="s">
        <v>1601</v>
      </c>
      <c r="C1489" s="63" t="s">
        <v>33</v>
      </c>
      <c r="D1489" s="51">
        <v>0.0</v>
      </c>
      <c r="E1489" s="22" t="s">
        <v>1608</v>
      </c>
      <c r="F1489" s="25" t="s">
        <v>26</v>
      </c>
      <c r="G1489" s="26" t="s">
        <v>27</v>
      </c>
      <c r="H1489" s="27">
        <v>463.56</v>
      </c>
      <c r="I1489" s="28">
        <v>5.0</v>
      </c>
      <c r="J1489" s="29" t="s">
        <v>38</v>
      </c>
      <c r="K1489" s="30">
        <v>0.5</v>
      </c>
      <c r="L1489" s="31">
        <f t="shared" si="1"/>
        <v>2.5</v>
      </c>
      <c r="M1489" s="31">
        <f t="shared" si="2"/>
        <v>2.5</v>
      </c>
      <c r="N1489" s="32">
        <f t="shared" si="3"/>
        <v>231.78</v>
      </c>
      <c r="O1489" s="32">
        <f t="shared" si="4"/>
        <v>231.78</v>
      </c>
      <c r="P1489" s="32">
        <f t="shared" si="5"/>
        <v>231.78</v>
      </c>
      <c r="Q1489" s="22">
        <v>0.0</v>
      </c>
      <c r="R1489" s="32">
        <f t="shared" si="6"/>
        <v>92.712</v>
      </c>
      <c r="S1489" s="33" t="s">
        <v>29</v>
      </c>
      <c r="T1489" s="33" t="s">
        <v>30</v>
      </c>
      <c r="U1489" s="34" t="s">
        <v>125</v>
      </c>
      <c r="V1489" s="35"/>
      <c r="W1489" s="7"/>
      <c r="X1489" s="7"/>
      <c r="Y1489" s="7"/>
      <c r="Z1489" s="7"/>
      <c r="AA1489" s="7"/>
    </row>
    <row r="1490" ht="18.75" customHeight="1">
      <c r="A1490" s="8" t="s">
        <v>1600</v>
      </c>
      <c r="B1490" s="61" t="s">
        <v>1601</v>
      </c>
      <c r="C1490" s="61" t="s">
        <v>24</v>
      </c>
      <c r="D1490" s="62">
        <v>0.0</v>
      </c>
      <c r="E1490" s="8" t="s">
        <v>1609</v>
      </c>
      <c r="F1490" s="11" t="s">
        <v>26</v>
      </c>
      <c r="G1490" s="12" t="s">
        <v>27</v>
      </c>
      <c r="H1490" s="13">
        <v>78.9</v>
      </c>
      <c r="I1490" s="14">
        <v>5.0</v>
      </c>
      <c r="J1490" s="15" t="s">
        <v>54</v>
      </c>
      <c r="K1490" s="16">
        <v>0.3</v>
      </c>
      <c r="L1490" s="17">
        <f t="shared" si="1"/>
        <v>1.5</v>
      </c>
      <c r="M1490" s="17">
        <f t="shared" si="2"/>
        <v>3.5</v>
      </c>
      <c r="N1490" s="18">
        <f t="shared" si="3"/>
        <v>23.67</v>
      </c>
      <c r="O1490" s="18">
        <f t="shared" si="4"/>
        <v>55.23</v>
      </c>
      <c r="P1490" s="18">
        <f t="shared" si="5"/>
        <v>55.23</v>
      </c>
      <c r="Q1490" s="8">
        <v>0.0</v>
      </c>
      <c r="R1490" s="18">
        <f t="shared" si="6"/>
        <v>15.78</v>
      </c>
      <c r="S1490" s="19" t="s">
        <v>29</v>
      </c>
      <c r="T1490" s="19" t="s">
        <v>30</v>
      </c>
      <c r="U1490" s="36" t="s">
        <v>1610</v>
      </c>
      <c r="V1490" s="37"/>
      <c r="W1490" s="7"/>
      <c r="X1490" s="7"/>
      <c r="Y1490" s="7"/>
      <c r="Z1490" s="7"/>
      <c r="AA1490" s="7"/>
    </row>
    <row r="1491" ht="18.75" customHeight="1">
      <c r="A1491" s="22" t="s">
        <v>1600</v>
      </c>
      <c r="B1491" s="63" t="s">
        <v>1601</v>
      </c>
      <c r="C1491" s="63" t="s">
        <v>33</v>
      </c>
      <c r="D1491" s="64">
        <v>0.0</v>
      </c>
      <c r="E1491" s="22" t="s">
        <v>1611</v>
      </c>
      <c r="F1491" s="25" t="s">
        <v>26</v>
      </c>
      <c r="G1491" s="26" t="s">
        <v>27</v>
      </c>
      <c r="H1491" s="27">
        <v>651.75</v>
      </c>
      <c r="I1491" s="28">
        <v>5.0</v>
      </c>
      <c r="J1491" s="29" t="s">
        <v>38</v>
      </c>
      <c r="K1491" s="30">
        <v>0.5</v>
      </c>
      <c r="L1491" s="31">
        <f t="shared" si="1"/>
        <v>2.5</v>
      </c>
      <c r="M1491" s="31">
        <f t="shared" si="2"/>
        <v>2.5</v>
      </c>
      <c r="N1491" s="32">
        <f t="shared" si="3"/>
        <v>325.875</v>
      </c>
      <c r="O1491" s="32">
        <f t="shared" si="4"/>
        <v>325.875</v>
      </c>
      <c r="P1491" s="32">
        <f t="shared" si="5"/>
        <v>325.875</v>
      </c>
      <c r="Q1491" s="22">
        <v>0.0</v>
      </c>
      <c r="R1491" s="32">
        <f t="shared" si="6"/>
        <v>130.35</v>
      </c>
      <c r="S1491" s="33" t="s">
        <v>29</v>
      </c>
      <c r="T1491" s="33" t="s">
        <v>30</v>
      </c>
      <c r="U1491" s="34" t="s">
        <v>121</v>
      </c>
      <c r="V1491" s="35"/>
      <c r="W1491" s="7"/>
      <c r="X1491" s="7"/>
      <c r="Y1491" s="7"/>
      <c r="Z1491" s="7"/>
      <c r="AA1491" s="7"/>
    </row>
    <row r="1492" ht="18.75" customHeight="1">
      <c r="A1492" s="8" t="s">
        <v>1600</v>
      </c>
      <c r="B1492" s="61" t="s">
        <v>1601</v>
      </c>
      <c r="C1492" s="61" t="s">
        <v>33</v>
      </c>
      <c r="D1492" s="62">
        <v>0.0</v>
      </c>
      <c r="E1492" s="8" t="s">
        <v>1612</v>
      </c>
      <c r="F1492" s="11" t="s">
        <v>26</v>
      </c>
      <c r="G1492" s="12" t="s">
        <v>27</v>
      </c>
      <c r="H1492" s="13">
        <v>651.75</v>
      </c>
      <c r="I1492" s="14">
        <v>5.0</v>
      </c>
      <c r="J1492" s="15" t="s">
        <v>38</v>
      </c>
      <c r="K1492" s="16">
        <v>0.5</v>
      </c>
      <c r="L1492" s="17">
        <f t="shared" si="1"/>
        <v>2.5</v>
      </c>
      <c r="M1492" s="17">
        <f t="shared" si="2"/>
        <v>2.5</v>
      </c>
      <c r="N1492" s="18">
        <f t="shared" si="3"/>
        <v>325.875</v>
      </c>
      <c r="O1492" s="18">
        <f t="shared" si="4"/>
        <v>325.875</v>
      </c>
      <c r="P1492" s="18">
        <f t="shared" si="5"/>
        <v>325.875</v>
      </c>
      <c r="Q1492" s="8">
        <v>0.0</v>
      </c>
      <c r="R1492" s="18">
        <f t="shared" si="6"/>
        <v>130.35</v>
      </c>
      <c r="S1492" s="19" t="s">
        <v>29</v>
      </c>
      <c r="T1492" s="19" t="s">
        <v>30</v>
      </c>
      <c r="U1492" s="20" t="s">
        <v>121</v>
      </c>
      <c r="V1492" s="37"/>
      <c r="W1492" s="7"/>
      <c r="X1492" s="7"/>
      <c r="Y1492" s="7"/>
      <c r="Z1492" s="7"/>
      <c r="AA1492" s="7"/>
    </row>
    <row r="1493" ht="18.75" customHeight="1">
      <c r="A1493" s="22" t="s">
        <v>1600</v>
      </c>
      <c r="B1493" s="63" t="s">
        <v>1601</v>
      </c>
      <c r="C1493" s="63" t="s">
        <v>24</v>
      </c>
      <c r="D1493" s="64">
        <v>0.0</v>
      </c>
      <c r="E1493" s="22" t="s">
        <v>1613</v>
      </c>
      <c r="F1493" s="25" t="s">
        <v>26</v>
      </c>
      <c r="G1493" s="26" t="s">
        <v>27</v>
      </c>
      <c r="H1493" s="27">
        <v>156.42</v>
      </c>
      <c r="I1493" s="28">
        <v>5.0</v>
      </c>
      <c r="J1493" s="29" t="s">
        <v>28</v>
      </c>
      <c r="K1493" s="30">
        <v>0.4</v>
      </c>
      <c r="L1493" s="31">
        <f t="shared" si="1"/>
        <v>2</v>
      </c>
      <c r="M1493" s="31">
        <f t="shared" si="2"/>
        <v>3</v>
      </c>
      <c r="N1493" s="32">
        <f t="shared" si="3"/>
        <v>62.568</v>
      </c>
      <c r="O1493" s="32">
        <f t="shared" si="4"/>
        <v>93.852</v>
      </c>
      <c r="P1493" s="32">
        <f t="shared" si="5"/>
        <v>93.852</v>
      </c>
      <c r="Q1493" s="22">
        <v>0.0</v>
      </c>
      <c r="R1493" s="32">
        <f t="shared" si="6"/>
        <v>31.284</v>
      </c>
      <c r="S1493" s="33" t="s">
        <v>29</v>
      </c>
      <c r="T1493" s="33" t="s">
        <v>30</v>
      </c>
      <c r="U1493" s="38" t="s">
        <v>1614</v>
      </c>
      <c r="V1493" s="35"/>
      <c r="W1493" s="7"/>
      <c r="X1493" s="7"/>
      <c r="Y1493" s="7"/>
      <c r="Z1493" s="7"/>
      <c r="AA1493" s="7"/>
    </row>
    <row r="1494" ht="18.75" customHeight="1">
      <c r="A1494" s="8" t="s">
        <v>1600</v>
      </c>
      <c r="B1494" s="61" t="s">
        <v>1601</v>
      </c>
      <c r="C1494" s="61" t="s">
        <v>24</v>
      </c>
      <c r="D1494" s="62">
        <v>0.0</v>
      </c>
      <c r="E1494" s="8" t="s">
        <v>1615</v>
      </c>
      <c r="F1494" s="11" t="s">
        <v>26</v>
      </c>
      <c r="G1494" s="12" t="s">
        <v>27</v>
      </c>
      <c r="H1494" s="13">
        <v>156.42</v>
      </c>
      <c r="I1494" s="14">
        <v>5.0</v>
      </c>
      <c r="J1494" s="15" t="s">
        <v>28</v>
      </c>
      <c r="K1494" s="16">
        <v>0.4</v>
      </c>
      <c r="L1494" s="17">
        <f t="shared" si="1"/>
        <v>2</v>
      </c>
      <c r="M1494" s="17">
        <f t="shared" si="2"/>
        <v>3</v>
      </c>
      <c r="N1494" s="18">
        <f t="shared" si="3"/>
        <v>62.568</v>
      </c>
      <c r="O1494" s="18">
        <f t="shared" si="4"/>
        <v>93.852</v>
      </c>
      <c r="P1494" s="18">
        <f t="shared" si="5"/>
        <v>93.852</v>
      </c>
      <c r="Q1494" s="8">
        <v>0.0</v>
      </c>
      <c r="R1494" s="18">
        <f t="shared" si="6"/>
        <v>31.284</v>
      </c>
      <c r="S1494" s="19" t="s">
        <v>29</v>
      </c>
      <c r="T1494" s="19" t="s">
        <v>30</v>
      </c>
      <c r="U1494" s="36" t="s">
        <v>1614</v>
      </c>
      <c r="V1494" s="37"/>
      <c r="W1494" s="7"/>
      <c r="X1494" s="7"/>
      <c r="Y1494" s="7"/>
      <c r="Z1494" s="7"/>
      <c r="AA1494" s="7"/>
    </row>
    <row r="1495" ht="18.75" customHeight="1">
      <c r="A1495" s="22" t="s">
        <v>1600</v>
      </c>
      <c r="B1495" s="63" t="s">
        <v>1601</v>
      </c>
      <c r="C1495" s="63" t="s">
        <v>33</v>
      </c>
      <c r="D1495" s="64">
        <v>0.0</v>
      </c>
      <c r="E1495" s="22" t="s">
        <v>1616</v>
      </c>
      <c r="F1495" s="25" t="s">
        <v>26</v>
      </c>
      <c r="G1495" s="26" t="s">
        <v>27</v>
      </c>
      <c r="H1495" s="27">
        <v>576.47</v>
      </c>
      <c r="I1495" s="28">
        <v>5.0</v>
      </c>
      <c r="J1495" s="29" t="s">
        <v>38</v>
      </c>
      <c r="K1495" s="30">
        <v>0.5</v>
      </c>
      <c r="L1495" s="31">
        <f t="shared" si="1"/>
        <v>2.5</v>
      </c>
      <c r="M1495" s="31">
        <f t="shared" si="2"/>
        <v>2.5</v>
      </c>
      <c r="N1495" s="32">
        <f t="shared" si="3"/>
        <v>288.235</v>
      </c>
      <c r="O1495" s="32">
        <f t="shared" si="4"/>
        <v>288.235</v>
      </c>
      <c r="P1495" s="32">
        <f t="shared" si="5"/>
        <v>288.235</v>
      </c>
      <c r="Q1495" s="22">
        <v>0.0</v>
      </c>
      <c r="R1495" s="32">
        <f t="shared" si="6"/>
        <v>115.294</v>
      </c>
      <c r="S1495" s="33" t="s">
        <v>29</v>
      </c>
      <c r="T1495" s="33" t="s">
        <v>30</v>
      </c>
      <c r="U1495" s="34" t="s">
        <v>114</v>
      </c>
      <c r="V1495" s="35"/>
      <c r="W1495" s="7"/>
      <c r="X1495" s="7"/>
      <c r="Y1495" s="7"/>
      <c r="Z1495" s="7"/>
      <c r="AA1495" s="7"/>
    </row>
    <row r="1496" ht="18.75" customHeight="1">
      <c r="A1496" s="8" t="s">
        <v>1600</v>
      </c>
      <c r="B1496" s="61" t="s">
        <v>1601</v>
      </c>
      <c r="C1496" s="61" t="s">
        <v>33</v>
      </c>
      <c r="D1496" s="50">
        <v>0.0</v>
      </c>
      <c r="E1496" s="8" t="s">
        <v>1617</v>
      </c>
      <c r="F1496" s="11" t="s">
        <v>26</v>
      </c>
      <c r="G1496" s="12" t="s">
        <v>27</v>
      </c>
      <c r="H1496" s="13">
        <v>576.47</v>
      </c>
      <c r="I1496" s="14">
        <v>5.0</v>
      </c>
      <c r="J1496" s="15" t="s">
        <v>38</v>
      </c>
      <c r="K1496" s="16">
        <v>0.5</v>
      </c>
      <c r="L1496" s="17">
        <f t="shared" si="1"/>
        <v>2.5</v>
      </c>
      <c r="M1496" s="17">
        <f t="shared" si="2"/>
        <v>2.5</v>
      </c>
      <c r="N1496" s="18">
        <f t="shared" si="3"/>
        <v>288.235</v>
      </c>
      <c r="O1496" s="18">
        <f t="shared" si="4"/>
        <v>288.235</v>
      </c>
      <c r="P1496" s="18">
        <f t="shared" si="5"/>
        <v>288.235</v>
      </c>
      <c r="Q1496" s="8">
        <v>0.0</v>
      </c>
      <c r="R1496" s="18">
        <f t="shared" si="6"/>
        <v>115.294</v>
      </c>
      <c r="S1496" s="19" t="s">
        <v>29</v>
      </c>
      <c r="T1496" s="19" t="s">
        <v>30</v>
      </c>
      <c r="U1496" s="20" t="s">
        <v>114</v>
      </c>
      <c r="V1496" s="37"/>
      <c r="W1496" s="7"/>
      <c r="X1496" s="7"/>
      <c r="Y1496" s="7"/>
      <c r="Z1496" s="7"/>
      <c r="AA1496" s="7"/>
    </row>
    <row r="1497" ht="18.75" customHeight="1">
      <c r="A1497" s="22" t="s">
        <v>1600</v>
      </c>
      <c r="B1497" s="63" t="s">
        <v>1601</v>
      </c>
      <c r="C1497" s="63" t="s">
        <v>33</v>
      </c>
      <c r="D1497" s="51">
        <v>0.0</v>
      </c>
      <c r="E1497" s="22" t="s">
        <v>1618</v>
      </c>
      <c r="F1497" s="25" t="s">
        <v>26</v>
      </c>
      <c r="G1497" s="26" t="s">
        <v>27</v>
      </c>
      <c r="H1497" s="27">
        <v>576.47</v>
      </c>
      <c r="I1497" s="28">
        <v>5.0</v>
      </c>
      <c r="J1497" s="29" t="s">
        <v>38</v>
      </c>
      <c r="K1497" s="30">
        <v>0.5</v>
      </c>
      <c r="L1497" s="31">
        <f t="shared" si="1"/>
        <v>2.5</v>
      </c>
      <c r="M1497" s="31">
        <f t="shared" si="2"/>
        <v>2.5</v>
      </c>
      <c r="N1497" s="32">
        <f t="shared" si="3"/>
        <v>288.235</v>
      </c>
      <c r="O1497" s="32">
        <f t="shared" si="4"/>
        <v>288.235</v>
      </c>
      <c r="P1497" s="32">
        <f t="shared" si="5"/>
        <v>288.235</v>
      </c>
      <c r="Q1497" s="22">
        <v>0.0</v>
      </c>
      <c r="R1497" s="32">
        <f t="shared" si="6"/>
        <v>115.294</v>
      </c>
      <c r="S1497" s="33" t="s">
        <v>29</v>
      </c>
      <c r="T1497" s="33" t="s">
        <v>30</v>
      </c>
      <c r="U1497" s="34" t="s">
        <v>114</v>
      </c>
      <c r="V1497" s="35"/>
      <c r="W1497" s="7"/>
      <c r="X1497" s="7"/>
      <c r="Y1497" s="7"/>
      <c r="Z1497" s="7"/>
      <c r="AA1497" s="7"/>
    </row>
    <row r="1498" ht="18.75" customHeight="1">
      <c r="A1498" s="8" t="s">
        <v>1600</v>
      </c>
      <c r="B1498" s="61" t="s">
        <v>1601</v>
      </c>
      <c r="C1498" s="61" t="s">
        <v>24</v>
      </c>
      <c r="D1498" s="62">
        <v>0.0</v>
      </c>
      <c r="E1498" s="8" t="s">
        <v>1619</v>
      </c>
      <c r="F1498" s="11" t="s">
        <v>26</v>
      </c>
      <c r="G1498" s="12" t="s">
        <v>27</v>
      </c>
      <c r="H1498" s="13">
        <v>44.9</v>
      </c>
      <c r="I1498" s="14">
        <v>20.0</v>
      </c>
      <c r="J1498" s="15" t="s">
        <v>54</v>
      </c>
      <c r="K1498" s="16">
        <v>0.3</v>
      </c>
      <c r="L1498" s="17">
        <f t="shared" si="1"/>
        <v>6</v>
      </c>
      <c r="M1498" s="17">
        <f t="shared" si="2"/>
        <v>14</v>
      </c>
      <c r="N1498" s="18">
        <f t="shared" si="3"/>
        <v>13.47</v>
      </c>
      <c r="O1498" s="18">
        <f t="shared" si="4"/>
        <v>31.43</v>
      </c>
      <c r="P1498" s="18">
        <f t="shared" si="5"/>
        <v>31.43</v>
      </c>
      <c r="Q1498" s="8">
        <v>0.0</v>
      </c>
      <c r="R1498" s="18">
        <f t="shared" si="6"/>
        <v>2.245</v>
      </c>
      <c r="S1498" s="19" t="s">
        <v>29</v>
      </c>
      <c r="T1498" s="19" t="s">
        <v>30</v>
      </c>
      <c r="U1498" s="20" t="s">
        <v>167</v>
      </c>
      <c r="V1498" s="37"/>
      <c r="W1498" s="7"/>
      <c r="X1498" s="7"/>
      <c r="Y1498" s="7"/>
      <c r="Z1498" s="7"/>
      <c r="AA1498" s="7"/>
    </row>
    <row r="1499" ht="18.75" customHeight="1">
      <c r="A1499" s="22" t="s">
        <v>1600</v>
      </c>
      <c r="B1499" s="63" t="s">
        <v>1601</v>
      </c>
      <c r="C1499" s="63" t="s">
        <v>24</v>
      </c>
      <c r="D1499" s="64">
        <v>0.0</v>
      </c>
      <c r="E1499" s="22" t="s">
        <v>1620</v>
      </c>
      <c r="F1499" s="25" t="s">
        <v>26</v>
      </c>
      <c r="G1499" s="26" t="s">
        <v>27</v>
      </c>
      <c r="H1499" s="27">
        <v>39.43</v>
      </c>
      <c r="I1499" s="28">
        <v>5.0</v>
      </c>
      <c r="J1499" s="29" t="s">
        <v>38</v>
      </c>
      <c r="K1499" s="30">
        <v>0.5</v>
      </c>
      <c r="L1499" s="31">
        <f t="shared" si="1"/>
        <v>2.5</v>
      </c>
      <c r="M1499" s="31">
        <f t="shared" si="2"/>
        <v>2.5</v>
      </c>
      <c r="N1499" s="32">
        <f t="shared" si="3"/>
        <v>19.715</v>
      </c>
      <c r="O1499" s="32">
        <f t="shared" si="4"/>
        <v>19.715</v>
      </c>
      <c r="P1499" s="32">
        <f t="shared" si="5"/>
        <v>19.715</v>
      </c>
      <c r="Q1499" s="22">
        <v>0.0</v>
      </c>
      <c r="R1499" s="32">
        <f t="shared" si="6"/>
        <v>7.886</v>
      </c>
      <c r="S1499" s="33" t="s">
        <v>29</v>
      </c>
      <c r="T1499" s="33" t="s">
        <v>30</v>
      </c>
      <c r="U1499" s="34" t="s">
        <v>502</v>
      </c>
      <c r="V1499" s="35"/>
      <c r="W1499" s="7"/>
      <c r="X1499" s="7"/>
      <c r="Y1499" s="7"/>
      <c r="Z1499" s="7"/>
      <c r="AA1499" s="7"/>
    </row>
    <row r="1500" ht="18.75" customHeight="1">
      <c r="A1500" s="8" t="s">
        <v>1600</v>
      </c>
      <c r="B1500" s="61" t="s">
        <v>1601</v>
      </c>
      <c r="C1500" s="61" t="s">
        <v>24</v>
      </c>
      <c r="D1500" s="62">
        <v>0.0</v>
      </c>
      <c r="E1500" s="8" t="s">
        <v>1621</v>
      </c>
      <c r="F1500" s="11" t="s">
        <v>26</v>
      </c>
      <c r="G1500" s="12" t="s">
        <v>27</v>
      </c>
      <c r="H1500" s="13">
        <v>54.15</v>
      </c>
      <c r="I1500" s="14">
        <v>5.0</v>
      </c>
      <c r="J1500" s="15" t="s">
        <v>38</v>
      </c>
      <c r="K1500" s="16">
        <v>0.5</v>
      </c>
      <c r="L1500" s="17">
        <f t="shared" si="1"/>
        <v>2.5</v>
      </c>
      <c r="M1500" s="17">
        <f t="shared" si="2"/>
        <v>2.5</v>
      </c>
      <c r="N1500" s="18">
        <f t="shared" si="3"/>
        <v>27.075</v>
      </c>
      <c r="O1500" s="18">
        <f t="shared" si="4"/>
        <v>27.075</v>
      </c>
      <c r="P1500" s="18">
        <f t="shared" si="5"/>
        <v>27.075</v>
      </c>
      <c r="Q1500" s="8">
        <v>0.0</v>
      </c>
      <c r="R1500" s="18">
        <f t="shared" si="6"/>
        <v>10.83</v>
      </c>
      <c r="S1500" s="19" t="s">
        <v>29</v>
      </c>
      <c r="T1500" s="19" t="s">
        <v>30</v>
      </c>
      <c r="U1500" s="20" t="s">
        <v>513</v>
      </c>
      <c r="V1500" s="37"/>
      <c r="W1500" s="7"/>
      <c r="X1500" s="7"/>
      <c r="Y1500" s="7"/>
      <c r="Z1500" s="7"/>
      <c r="AA1500" s="7"/>
    </row>
    <row r="1501" ht="18.75" customHeight="1">
      <c r="A1501" s="22" t="s">
        <v>1600</v>
      </c>
      <c r="B1501" s="63" t="s">
        <v>1601</v>
      </c>
      <c r="C1501" s="63" t="s">
        <v>24</v>
      </c>
      <c r="D1501" s="64">
        <v>0.0</v>
      </c>
      <c r="E1501" s="22" t="s">
        <v>1622</v>
      </c>
      <c r="F1501" s="25" t="s">
        <v>26</v>
      </c>
      <c r="G1501" s="26" t="s">
        <v>27</v>
      </c>
      <c r="H1501" s="27">
        <v>65.08</v>
      </c>
      <c r="I1501" s="28">
        <v>5.0</v>
      </c>
      <c r="J1501" s="29" t="s">
        <v>289</v>
      </c>
      <c r="K1501" s="30">
        <v>0.95</v>
      </c>
      <c r="L1501" s="31">
        <f t="shared" si="1"/>
        <v>4.75</v>
      </c>
      <c r="M1501" s="31">
        <f t="shared" si="2"/>
        <v>0.25</v>
      </c>
      <c r="N1501" s="32">
        <f t="shared" si="3"/>
        <v>61.826</v>
      </c>
      <c r="O1501" s="32">
        <f t="shared" si="4"/>
        <v>3.254</v>
      </c>
      <c r="P1501" s="32">
        <f t="shared" si="5"/>
        <v>3.254</v>
      </c>
      <c r="Q1501" s="22">
        <v>0.0</v>
      </c>
      <c r="R1501" s="32">
        <f t="shared" si="6"/>
        <v>13.016</v>
      </c>
      <c r="S1501" s="33" t="s">
        <v>29</v>
      </c>
      <c r="T1501" s="33" t="s">
        <v>30</v>
      </c>
      <c r="U1501" s="34" t="s">
        <v>515</v>
      </c>
      <c r="V1501" s="35"/>
      <c r="W1501" s="7"/>
      <c r="X1501" s="7"/>
      <c r="Y1501" s="7"/>
      <c r="Z1501" s="7"/>
      <c r="AA1501" s="7"/>
    </row>
    <row r="1502" ht="18.75" customHeight="1">
      <c r="A1502" s="8" t="s">
        <v>1600</v>
      </c>
      <c r="B1502" s="61" t="s">
        <v>1601</v>
      </c>
      <c r="C1502" s="61" t="s">
        <v>24</v>
      </c>
      <c r="D1502" s="62">
        <v>0.0</v>
      </c>
      <c r="E1502" s="8" t="s">
        <v>1623</v>
      </c>
      <c r="F1502" s="11" t="s">
        <v>26</v>
      </c>
      <c r="G1502" s="12" t="s">
        <v>27</v>
      </c>
      <c r="H1502" s="13">
        <v>88.83</v>
      </c>
      <c r="I1502" s="14">
        <v>5.0</v>
      </c>
      <c r="J1502" s="15" t="s">
        <v>38</v>
      </c>
      <c r="K1502" s="16">
        <v>0.5</v>
      </c>
      <c r="L1502" s="17">
        <f t="shared" si="1"/>
        <v>2.5</v>
      </c>
      <c r="M1502" s="17">
        <f t="shared" si="2"/>
        <v>2.5</v>
      </c>
      <c r="N1502" s="18">
        <f t="shared" si="3"/>
        <v>44.415</v>
      </c>
      <c r="O1502" s="18">
        <f t="shared" si="4"/>
        <v>44.415</v>
      </c>
      <c r="P1502" s="18">
        <f t="shared" si="5"/>
        <v>44.415</v>
      </c>
      <c r="Q1502" s="8">
        <v>0.0</v>
      </c>
      <c r="R1502" s="18">
        <f t="shared" si="6"/>
        <v>17.766</v>
      </c>
      <c r="S1502" s="19" t="s">
        <v>29</v>
      </c>
      <c r="T1502" s="19" t="s">
        <v>30</v>
      </c>
      <c r="U1502" s="20" t="s">
        <v>517</v>
      </c>
      <c r="V1502" s="37"/>
      <c r="W1502" s="7"/>
      <c r="X1502" s="7"/>
      <c r="Y1502" s="7"/>
      <c r="Z1502" s="7"/>
      <c r="AA1502" s="7"/>
    </row>
    <row r="1503" ht="18.75" customHeight="1">
      <c r="A1503" s="22" t="s">
        <v>1600</v>
      </c>
      <c r="B1503" s="63" t="s">
        <v>1601</v>
      </c>
      <c r="C1503" s="63" t="s">
        <v>24</v>
      </c>
      <c r="D1503" s="64">
        <v>0.0</v>
      </c>
      <c r="E1503" s="22" t="s">
        <v>1624</v>
      </c>
      <c r="F1503" s="25" t="s">
        <v>26</v>
      </c>
      <c r="G1503" s="26" t="s">
        <v>27</v>
      </c>
      <c r="H1503" s="27">
        <v>92.63</v>
      </c>
      <c r="I1503" s="28">
        <v>5.0</v>
      </c>
      <c r="J1503" s="29" t="s">
        <v>38</v>
      </c>
      <c r="K1503" s="30">
        <v>0.5</v>
      </c>
      <c r="L1503" s="31">
        <f t="shared" si="1"/>
        <v>2.5</v>
      </c>
      <c r="M1503" s="31">
        <f t="shared" si="2"/>
        <v>2.5</v>
      </c>
      <c r="N1503" s="32">
        <f t="shared" si="3"/>
        <v>46.315</v>
      </c>
      <c r="O1503" s="32">
        <f t="shared" si="4"/>
        <v>46.315</v>
      </c>
      <c r="P1503" s="32">
        <f t="shared" si="5"/>
        <v>46.315</v>
      </c>
      <c r="Q1503" s="22">
        <v>0.0</v>
      </c>
      <c r="R1503" s="32">
        <f t="shared" si="6"/>
        <v>18.526</v>
      </c>
      <c r="S1503" s="33" t="s">
        <v>29</v>
      </c>
      <c r="T1503" s="33" t="s">
        <v>30</v>
      </c>
      <c r="U1503" s="34" t="s">
        <v>899</v>
      </c>
      <c r="V1503" s="35"/>
      <c r="W1503" s="7"/>
      <c r="X1503" s="7"/>
      <c r="Y1503" s="7"/>
      <c r="Z1503" s="7"/>
      <c r="AA1503" s="7"/>
    </row>
    <row r="1504" ht="18.75" customHeight="1">
      <c r="A1504" s="8" t="s">
        <v>1600</v>
      </c>
      <c r="B1504" s="61" t="s">
        <v>1601</v>
      </c>
      <c r="C1504" s="61" t="s">
        <v>33</v>
      </c>
      <c r="D1504" s="50">
        <v>0.0</v>
      </c>
      <c r="E1504" s="8" t="s">
        <v>1625</v>
      </c>
      <c r="F1504" s="11" t="s">
        <v>26</v>
      </c>
      <c r="G1504" s="12" t="s">
        <v>27</v>
      </c>
      <c r="H1504" s="13">
        <v>623.61</v>
      </c>
      <c r="I1504" s="14">
        <v>5.0</v>
      </c>
      <c r="J1504" s="15" t="s">
        <v>38</v>
      </c>
      <c r="K1504" s="16">
        <v>0.5</v>
      </c>
      <c r="L1504" s="17">
        <f t="shared" si="1"/>
        <v>2.5</v>
      </c>
      <c r="M1504" s="17">
        <f t="shared" si="2"/>
        <v>2.5</v>
      </c>
      <c r="N1504" s="18">
        <f t="shared" si="3"/>
        <v>311.805</v>
      </c>
      <c r="O1504" s="18">
        <f t="shared" si="4"/>
        <v>311.805</v>
      </c>
      <c r="P1504" s="18">
        <f t="shared" si="5"/>
        <v>311.805</v>
      </c>
      <c r="Q1504" s="8">
        <v>0.0</v>
      </c>
      <c r="R1504" s="18">
        <f t="shared" si="6"/>
        <v>124.722</v>
      </c>
      <c r="S1504" s="19" t="s">
        <v>29</v>
      </c>
      <c r="T1504" s="19" t="s">
        <v>30</v>
      </c>
      <c r="U1504" s="20" t="s">
        <v>117</v>
      </c>
      <c r="V1504" s="37"/>
      <c r="W1504" s="7"/>
      <c r="X1504" s="7"/>
      <c r="Y1504" s="7"/>
      <c r="Z1504" s="7"/>
      <c r="AA1504" s="7"/>
    </row>
    <row r="1505" ht="18.75" customHeight="1">
      <c r="A1505" s="22" t="s">
        <v>1600</v>
      </c>
      <c r="B1505" s="63" t="s">
        <v>1601</v>
      </c>
      <c r="C1505" s="63" t="s">
        <v>33</v>
      </c>
      <c r="D1505" s="64">
        <v>0.0</v>
      </c>
      <c r="E1505" s="22" t="s">
        <v>1626</v>
      </c>
      <c r="F1505" s="25" t="s">
        <v>26</v>
      </c>
      <c r="G1505" s="26" t="s">
        <v>27</v>
      </c>
      <c r="H1505" s="27">
        <v>328.8</v>
      </c>
      <c r="I1505" s="28">
        <v>5.0</v>
      </c>
      <c r="J1505" s="29" t="s">
        <v>154</v>
      </c>
      <c r="K1505" s="30">
        <v>0.8</v>
      </c>
      <c r="L1505" s="31">
        <f t="shared" si="1"/>
        <v>4</v>
      </c>
      <c r="M1505" s="31">
        <f t="shared" si="2"/>
        <v>1</v>
      </c>
      <c r="N1505" s="32">
        <f t="shared" si="3"/>
        <v>263.04</v>
      </c>
      <c r="O1505" s="32">
        <f t="shared" si="4"/>
        <v>65.76</v>
      </c>
      <c r="P1505" s="32">
        <f t="shared" si="5"/>
        <v>65.76</v>
      </c>
      <c r="Q1505" s="22">
        <v>0.0</v>
      </c>
      <c r="R1505" s="32">
        <f t="shared" si="6"/>
        <v>65.76</v>
      </c>
      <c r="S1505" s="33" t="s">
        <v>29</v>
      </c>
      <c r="T1505" s="33" t="s">
        <v>30</v>
      </c>
      <c r="U1505" s="34" t="s">
        <v>344</v>
      </c>
      <c r="V1505" s="35"/>
      <c r="W1505" s="7"/>
      <c r="X1505" s="7"/>
      <c r="Y1505" s="7"/>
      <c r="Z1505" s="7"/>
      <c r="AA1505" s="7"/>
    </row>
    <row r="1506" ht="18.75" customHeight="1">
      <c r="A1506" s="8" t="s">
        <v>1600</v>
      </c>
      <c r="B1506" s="61" t="s">
        <v>1601</v>
      </c>
      <c r="C1506" s="61" t="s">
        <v>24</v>
      </c>
      <c r="D1506" s="62">
        <v>0.0</v>
      </c>
      <c r="E1506" s="8" t="s">
        <v>1627</v>
      </c>
      <c r="F1506" s="11" t="s">
        <v>26</v>
      </c>
      <c r="G1506" s="12" t="s">
        <v>27</v>
      </c>
      <c r="H1506" s="13">
        <v>52.73</v>
      </c>
      <c r="I1506" s="14">
        <v>5.0</v>
      </c>
      <c r="J1506" s="15" t="s">
        <v>54</v>
      </c>
      <c r="K1506" s="16">
        <v>0.3</v>
      </c>
      <c r="L1506" s="17">
        <f t="shared" si="1"/>
        <v>1.5</v>
      </c>
      <c r="M1506" s="17">
        <f t="shared" si="2"/>
        <v>3.5</v>
      </c>
      <c r="N1506" s="18">
        <f t="shared" si="3"/>
        <v>15.819</v>
      </c>
      <c r="O1506" s="18">
        <f t="shared" si="4"/>
        <v>36.911</v>
      </c>
      <c r="P1506" s="18">
        <f t="shared" si="5"/>
        <v>36.911</v>
      </c>
      <c r="Q1506" s="8">
        <v>0.0</v>
      </c>
      <c r="R1506" s="18">
        <f t="shared" si="6"/>
        <v>10.546</v>
      </c>
      <c r="S1506" s="19" t="s">
        <v>29</v>
      </c>
      <c r="T1506" s="19" t="s">
        <v>30</v>
      </c>
      <c r="U1506" s="20" t="s">
        <v>182</v>
      </c>
      <c r="V1506" s="37"/>
      <c r="W1506" s="7"/>
      <c r="X1506" s="7"/>
      <c r="Y1506" s="7"/>
      <c r="Z1506" s="7"/>
      <c r="AA1506" s="7"/>
    </row>
    <row r="1507" ht="18.75" customHeight="1">
      <c r="A1507" s="22" t="s">
        <v>1600</v>
      </c>
      <c r="B1507" s="63" t="s">
        <v>1601</v>
      </c>
      <c r="C1507" s="63" t="s">
        <v>24</v>
      </c>
      <c r="D1507" s="64">
        <v>0.0</v>
      </c>
      <c r="E1507" s="22" t="s">
        <v>1628</v>
      </c>
      <c r="F1507" s="25" t="s">
        <v>26</v>
      </c>
      <c r="G1507" s="26" t="s">
        <v>27</v>
      </c>
      <c r="H1507" s="27">
        <v>69.9</v>
      </c>
      <c r="I1507" s="28">
        <v>20.0</v>
      </c>
      <c r="J1507" s="29" t="s">
        <v>54</v>
      </c>
      <c r="K1507" s="30">
        <v>0.3</v>
      </c>
      <c r="L1507" s="31">
        <f t="shared" si="1"/>
        <v>6</v>
      </c>
      <c r="M1507" s="31">
        <f t="shared" si="2"/>
        <v>14</v>
      </c>
      <c r="N1507" s="32">
        <f t="shared" si="3"/>
        <v>20.97</v>
      </c>
      <c r="O1507" s="32">
        <f t="shared" si="4"/>
        <v>48.93</v>
      </c>
      <c r="P1507" s="32">
        <f t="shared" si="5"/>
        <v>48.93</v>
      </c>
      <c r="Q1507" s="22">
        <v>0.0</v>
      </c>
      <c r="R1507" s="32">
        <f t="shared" si="6"/>
        <v>3.495</v>
      </c>
      <c r="S1507" s="33" t="s">
        <v>29</v>
      </c>
      <c r="T1507" s="33" t="s">
        <v>30</v>
      </c>
      <c r="U1507" s="38" t="s">
        <v>1629</v>
      </c>
      <c r="V1507" s="35"/>
      <c r="W1507" s="7"/>
      <c r="X1507" s="7"/>
      <c r="Y1507" s="7"/>
      <c r="Z1507" s="7"/>
      <c r="AA1507" s="7"/>
    </row>
    <row r="1508" ht="18.75" customHeight="1">
      <c r="A1508" s="8" t="s">
        <v>1600</v>
      </c>
      <c r="B1508" s="61" t="s">
        <v>1601</v>
      </c>
      <c r="C1508" s="61" t="s">
        <v>24</v>
      </c>
      <c r="D1508" s="62">
        <v>0.0</v>
      </c>
      <c r="E1508" s="8" t="s">
        <v>1630</v>
      </c>
      <c r="F1508" s="11" t="s">
        <v>26</v>
      </c>
      <c r="G1508" s="12" t="s">
        <v>27</v>
      </c>
      <c r="H1508" s="13">
        <v>29.0</v>
      </c>
      <c r="I1508" s="14">
        <v>20.0</v>
      </c>
      <c r="J1508" s="15" t="s">
        <v>54</v>
      </c>
      <c r="K1508" s="16">
        <v>0.3</v>
      </c>
      <c r="L1508" s="17">
        <f t="shared" si="1"/>
        <v>6</v>
      </c>
      <c r="M1508" s="17">
        <f t="shared" si="2"/>
        <v>14</v>
      </c>
      <c r="N1508" s="18">
        <f t="shared" si="3"/>
        <v>8.7</v>
      </c>
      <c r="O1508" s="18">
        <f t="shared" si="4"/>
        <v>20.3</v>
      </c>
      <c r="P1508" s="18">
        <f t="shared" si="5"/>
        <v>20.3</v>
      </c>
      <c r="Q1508" s="8">
        <v>0.0</v>
      </c>
      <c r="R1508" s="18">
        <f t="shared" si="6"/>
        <v>1.45</v>
      </c>
      <c r="S1508" s="19" t="s">
        <v>29</v>
      </c>
      <c r="T1508" s="19" t="s">
        <v>30</v>
      </c>
      <c r="U1508" s="20" t="s">
        <v>497</v>
      </c>
      <c r="V1508" s="37"/>
      <c r="W1508" s="7"/>
      <c r="X1508" s="7"/>
      <c r="Y1508" s="7"/>
      <c r="Z1508" s="7"/>
      <c r="AA1508" s="7"/>
    </row>
    <row r="1509" ht="18.75" customHeight="1">
      <c r="A1509" s="22" t="s">
        <v>1600</v>
      </c>
      <c r="B1509" s="63" t="s">
        <v>1601</v>
      </c>
      <c r="C1509" s="63" t="s">
        <v>24</v>
      </c>
      <c r="D1509" s="64">
        <v>0.0</v>
      </c>
      <c r="E1509" s="22" t="s">
        <v>1631</v>
      </c>
      <c r="F1509" s="25" t="s">
        <v>26</v>
      </c>
      <c r="G1509" s="26" t="s">
        <v>27</v>
      </c>
      <c r="H1509" s="27">
        <v>169.9</v>
      </c>
      <c r="I1509" s="28">
        <v>20.0</v>
      </c>
      <c r="J1509" s="29" t="s">
        <v>54</v>
      </c>
      <c r="K1509" s="30">
        <v>0.3</v>
      </c>
      <c r="L1509" s="31">
        <f t="shared" si="1"/>
        <v>6</v>
      </c>
      <c r="M1509" s="31">
        <f t="shared" si="2"/>
        <v>14</v>
      </c>
      <c r="N1509" s="32">
        <f t="shared" si="3"/>
        <v>50.97</v>
      </c>
      <c r="O1509" s="32">
        <f t="shared" si="4"/>
        <v>118.93</v>
      </c>
      <c r="P1509" s="32">
        <f t="shared" si="5"/>
        <v>118.93</v>
      </c>
      <c r="Q1509" s="22">
        <v>0.0</v>
      </c>
      <c r="R1509" s="32">
        <f t="shared" si="6"/>
        <v>8.495</v>
      </c>
      <c r="S1509" s="33" t="s">
        <v>29</v>
      </c>
      <c r="T1509" s="33" t="s">
        <v>30</v>
      </c>
      <c r="U1509" s="34" t="s">
        <v>186</v>
      </c>
      <c r="V1509" s="35"/>
      <c r="W1509" s="7"/>
      <c r="X1509" s="7"/>
      <c r="Y1509" s="7"/>
      <c r="Z1509" s="7"/>
      <c r="AA1509" s="7"/>
    </row>
    <row r="1510" ht="18.75" customHeight="1">
      <c r="A1510" s="8" t="s">
        <v>1600</v>
      </c>
      <c r="B1510" s="61" t="s">
        <v>1601</v>
      </c>
      <c r="C1510" s="61" t="s">
        <v>24</v>
      </c>
      <c r="D1510" s="62">
        <v>0.0</v>
      </c>
      <c r="E1510" s="8" t="s">
        <v>1632</v>
      </c>
      <c r="F1510" s="11" t="s">
        <v>26</v>
      </c>
      <c r="G1510" s="12" t="s">
        <v>27</v>
      </c>
      <c r="H1510" s="13">
        <v>65.99</v>
      </c>
      <c r="I1510" s="14">
        <v>20.0</v>
      </c>
      <c r="J1510" s="15" t="s">
        <v>54</v>
      </c>
      <c r="K1510" s="16">
        <v>0.3</v>
      </c>
      <c r="L1510" s="17">
        <f t="shared" si="1"/>
        <v>6</v>
      </c>
      <c r="M1510" s="17">
        <f t="shared" si="2"/>
        <v>14</v>
      </c>
      <c r="N1510" s="18">
        <f t="shared" si="3"/>
        <v>19.797</v>
      </c>
      <c r="O1510" s="18">
        <f t="shared" si="4"/>
        <v>46.193</v>
      </c>
      <c r="P1510" s="18">
        <f t="shared" si="5"/>
        <v>46.193</v>
      </c>
      <c r="Q1510" s="8">
        <v>0.0</v>
      </c>
      <c r="R1510" s="18">
        <f t="shared" si="6"/>
        <v>3.2995</v>
      </c>
      <c r="S1510" s="19" t="s">
        <v>29</v>
      </c>
      <c r="T1510" s="19" t="s">
        <v>30</v>
      </c>
      <c r="U1510" s="36" t="s">
        <v>1633</v>
      </c>
      <c r="V1510" s="37"/>
      <c r="W1510" s="7"/>
      <c r="X1510" s="7"/>
      <c r="Y1510" s="7"/>
      <c r="Z1510" s="7"/>
      <c r="AA1510" s="7"/>
    </row>
    <row r="1511" ht="18.75" customHeight="1">
      <c r="A1511" s="22" t="s">
        <v>1600</v>
      </c>
      <c r="B1511" s="63" t="s">
        <v>1601</v>
      </c>
      <c r="C1511" s="63" t="s">
        <v>24</v>
      </c>
      <c r="D1511" s="64">
        <v>0.0</v>
      </c>
      <c r="E1511" s="22" t="s">
        <v>1634</v>
      </c>
      <c r="F1511" s="25" t="s">
        <v>26</v>
      </c>
      <c r="G1511" s="26" t="s">
        <v>27</v>
      </c>
      <c r="H1511" s="27">
        <v>18.95</v>
      </c>
      <c r="I1511" s="28">
        <v>20.0</v>
      </c>
      <c r="J1511" s="29" t="s">
        <v>54</v>
      </c>
      <c r="K1511" s="30">
        <v>0.3</v>
      </c>
      <c r="L1511" s="31">
        <f t="shared" si="1"/>
        <v>6</v>
      </c>
      <c r="M1511" s="31">
        <f t="shared" si="2"/>
        <v>14</v>
      </c>
      <c r="N1511" s="32">
        <f t="shared" si="3"/>
        <v>5.685</v>
      </c>
      <c r="O1511" s="32">
        <f t="shared" si="4"/>
        <v>13.265</v>
      </c>
      <c r="P1511" s="32">
        <f t="shared" si="5"/>
        <v>13.265</v>
      </c>
      <c r="Q1511" s="22">
        <v>0.0</v>
      </c>
      <c r="R1511" s="32">
        <f t="shared" si="6"/>
        <v>0.9475</v>
      </c>
      <c r="S1511" s="33" t="s">
        <v>29</v>
      </c>
      <c r="T1511" s="33" t="s">
        <v>30</v>
      </c>
      <c r="U1511" s="34" t="s">
        <v>519</v>
      </c>
      <c r="V1511" s="35"/>
      <c r="W1511" s="7"/>
      <c r="X1511" s="7"/>
      <c r="Y1511" s="7"/>
      <c r="Z1511" s="7"/>
      <c r="AA1511" s="7"/>
    </row>
    <row r="1512" ht="18.75" customHeight="1">
      <c r="A1512" s="8" t="s">
        <v>1600</v>
      </c>
      <c r="B1512" s="61" t="s">
        <v>1601</v>
      </c>
      <c r="C1512" s="9" t="s">
        <v>1075</v>
      </c>
      <c r="D1512" s="10">
        <v>293.0</v>
      </c>
      <c r="E1512" s="8" t="s">
        <v>1635</v>
      </c>
      <c r="F1512" s="11" t="s">
        <v>37</v>
      </c>
      <c r="G1512" s="12" t="s">
        <v>27</v>
      </c>
      <c r="H1512" s="13">
        <v>553.64</v>
      </c>
      <c r="I1512" s="14">
        <v>10.0</v>
      </c>
      <c r="J1512" s="15" t="s">
        <v>154</v>
      </c>
      <c r="K1512" s="16">
        <v>0.8</v>
      </c>
      <c r="L1512" s="17">
        <f t="shared" si="1"/>
        <v>8</v>
      </c>
      <c r="M1512" s="17">
        <f t="shared" si="2"/>
        <v>2</v>
      </c>
      <c r="N1512" s="18">
        <f t="shared" si="3"/>
        <v>442.912</v>
      </c>
      <c r="O1512" s="18">
        <f t="shared" si="4"/>
        <v>110.728</v>
      </c>
      <c r="P1512" s="18">
        <f t="shared" si="5"/>
        <v>110.728</v>
      </c>
      <c r="Q1512" s="8">
        <v>0.0</v>
      </c>
      <c r="R1512" s="18">
        <f t="shared" si="6"/>
        <v>55.364</v>
      </c>
      <c r="S1512" s="19" t="s">
        <v>29</v>
      </c>
      <c r="T1512" s="19" t="s">
        <v>30</v>
      </c>
      <c r="U1512" s="36" t="s">
        <v>1194</v>
      </c>
      <c r="V1512" s="37"/>
      <c r="W1512" s="7"/>
      <c r="X1512" s="7"/>
      <c r="Y1512" s="7"/>
      <c r="Z1512" s="7"/>
      <c r="AA1512" s="7"/>
    </row>
    <row r="1513" ht="18.75" customHeight="1">
      <c r="A1513" s="22" t="s">
        <v>1600</v>
      </c>
      <c r="B1513" s="63" t="s">
        <v>1601</v>
      </c>
      <c r="C1513" s="23" t="s">
        <v>1075</v>
      </c>
      <c r="D1513" s="24">
        <v>662.0</v>
      </c>
      <c r="E1513" s="22" t="s">
        <v>1636</v>
      </c>
      <c r="F1513" s="25" t="s">
        <v>26</v>
      </c>
      <c r="G1513" s="26" t="s">
        <v>27</v>
      </c>
      <c r="H1513" s="56">
        <v>840.42</v>
      </c>
      <c r="I1513" s="28">
        <v>10.0</v>
      </c>
      <c r="J1513" s="41" t="s">
        <v>63</v>
      </c>
      <c r="K1513" s="30">
        <v>0.700000000000007</v>
      </c>
      <c r="L1513" s="31">
        <f t="shared" si="1"/>
        <v>7</v>
      </c>
      <c r="M1513" s="31">
        <f t="shared" si="2"/>
        <v>3</v>
      </c>
      <c r="N1513" s="32">
        <f t="shared" si="3"/>
        <v>588.294</v>
      </c>
      <c r="O1513" s="32">
        <f t="shared" si="4"/>
        <v>252.126</v>
      </c>
      <c r="P1513" s="32">
        <f t="shared" si="5"/>
        <v>252.126</v>
      </c>
      <c r="Q1513" s="22">
        <v>0.0</v>
      </c>
      <c r="R1513" s="32">
        <f t="shared" si="6"/>
        <v>84.042</v>
      </c>
      <c r="S1513" s="33" t="s">
        <v>29</v>
      </c>
      <c r="T1513" s="33" t="s">
        <v>30</v>
      </c>
      <c r="U1513" s="34" t="s">
        <v>102</v>
      </c>
      <c r="V1513" s="35"/>
      <c r="W1513" s="7"/>
      <c r="X1513" s="7"/>
      <c r="Y1513" s="7"/>
      <c r="Z1513" s="7"/>
      <c r="AA1513" s="7"/>
    </row>
    <row r="1514" ht="18.75" customHeight="1">
      <c r="A1514" s="8" t="s">
        <v>1600</v>
      </c>
      <c r="B1514" s="61" t="s">
        <v>1601</v>
      </c>
      <c r="C1514" s="9" t="s">
        <v>1075</v>
      </c>
      <c r="D1514" s="10">
        <v>663.0</v>
      </c>
      <c r="E1514" s="8" t="s">
        <v>1637</v>
      </c>
      <c r="F1514" s="11" t="s">
        <v>26</v>
      </c>
      <c r="G1514" s="12" t="s">
        <v>27</v>
      </c>
      <c r="H1514" s="55">
        <v>1260.63</v>
      </c>
      <c r="I1514" s="14">
        <v>10.0</v>
      </c>
      <c r="J1514" s="48" t="s">
        <v>63</v>
      </c>
      <c r="K1514" s="59">
        <v>0.700000000000007</v>
      </c>
      <c r="L1514" s="17">
        <f t="shared" si="1"/>
        <v>7</v>
      </c>
      <c r="M1514" s="17">
        <f t="shared" si="2"/>
        <v>3</v>
      </c>
      <c r="N1514" s="18">
        <f t="shared" si="3"/>
        <v>882.441</v>
      </c>
      <c r="O1514" s="18">
        <f t="shared" si="4"/>
        <v>378.189</v>
      </c>
      <c r="P1514" s="18">
        <f t="shared" si="5"/>
        <v>378.189</v>
      </c>
      <c r="Q1514" s="8">
        <v>0.0</v>
      </c>
      <c r="R1514" s="18">
        <f t="shared" si="6"/>
        <v>126.063</v>
      </c>
      <c r="S1514" s="19" t="s">
        <v>29</v>
      </c>
      <c r="T1514" s="19" t="s">
        <v>30</v>
      </c>
      <c r="U1514" s="20" t="s">
        <v>102</v>
      </c>
      <c r="V1514" s="37"/>
      <c r="W1514" s="7"/>
      <c r="X1514" s="7"/>
      <c r="Y1514" s="7"/>
      <c r="Z1514" s="7"/>
      <c r="AA1514" s="7"/>
    </row>
    <row r="1515" ht="18.75" customHeight="1">
      <c r="A1515" s="22" t="s">
        <v>1600</v>
      </c>
      <c r="B1515" s="63" t="s">
        <v>1601</v>
      </c>
      <c r="C1515" s="23" t="s">
        <v>534</v>
      </c>
      <c r="D1515" s="24">
        <v>847.0</v>
      </c>
      <c r="E1515" s="22" t="s">
        <v>779</v>
      </c>
      <c r="F1515" s="25" t="s">
        <v>26</v>
      </c>
      <c r="G1515" s="26" t="s">
        <v>27</v>
      </c>
      <c r="H1515" s="27">
        <v>338.58</v>
      </c>
      <c r="I1515" s="28">
        <v>10.0</v>
      </c>
      <c r="J1515" s="29" t="s">
        <v>28</v>
      </c>
      <c r="K1515" s="30">
        <v>0.4</v>
      </c>
      <c r="L1515" s="31">
        <f t="shared" si="1"/>
        <v>4</v>
      </c>
      <c r="M1515" s="31">
        <f t="shared" si="2"/>
        <v>6</v>
      </c>
      <c r="N1515" s="32">
        <f t="shared" si="3"/>
        <v>135.432</v>
      </c>
      <c r="O1515" s="32">
        <f t="shared" si="4"/>
        <v>203.148</v>
      </c>
      <c r="P1515" s="32">
        <f t="shared" si="5"/>
        <v>203.148</v>
      </c>
      <c r="Q1515" s="22">
        <v>0.0</v>
      </c>
      <c r="R1515" s="32">
        <f t="shared" si="6"/>
        <v>33.858</v>
      </c>
      <c r="S1515" s="33" t="s">
        <v>29</v>
      </c>
      <c r="T1515" s="33" t="s">
        <v>30</v>
      </c>
      <c r="U1515" s="34" t="s">
        <v>304</v>
      </c>
      <c r="V1515" s="35"/>
      <c r="W1515" s="7"/>
      <c r="X1515" s="7"/>
      <c r="Y1515" s="7"/>
      <c r="Z1515" s="7"/>
      <c r="AA1515" s="7"/>
    </row>
    <row r="1516" ht="18.75" customHeight="1">
      <c r="A1516" s="8" t="s">
        <v>1600</v>
      </c>
      <c r="B1516" s="61" t="s">
        <v>1601</v>
      </c>
      <c r="C1516" s="9" t="s">
        <v>33</v>
      </c>
      <c r="D1516" s="10">
        <v>1249.0</v>
      </c>
      <c r="E1516" s="8" t="s">
        <v>408</v>
      </c>
      <c r="F1516" s="11" t="s">
        <v>26</v>
      </c>
      <c r="G1516" s="12" t="s">
        <v>27</v>
      </c>
      <c r="H1516" s="13">
        <v>279.0</v>
      </c>
      <c r="I1516" s="14">
        <v>5.0</v>
      </c>
      <c r="J1516" s="48" t="s">
        <v>63</v>
      </c>
      <c r="K1516" s="16">
        <v>0.700000000000007</v>
      </c>
      <c r="L1516" s="17">
        <f t="shared" si="1"/>
        <v>3.5</v>
      </c>
      <c r="M1516" s="17">
        <f t="shared" si="2"/>
        <v>1.5</v>
      </c>
      <c r="N1516" s="18">
        <f t="shared" si="3"/>
        <v>195.3</v>
      </c>
      <c r="O1516" s="18">
        <f t="shared" si="4"/>
        <v>83.7</v>
      </c>
      <c r="P1516" s="18">
        <f t="shared" si="5"/>
        <v>83.7</v>
      </c>
      <c r="Q1516" s="8">
        <v>0.0</v>
      </c>
      <c r="R1516" s="18">
        <f t="shared" si="6"/>
        <v>55.8</v>
      </c>
      <c r="S1516" s="19" t="s">
        <v>29</v>
      </c>
      <c r="T1516" s="19" t="s">
        <v>30</v>
      </c>
      <c r="U1516" s="20" t="s">
        <v>55</v>
      </c>
      <c r="V1516" s="37"/>
      <c r="W1516" s="7"/>
      <c r="X1516" s="7"/>
      <c r="Y1516" s="7"/>
      <c r="Z1516" s="7"/>
      <c r="AA1516" s="7"/>
    </row>
    <row r="1517" ht="18.75" customHeight="1">
      <c r="A1517" s="22" t="s">
        <v>1600</v>
      </c>
      <c r="B1517" s="63" t="s">
        <v>1601</v>
      </c>
      <c r="C1517" s="23" t="s">
        <v>33</v>
      </c>
      <c r="D1517" s="24">
        <v>1250.0</v>
      </c>
      <c r="E1517" s="22" t="s">
        <v>1638</v>
      </c>
      <c r="F1517" s="25" t="s">
        <v>37</v>
      </c>
      <c r="G1517" s="26" t="s">
        <v>27</v>
      </c>
      <c r="H1517" s="27">
        <v>469.2</v>
      </c>
      <c r="I1517" s="28">
        <v>10.0</v>
      </c>
      <c r="J1517" s="29" t="s">
        <v>38</v>
      </c>
      <c r="K1517" s="30">
        <v>0.5</v>
      </c>
      <c r="L1517" s="31">
        <f t="shared" si="1"/>
        <v>5</v>
      </c>
      <c r="M1517" s="31">
        <f t="shared" si="2"/>
        <v>5</v>
      </c>
      <c r="N1517" s="32">
        <f t="shared" si="3"/>
        <v>234.6</v>
      </c>
      <c r="O1517" s="32">
        <f t="shared" si="4"/>
        <v>234.6</v>
      </c>
      <c r="P1517" s="32">
        <f t="shared" si="5"/>
        <v>234.6</v>
      </c>
      <c r="Q1517" s="22">
        <v>0.0</v>
      </c>
      <c r="R1517" s="32">
        <f t="shared" si="6"/>
        <v>46.92</v>
      </c>
      <c r="S1517" s="33" t="s">
        <v>29</v>
      </c>
      <c r="T1517" s="33" t="s">
        <v>30</v>
      </c>
      <c r="U1517" s="38" t="s">
        <v>52</v>
      </c>
      <c r="V1517" s="35"/>
      <c r="W1517" s="7"/>
      <c r="X1517" s="7"/>
      <c r="Y1517" s="7"/>
      <c r="Z1517" s="7"/>
      <c r="AA1517" s="7"/>
    </row>
    <row r="1518" ht="18.75" customHeight="1">
      <c r="A1518" s="8" t="s">
        <v>1600</v>
      </c>
      <c r="B1518" s="61" t="s">
        <v>1601</v>
      </c>
      <c r="C1518" s="9" t="s">
        <v>33</v>
      </c>
      <c r="D1518" s="10">
        <v>1251.0</v>
      </c>
      <c r="E1518" s="8" t="s">
        <v>1639</v>
      </c>
      <c r="F1518" s="11" t="s">
        <v>26</v>
      </c>
      <c r="G1518" s="12" t="s">
        <v>27</v>
      </c>
      <c r="H1518" s="13">
        <v>15638.9</v>
      </c>
      <c r="I1518" s="14">
        <v>10.0</v>
      </c>
      <c r="J1518" s="15" t="s">
        <v>38</v>
      </c>
      <c r="K1518" s="16">
        <v>0.5</v>
      </c>
      <c r="L1518" s="17">
        <f t="shared" si="1"/>
        <v>5</v>
      </c>
      <c r="M1518" s="17">
        <f t="shared" si="2"/>
        <v>5</v>
      </c>
      <c r="N1518" s="18">
        <f t="shared" si="3"/>
        <v>7819.45</v>
      </c>
      <c r="O1518" s="18">
        <f t="shared" si="4"/>
        <v>7819.45</v>
      </c>
      <c r="P1518" s="18">
        <f t="shared" si="5"/>
        <v>7819.45</v>
      </c>
      <c r="Q1518" s="8">
        <v>0.0</v>
      </c>
      <c r="R1518" s="18">
        <f t="shared" si="6"/>
        <v>1563.89</v>
      </c>
      <c r="S1518" s="19" t="s">
        <v>29</v>
      </c>
      <c r="T1518" s="19" t="s">
        <v>30</v>
      </c>
      <c r="U1518" s="20" t="s">
        <v>35</v>
      </c>
      <c r="V1518" s="37"/>
      <c r="W1518" s="7"/>
      <c r="X1518" s="7"/>
      <c r="Y1518" s="7"/>
      <c r="Z1518" s="7"/>
      <c r="AA1518" s="7"/>
    </row>
    <row r="1519" ht="18.75" customHeight="1">
      <c r="A1519" s="22" t="s">
        <v>1600</v>
      </c>
      <c r="B1519" s="63" t="s">
        <v>1601</v>
      </c>
      <c r="C1519" s="23" t="s">
        <v>1075</v>
      </c>
      <c r="D1519" s="24">
        <v>1255.0</v>
      </c>
      <c r="E1519" s="22" t="s">
        <v>1640</v>
      </c>
      <c r="F1519" s="25" t="s">
        <v>37</v>
      </c>
      <c r="G1519" s="26" t="s">
        <v>27</v>
      </c>
      <c r="H1519" s="27">
        <v>469.2</v>
      </c>
      <c r="I1519" s="28">
        <v>10.0</v>
      </c>
      <c r="J1519" s="29" t="s">
        <v>154</v>
      </c>
      <c r="K1519" s="30">
        <v>0.8</v>
      </c>
      <c r="L1519" s="31">
        <f t="shared" si="1"/>
        <v>8</v>
      </c>
      <c r="M1519" s="31">
        <f t="shared" si="2"/>
        <v>2</v>
      </c>
      <c r="N1519" s="32">
        <f t="shared" si="3"/>
        <v>375.36</v>
      </c>
      <c r="O1519" s="32">
        <f t="shared" si="4"/>
        <v>93.84</v>
      </c>
      <c r="P1519" s="32">
        <f t="shared" si="5"/>
        <v>93.84</v>
      </c>
      <c r="Q1519" s="22">
        <v>0.0</v>
      </c>
      <c r="R1519" s="32">
        <f t="shared" si="6"/>
        <v>46.92</v>
      </c>
      <c r="S1519" s="33" t="s">
        <v>29</v>
      </c>
      <c r="T1519" s="33" t="s">
        <v>30</v>
      </c>
      <c r="U1519" s="38" t="s">
        <v>52</v>
      </c>
      <c r="V1519" s="35"/>
      <c r="W1519" s="7"/>
      <c r="X1519" s="7"/>
      <c r="Y1519" s="7"/>
      <c r="Z1519" s="7"/>
      <c r="AA1519" s="7"/>
    </row>
    <row r="1520" ht="18.75" customHeight="1">
      <c r="A1520" s="8" t="s">
        <v>1600</v>
      </c>
      <c r="B1520" s="61" t="s">
        <v>1601</v>
      </c>
      <c r="C1520" s="9" t="s">
        <v>33</v>
      </c>
      <c r="D1520" s="10">
        <v>1256.0</v>
      </c>
      <c r="E1520" s="8" t="s">
        <v>1641</v>
      </c>
      <c r="F1520" s="11" t="s">
        <v>26</v>
      </c>
      <c r="G1520" s="12" t="s">
        <v>27</v>
      </c>
      <c r="H1520" s="13">
        <v>1897.0</v>
      </c>
      <c r="I1520" s="14">
        <v>10.0</v>
      </c>
      <c r="J1520" s="15" t="s">
        <v>28</v>
      </c>
      <c r="K1520" s="16">
        <v>0.4</v>
      </c>
      <c r="L1520" s="17">
        <f t="shared" si="1"/>
        <v>4</v>
      </c>
      <c r="M1520" s="17">
        <f t="shared" si="2"/>
        <v>6</v>
      </c>
      <c r="N1520" s="18">
        <f t="shared" si="3"/>
        <v>758.8</v>
      </c>
      <c r="O1520" s="18">
        <f t="shared" si="4"/>
        <v>1138.2</v>
      </c>
      <c r="P1520" s="18">
        <f t="shared" si="5"/>
        <v>1138.2</v>
      </c>
      <c r="Q1520" s="8">
        <v>0.0</v>
      </c>
      <c r="R1520" s="18">
        <f t="shared" si="6"/>
        <v>189.7</v>
      </c>
      <c r="S1520" s="19" t="s">
        <v>29</v>
      </c>
      <c r="T1520" s="19" t="s">
        <v>30</v>
      </c>
      <c r="U1520" s="20" t="s">
        <v>43</v>
      </c>
      <c r="V1520" s="37"/>
      <c r="W1520" s="7"/>
      <c r="X1520" s="7"/>
      <c r="Y1520" s="7"/>
      <c r="Z1520" s="7"/>
      <c r="AA1520" s="7"/>
    </row>
    <row r="1521" ht="18.75" customHeight="1">
      <c r="A1521" s="22" t="s">
        <v>1600</v>
      </c>
      <c r="B1521" s="63" t="s">
        <v>1601</v>
      </c>
      <c r="C1521" s="23" t="s">
        <v>33</v>
      </c>
      <c r="D1521" s="24">
        <v>1262.0</v>
      </c>
      <c r="E1521" s="22" t="s">
        <v>424</v>
      </c>
      <c r="F1521" s="25" t="s">
        <v>26</v>
      </c>
      <c r="G1521" s="26" t="s">
        <v>27</v>
      </c>
      <c r="H1521" s="27">
        <v>6246.9</v>
      </c>
      <c r="I1521" s="28">
        <v>5.0</v>
      </c>
      <c r="J1521" s="45" t="s">
        <v>63</v>
      </c>
      <c r="K1521" s="30">
        <v>0.700000000000007</v>
      </c>
      <c r="L1521" s="31">
        <f t="shared" si="1"/>
        <v>3.5</v>
      </c>
      <c r="M1521" s="31">
        <f t="shared" si="2"/>
        <v>1.5</v>
      </c>
      <c r="N1521" s="32">
        <f t="shared" si="3"/>
        <v>4372.83</v>
      </c>
      <c r="O1521" s="32">
        <f t="shared" si="4"/>
        <v>1874.07</v>
      </c>
      <c r="P1521" s="32">
        <f t="shared" si="5"/>
        <v>1874.07</v>
      </c>
      <c r="Q1521" s="22">
        <v>0.0</v>
      </c>
      <c r="R1521" s="32">
        <f t="shared" si="6"/>
        <v>1249.38</v>
      </c>
      <c r="S1521" s="33" t="s">
        <v>29</v>
      </c>
      <c r="T1521" s="33" t="s">
        <v>30</v>
      </c>
      <c r="U1521" s="34" t="s">
        <v>333</v>
      </c>
      <c r="V1521" s="35"/>
      <c r="W1521" s="7"/>
      <c r="X1521" s="7"/>
      <c r="Y1521" s="7"/>
      <c r="Z1521" s="7"/>
      <c r="AA1521" s="7"/>
    </row>
    <row r="1522" ht="18.75" customHeight="1">
      <c r="A1522" s="8" t="s">
        <v>1600</v>
      </c>
      <c r="B1522" s="61" t="s">
        <v>1601</v>
      </c>
      <c r="C1522" s="9" t="s">
        <v>33</v>
      </c>
      <c r="D1522" s="10">
        <v>1266.0</v>
      </c>
      <c r="E1522" s="8" t="s">
        <v>1642</v>
      </c>
      <c r="F1522" s="11" t="s">
        <v>26</v>
      </c>
      <c r="G1522" s="12" t="s">
        <v>27</v>
      </c>
      <c r="H1522" s="13">
        <v>1741.5</v>
      </c>
      <c r="I1522" s="14">
        <v>5.0</v>
      </c>
      <c r="J1522" s="15" t="s">
        <v>289</v>
      </c>
      <c r="K1522" s="16">
        <v>0.95</v>
      </c>
      <c r="L1522" s="17">
        <f t="shared" si="1"/>
        <v>4.75</v>
      </c>
      <c r="M1522" s="17">
        <f t="shared" si="2"/>
        <v>0.25</v>
      </c>
      <c r="N1522" s="18">
        <f t="shared" si="3"/>
        <v>1654.425</v>
      </c>
      <c r="O1522" s="18">
        <f t="shared" si="4"/>
        <v>87.075</v>
      </c>
      <c r="P1522" s="18">
        <f t="shared" si="5"/>
        <v>87.075</v>
      </c>
      <c r="Q1522" s="8">
        <v>0.0</v>
      </c>
      <c r="R1522" s="18">
        <f t="shared" si="6"/>
        <v>348.3</v>
      </c>
      <c r="S1522" s="19" t="s">
        <v>29</v>
      </c>
      <c r="T1522" s="19" t="s">
        <v>30</v>
      </c>
      <c r="U1522" s="20" t="s">
        <v>452</v>
      </c>
      <c r="V1522" s="37"/>
      <c r="W1522" s="7"/>
      <c r="X1522" s="7"/>
      <c r="Y1522" s="7"/>
      <c r="Z1522" s="7"/>
      <c r="AA1522" s="7"/>
    </row>
    <row r="1523" ht="18.75" customHeight="1">
      <c r="A1523" s="22" t="s">
        <v>1600</v>
      </c>
      <c r="B1523" s="63" t="s">
        <v>1601</v>
      </c>
      <c r="C1523" s="23" t="s">
        <v>33</v>
      </c>
      <c r="D1523" s="24">
        <v>1274.0</v>
      </c>
      <c r="E1523" s="22" t="s">
        <v>1643</v>
      </c>
      <c r="F1523" s="25" t="s">
        <v>37</v>
      </c>
      <c r="G1523" s="26" t="s">
        <v>27</v>
      </c>
      <c r="H1523" s="27">
        <v>756.96</v>
      </c>
      <c r="I1523" s="28">
        <v>5.0</v>
      </c>
      <c r="J1523" s="29" t="s">
        <v>154</v>
      </c>
      <c r="K1523" s="30">
        <v>0.8</v>
      </c>
      <c r="L1523" s="31">
        <f t="shared" si="1"/>
        <v>4</v>
      </c>
      <c r="M1523" s="31">
        <f t="shared" si="2"/>
        <v>1</v>
      </c>
      <c r="N1523" s="32">
        <f t="shared" si="3"/>
        <v>605.568</v>
      </c>
      <c r="O1523" s="32">
        <f t="shared" si="4"/>
        <v>151.392</v>
      </c>
      <c r="P1523" s="32">
        <f t="shared" si="5"/>
        <v>151.392</v>
      </c>
      <c r="Q1523" s="22">
        <v>0.0</v>
      </c>
      <c r="R1523" s="32">
        <f t="shared" si="6"/>
        <v>151.392</v>
      </c>
      <c r="S1523" s="33" t="s">
        <v>29</v>
      </c>
      <c r="T1523" s="33" t="s">
        <v>30</v>
      </c>
      <c r="U1523" s="38" t="s">
        <v>1644</v>
      </c>
      <c r="V1523" s="35"/>
      <c r="W1523" s="7"/>
      <c r="X1523" s="7"/>
      <c r="Y1523" s="7"/>
      <c r="Z1523" s="7"/>
      <c r="AA1523" s="7"/>
    </row>
    <row r="1524" ht="18.75" customHeight="1">
      <c r="A1524" s="8" t="s">
        <v>1600</v>
      </c>
      <c r="B1524" s="61" t="s">
        <v>1601</v>
      </c>
      <c r="C1524" s="9" t="s">
        <v>33</v>
      </c>
      <c r="D1524" s="10">
        <v>1276.0</v>
      </c>
      <c r="E1524" s="8" t="s">
        <v>1645</v>
      </c>
      <c r="F1524" s="11" t="s">
        <v>26</v>
      </c>
      <c r="G1524" s="12" t="s">
        <v>27</v>
      </c>
      <c r="H1524" s="13">
        <v>1034.9</v>
      </c>
      <c r="I1524" s="14">
        <v>5.0</v>
      </c>
      <c r="J1524" s="46" t="s">
        <v>63</v>
      </c>
      <c r="K1524" s="59">
        <v>0.700000000000007</v>
      </c>
      <c r="L1524" s="17">
        <f t="shared" si="1"/>
        <v>3.5</v>
      </c>
      <c r="M1524" s="17">
        <f t="shared" si="2"/>
        <v>1.5</v>
      </c>
      <c r="N1524" s="18">
        <f t="shared" si="3"/>
        <v>724.43</v>
      </c>
      <c r="O1524" s="18">
        <f t="shared" si="4"/>
        <v>310.47</v>
      </c>
      <c r="P1524" s="18">
        <f t="shared" si="5"/>
        <v>310.47</v>
      </c>
      <c r="Q1524" s="8">
        <v>0.0</v>
      </c>
      <c r="R1524" s="18">
        <f t="shared" si="6"/>
        <v>206.98</v>
      </c>
      <c r="S1524" s="19" t="s">
        <v>29</v>
      </c>
      <c r="T1524" s="19" t="s">
        <v>30</v>
      </c>
      <c r="U1524" s="36" t="s">
        <v>1017</v>
      </c>
      <c r="V1524" s="37"/>
      <c r="W1524" s="7"/>
      <c r="X1524" s="7"/>
      <c r="Y1524" s="7"/>
      <c r="Z1524" s="7"/>
      <c r="AA1524" s="7"/>
    </row>
    <row r="1525" ht="18.75" customHeight="1">
      <c r="A1525" s="22" t="s">
        <v>1600</v>
      </c>
      <c r="B1525" s="63" t="s">
        <v>1601</v>
      </c>
      <c r="C1525" s="23" t="s">
        <v>33</v>
      </c>
      <c r="D1525" s="24">
        <v>1279.0</v>
      </c>
      <c r="E1525" s="22" t="s">
        <v>1646</v>
      </c>
      <c r="F1525" s="25" t="s">
        <v>26</v>
      </c>
      <c r="G1525" s="26" t="s">
        <v>27</v>
      </c>
      <c r="H1525" s="27">
        <v>4329.0</v>
      </c>
      <c r="I1525" s="28">
        <v>5.0</v>
      </c>
      <c r="J1525" s="29" t="s">
        <v>38</v>
      </c>
      <c r="K1525" s="30">
        <v>0.5</v>
      </c>
      <c r="L1525" s="31">
        <f t="shared" si="1"/>
        <v>2.5</v>
      </c>
      <c r="M1525" s="31">
        <f t="shared" si="2"/>
        <v>2.5</v>
      </c>
      <c r="N1525" s="32">
        <f t="shared" si="3"/>
        <v>2164.5</v>
      </c>
      <c r="O1525" s="32">
        <f t="shared" si="4"/>
        <v>2164.5</v>
      </c>
      <c r="P1525" s="32">
        <f t="shared" si="5"/>
        <v>2164.5</v>
      </c>
      <c r="Q1525" s="22">
        <v>0.0</v>
      </c>
      <c r="R1525" s="32">
        <f t="shared" si="6"/>
        <v>865.8</v>
      </c>
      <c r="S1525" s="33" t="s">
        <v>29</v>
      </c>
      <c r="T1525" s="33" t="s">
        <v>30</v>
      </c>
      <c r="U1525" s="38" t="s">
        <v>1647</v>
      </c>
      <c r="V1525" s="35"/>
      <c r="W1525" s="7"/>
      <c r="X1525" s="7"/>
      <c r="Y1525" s="7"/>
      <c r="Z1525" s="7"/>
      <c r="AA1525" s="7"/>
    </row>
    <row r="1526" ht="18.75" customHeight="1">
      <c r="A1526" s="8" t="s">
        <v>1600</v>
      </c>
      <c r="B1526" s="61" t="s">
        <v>1601</v>
      </c>
      <c r="C1526" s="9" t="s">
        <v>24</v>
      </c>
      <c r="D1526" s="10">
        <v>1280.0</v>
      </c>
      <c r="E1526" s="8" t="s">
        <v>226</v>
      </c>
      <c r="F1526" s="11" t="s">
        <v>37</v>
      </c>
      <c r="G1526" s="12" t="s">
        <v>27</v>
      </c>
      <c r="H1526" s="13">
        <v>945.0</v>
      </c>
      <c r="I1526" s="14">
        <v>15.0</v>
      </c>
      <c r="J1526" s="15" t="s">
        <v>54</v>
      </c>
      <c r="K1526" s="16">
        <v>0.3</v>
      </c>
      <c r="L1526" s="17">
        <f t="shared" si="1"/>
        <v>4.5</v>
      </c>
      <c r="M1526" s="17">
        <f t="shared" si="2"/>
        <v>10.5</v>
      </c>
      <c r="N1526" s="18">
        <f t="shared" si="3"/>
        <v>283.5</v>
      </c>
      <c r="O1526" s="18">
        <f t="shared" si="4"/>
        <v>661.5</v>
      </c>
      <c r="P1526" s="18">
        <f t="shared" si="5"/>
        <v>661.5</v>
      </c>
      <c r="Q1526" s="8">
        <v>0.0</v>
      </c>
      <c r="R1526" s="18">
        <f t="shared" si="6"/>
        <v>63</v>
      </c>
      <c r="S1526" s="19" t="s">
        <v>29</v>
      </c>
      <c r="T1526" s="19" t="s">
        <v>30</v>
      </c>
      <c r="U1526" s="20" t="s">
        <v>205</v>
      </c>
      <c r="V1526" s="37"/>
      <c r="W1526" s="7"/>
      <c r="X1526" s="7"/>
      <c r="Y1526" s="7"/>
      <c r="Z1526" s="7"/>
      <c r="AA1526" s="7"/>
    </row>
    <row r="1527" ht="18.75" customHeight="1">
      <c r="A1527" s="22" t="s">
        <v>1600</v>
      </c>
      <c r="B1527" s="63" t="s">
        <v>1601</v>
      </c>
      <c r="C1527" s="23" t="s">
        <v>534</v>
      </c>
      <c r="D1527" s="24">
        <v>1281.0</v>
      </c>
      <c r="E1527" s="22" t="s">
        <v>1648</v>
      </c>
      <c r="F1527" s="25" t="s">
        <v>26</v>
      </c>
      <c r="G1527" s="26" t="s">
        <v>27</v>
      </c>
      <c r="H1527" s="27">
        <v>695.0</v>
      </c>
      <c r="I1527" s="28">
        <v>5.0</v>
      </c>
      <c r="J1527" s="29" t="s">
        <v>38</v>
      </c>
      <c r="K1527" s="30">
        <v>0.5</v>
      </c>
      <c r="L1527" s="31">
        <f t="shared" si="1"/>
        <v>2.5</v>
      </c>
      <c r="M1527" s="31">
        <f t="shared" si="2"/>
        <v>2.5</v>
      </c>
      <c r="N1527" s="32">
        <f t="shared" si="3"/>
        <v>347.5</v>
      </c>
      <c r="O1527" s="32">
        <f t="shared" si="4"/>
        <v>347.5</v>
      </c>
      <c r="P1527" s="32">
        <f t="shared" si="5"/>
        <v>347.5</v>
      </c>
      <c r="Q1527" s="22">
        <v>0.0</v>
      </c>
      <c r="R1527" s="32">
        <f t="shared" si="6"/>
        <v>139</v>
      </c>
      <c r="S1527" s="33" t="s">
        <v>29</v>
      </c>
      <c r="T1527" s="33" t="s">
        <v>30</v>
      </c>
      <c r="U1527" s="38" t="s">
        <v>971</v>
      </c>
      <c r="V1527" s="35"/>
      <c r="W1527" s="7"/>
      <c r="X1527" s="7"/>
      <c r="Y1527" s="7"/>
      <c r="Z1527" s="7"/>
      <c r="AA1527" s="7"/>
    </row>
    <row r="1528" ht="18.75" customHeight="1">
      <c r="A1528" s="8" t="s">
        <v>1600</v>
      </c>
      <c r="B1528" s="61" t="s">
        <v>1601</v>
      </c>
      <c r="C1528" s="9" t="s">
        <v>24</v>
      </c>
      <c r="D1528" s="10">
        <v>1285.0</v>
      </c>
      <c r="E1528" s="8" t="s">
        <v>193</v>
      </c>
      <c r="F1528" s="11" t="s">
        <v>37</v>
      </c>
      <c r="G1528" s="12" t="s">
        <v>27</v>
      </c>
      <c r="H1528" s="13">
        <v>238.77</v>
      </c>
      <c r="I1528" s="14">
        <v>10.0</v>
      </c>
      <c r="J1528" s="15" t="s">
        <v>54</v>
      </c>
      <c r="K1528" s="16">
        <v>0.3</v>
      </c>
      <c r="L1528" s="17">
        <f t="shared" si="1"/>
        <v>3</v>
      </c>
      <c r="M1528" s="17">
        <f t="shared" si="2"/>
        <v>7</v>
      </c>
      <c r="N1528" s="18">
        <f t="shared" si="3"/>
        <v>71.631</v>
      </c>
      <c r="O1528" s="18">
        <f t="shared" si="4"/>
        <v>167.139</v>
      </c>
      <c r="P1528" s="18">
        <f t="shared" si="5"/>
        <v>167.139</v>
      </c>
      <c r="Q1528" s="8">
        <v>0.0</v>
      </c>
      <c r="R1528" s="18">
        <f t="shared" si="6"/>
        <v>23.877</v>
      </c>
      <c r="S1528" s="19" t="s">
        <v>29</v>
      </c>
      <c r="T1528" s="19" t="s">
        <v>30</v>
      </c>
      <c r="U1528" s="20" t="s">
        <v>194</v>
      </c>
      <c r="V1528" s="37"/>
      <c r="W1528" s="7"/>
      <c r="X1528" s="7"/>
      <c r="Y1528" s="7"/>
      <c r="Z1528" s="7"/>
      <c r="AA1528" s="7"/>
    </row>
    <row r="1529" ht="18.75" customHeight="1">
      <c r="A1529" s="22" t="s">
        <v>1600</v>
      </c>
      <c r="B1529" s="63" t="s">
        <v>1601</v>
      </c>
      <c r="C1529" s="23" t="s">
        <v>24</v>
      </c>
      <c r="D1529" s="24">
        <v>1286.0</v>
      </c>
      <c r="E1529" s="22" t="s">
        <v>193</v>
      </c>
      <c r="F1529" s="25" t="s">
        <v>37</v>
      </c>
      <c r="G1529" s="26" t="s">
        <v>27</v>
      </c>
      <c r="H1529" s="27">
        <v>238.77</v>
      </c>
      <c r="I1529" s="28">
        <v>10.0</v>
      </c>
      <c r="J1529" s="29" t="s">
        <v>54</v>
      </c>
      <c r="K1529" s="30">
        <v>0.3</v>
      </c>
      <c r="L1529" s="31">
        <f t="shared" si="1"/>
        <v>3</v>
      </c>
      <c r="M1529" s="31">
        <f t="shared" si="2"/>
        <v>7</v>
      </c>
      <c r="N1529" s="32">
        <f t="shared" si="3"/>
        <v>71.631</v>
      </c>
      <c r="O1529" s="32">
        <f t="shared" si="4"/>
        <v>167.139</v>
      </c>
      <c r="P1529" s="32">
        <f t="shared" si="5"/>
        <v>167.139</v>
      </c>
      <c r="Q1529" s="22">
        <v>0.0</v>
      </c>
      <c r="R1529" s="32">
        <f t="shared" si="6"/>
        <v>23.877</v>
      </c>
      <c r="S1529" s="33" t="s">
        <v>29</v>
      </c>
      <c r="T1529" s="33" t="s">
        <v>30</v>
      </c>
      <c r="U1529" s="34" t="s">
        <v>194</v>
      </c>
      <c r="V1529" s="35"/>
      <c r="W1529" s="7"/>
      <c r="X1529" s="7"/>
      <c r="Y1529" s="7"/>
      <c r="Z1529" s="7"/>
      <c r="AA1529" s="7"/>
    </row>
    <row r="1530" ht="18.75" customHeight="1">
      <c r="A1530" s="8" t="s">
        <v>1600</v>
      </c>
      <c r="B1530" s="61" t="s">
        <v>1601</v>
      </c>
      <c r="C1530" s="9" t="s">
        <v>24</v>
      </c>
      <c r="D1530" s="10">
        <v>1287.0</v>
      </c>
      <c r="E1530" s="8" t="s">
        <v>1649</v>
      </c>
      <c r="F1530" s="11" t="s">
        <v>37</v>
      </c>
      <c r="G1530" s="12" t="s">
        <v>27</v>
      </c>
      <c r="H1530" s="13">
        <v>238.77</v>
      </c>
      <c r="I1530" s="14">
        <v>10.0</v>
      </c>
      <c r="J1530" s="15" t="s">
        <v>54</v>
      </c>
      <c r="K1530" s="16">
        <v>0.3</v>
      </c>
      <c r="L1530" s="17">
        <f t="shared" si="1"/>
        <v>3</v>
      </c>
      <c r="M1530" s="17">
        <f t="shared" si="2"/>
        <v>7</v>
      </c>
      <c r="N1530" s="18">
        <f t="shared" si="3"/>
        <v>71.631</v>
      </c>
      <c r="O1530" s="18">
        <f t="shared" si="4"/>
        <v>167.139</v>
      </c>
      <c r="P1530" s="18">
        <f t="shared" si="5"/>
        <v>167.139</v>
      </c>
      <c r="Q1530" s="8">
        <v>0.0</v>
      </c>
      <c r="R1530" s="18">
        <f t="shared" si="6"/>
        <v>23.877</v>
      </c>
      <c r="S1530" s="19" t="s">
        <v>29</v>
      </c>
      <c r="T1530" s="19" t="s">
        <v>30</v>
      </c>
      <c r="U1530" s="20" t="s">
        <v>194</v>
      </c>
      <c r="V1530" s="37"/>
      <c r="W1530" s="7"/>
      <c r="X1530" s="7"/>
      <c r="Y1530" s="7"/>
      <c r="Z1530" s="7"/>
      <c r="AA1530" s="7"/>
    </row>
    <row r="1531" ht="18.75" customHeight="1">
      <c r="A1531" s="22" t="s">
        <v>1600</v>
      </c>
      <c r="B1531" s="63" t="s">
        <v>1601</v>
      </c>
      <c r="C1531" s="23" t="s">
        <v>24</v>
      </c>
      <c r="D1531" s="24">
        <v>1288.0</v>
      </c>
      <c r="E1531" s="22" t="s">
        <v>193</v>
      </c>
      <c r="F1531" s="25" t="s">
        <v>37</v>
      </c>
      <c r="G1531" s="26" t="s">
        <v>27</v>
      </c>
      <c r="H1531" s="27">
        <v>238.77</v>
      </c>
      <c r="I1531" s="28">
        <v>10.0</v>
      </c>
      <c r="J1531" s="29" t="s">
        <v>54</v>
      </c>
      <c r="K1531" s="30">
        <v>0.3</v>
      </c>
      <c r="L1531" s="31">
        <f t="shared" si="1"/>
        <v>3</v>
      </c>
      <c r="M1531" s="31">
        <f t="shared" si="2"/>
        <v>7</v>
      </c>
      <c r="N1531" s="32">
        <f t="shared" si="3"/>
        <v>71.631</v>
      </c>
      <c r="O1531" s="32">
        <f t="shared" si="4"/>
        <v>167.139</v>
      </c>
      <c r="P1531" s="32">
        <f t="shared" si="5"/>
        <v>167.139</v>
      </c>
      <c r="Q1531" s="22">
        <v>0.0</v>
      </c>
      <c r="R1531" s="32">
        <f t="shared" si="6"/>
        <v>23.877</v>
      </c>
      <c r="S1531" s="33" t="s">
        <v>29</v>
      </c>
      <c r="T1531" s="33" t="s">
        <v>30</v>
      </c>
      <c r="U1531" s="34" t="s">
        <v>194</v>
      </c>
      <c r="V1531" s="35"/>
      <c r="W1531" s="7"/>
      <c r="X1531" s="7"/>
      <c r="Y1531" s="7"/>
      <c r="Z1531" s="7"/>
      <c r="AA1531" s="7"/>
    </row>
    <row r="1532" ht="18.75" customHeight="1">
      <c r="A1532" s="8" t="s">
        <v>1600</v>
      </c>
      <c r="B1532" s="61" t="s">
        <v>1601</v>
      </c>
      <c r="C1532" s="9" t="s">
        <v>24</v>
      </c>
      <c r="D1532" s="10">
        <v>1289.0</v>
      </c>
      <c r="E1532" s="8" t="s">
        <v>564</v>
      </c>
      <c r="F1532" s="11" t="s">
        <v>26</v>
      </c>
      <c r="G1532" s="12" t="s">
        <v>27</v>
      </c>
      <c r="H1532" s="13">
        <v>798.0</v>
      </c>
      <c r="I1532" s="14">
        <v>5.0</v>
      </c>
      <c r="J1532" s="15" t="s">
        <v>54</v>
      </c>
      <c r="K1532" s="16">
        <v>0.3</v>
      </c>
      <c r="L1532" s="17">
        <f t="shared" si="1"/>
        <v>1.5</v>
      </c>
      <c r="M1532" s="17">
        <f t="shared" si="2"/>
        <v>3.5</v>
      </c>
      <c r="N1532" s="18">
        <f t="shared" si="3"/>
        <v>239.4</v>
      </c>
      <c r="O1532" s="18">
        <f t="shared" si="4"/>
        <v>558.6</v>
      </c>
      <c r="P1532" s="18">
        <f t="shared" si="5"/>
        <v>558.6</v>
      </c>
      <c r="Q1532" s="8">
        <v>0.0</v>
      </c>
      <c r="R1532" s="18">
        <f t="shared" si="6"/>
        <v>159.6</v>
      </c>
      <c r="S1532" s="19" t="s">
        <v>29</v>
      </c>
      <c r="T1532" s="19" t="s">
        <v>30</v>
      </c>
      <c r="U1532" s="20" t="s">
        <v>111</v>
      </c>
      <c r="V1532" s="37"/>
      <c r="W1532" s="7"/>
      <c r="X1532" s="7"/>
      <c r="Y1532" s="7"/>
      <c r="Z1532" s="7"/>
      <c r="AA1532" s="7"/>
    </row>
    <row r="1533" ht="18.75" customHeight="1">
      <c r="A1533" s="22" t="s">
        <v>1600</v>
      </c>
      <c r="B1533" s="63" t="s">
        <v>1601</v>
      </c>
      <c r="C1533" s="63" t="s">
        <v>24</v>
      </c>
      <c r="D1533" s="64">
        <v>1290.0</v>
      </c>
      <c r="E1533" s="22" t="s">
        <v>1650</v>
      </c>
      <c r="F1533" s="25" t="s">
        <v>26</v>
      </c>
      <c r="G1533" s="26" t="s">
        <v>27</v>
      </c>
      <c r="H1533" s="27">
        <v>209.9</v>
      </c>
      <c r="I1533" s="28">
        <v>5.0</v>
      </c>
      <c r="J1533" s="29" t="s">
        <v>154</v>
      </c>
      <c r="K1533" s="30">
        <v>0.8</v>
      </c>
      <c r="L1533" s="31">
        <f t="shared" si="1"/>
        <v>4</v>
      </c>
      <c r="M1533" s="31">
        <f t="shared" si="2"/>
        <v>1</v>
      </c>
      <c r="N1533" s="32">
        <f t="shared" si="3"/>
        <v>167.92</v>
      </c>
      <c r="O1533" s="32">
        <f t="shared" si="4"/>
        <v>41.98</v>
      </c>
      <c r="P1533" s="32">
        <f t="shared" si="5"/>
        <v>41.98</v>
      </c>
      <c r="Q1533" s="22">
        <v>0.0</v>
      </c>
      <c r="R1533" s="32">
        <f t="shared" si="6"/>
        <v>41.98</v>
      </c>
      <c r="S1533" s="33" t="s">
        <v>29</v>
      </c>
      <c r="T1533" s="33" t="s">
        <v>30</v>
      </c>
      <c r="U1533" s="38" t="s">
        <v>1651</v>
      </c>
      <c r="V1533" s="35"/>
      <c r="W1533" s="7"/>
      <c r="X1533" s="7"/>
      <c r="Y1533" s="7"/>
      <c r="Z1533" s="7"/>
      <c r="AA1533" s="7"/>
    </row>
    <row r="1534" ht="18.75" customHeight="1">
      <c r="A1534" s="8" t="s">
        <v>1600</v>
      </c>
      <c r="B1534" s="61" t="s">
        <v>1601</v>
      </c>
      <c r="C1534" s="61" t="s">
        <v>24</v>
      </c>
      <c r="D1534" s="62">
        <v>1291.0</v>
      </c>
      <c r="E1534" s="8" t="s">
        <v>1652</v>
      </c>
      <c r="F1534" s="11" t="s">
        <v>26</v>
      </c>
      <c r="G1534" s="12" t="s">
        <v>27</v>
      </c>
      <c r="H1534" s="13">
        <v>179.97</v>
      </c>
      <c r="I1534" s="14">
        <v>5.0</v>
      </c>
      <c r="J1534" s="15" t="s">
        <v>154</v>
      </c>
      <c r="K1534" s="16">
        <v>0.8</v>
      </c>
      <c r="L1534" s="17">
        <f t="shared" si="1"/>
        <v>4</v>
      </c>
      <c r="M1534" s="17">
        <f t="shared" si="2"/>
        <v>1</v>
      </c>
      <c r="N1534" s="18">
        <f t="shared" si="3"/>
        <v>143.976</v>
      </c>
      <c r="O1534" s="18">
        <f t="shared" si="4"/>
        <v>35.994</v>
      </c>
      <c r="P1534" s="18">
        <f t="shared" si="5"/>
        <v>35.994</v>
      </c>
      <c r="Q1534" s="8">
        <v>0.0</v>
      </c>
      <c r="R1534" s="18">
        <f t="shared" si="6"/>
        <v>35.994</v>
      </c>
      <c r="S1534" s="19" t="s">
        <v>29</v>
      </c>
      <c r="T1534" s="19" t="s">
        <v>30</v>
      </c>
      <c r="U1534" s="36" t="s">
        <v>733</v>
      </c>
      <c r="V1534" s="37"/>
      <c r="W1534" s="7"/>
      <c r="X1534" s="7"/>
      <c r="Y1534" s="7"/>
      <c r="Z1534" s="7"/>
      <c r="AA1534" s="7"/>
    </row>
    <row r="1535" ht="18.75" customHeight="1">
      <c r="A1535" s="22" t="s">
        <v>1600</v>
      </c>
      <c r="B1535" s="63" t="s">
        <v>1601</v>
      </c>
      <c r="C1535" s="23" t="s">
        <v>24</v>
      </c>
      <c r="D1535" s="24">
        <v>1292.0</v>
      </c>
      <c r="E1535" s="22" t="s">
        <v>1653</v>
      </c>
      <c r="F1535" s="25" t="s">
        <v>26</v>
      </c>
      <c r="G1535" s="26" t="s">
        <v>27</v>
      </c>
      <c r="H1535" s="27">
        <v>378.64</v>
      </c>
      <c r="I1535" s="28">
        <v>5.0</v>
      </c>
      <c r="J1535" s="45" t="s">
        <v>63</v>
      </c>
      <c r="K1535" s="42">
        <v>0.700000000000007</v>
      </c>
      <c r="L1535" s="31">
        <f t="shared" si="1"/>
        <v>3.5</v>
      </c>
      <c r="M1535" s="31">
        <f t="shared" si="2"/>
        <v>1.5</v>
      </c>
      <c r="N1535" s="32">
        <f t="shared" si="3"/>
        <v>265.048</v>
      </c>
      <c r="O1535" s="32">
        <f t="shared" si="4"/>
        <v>113.592</v>
      </c>
      <c r="P1535" s="32">
        <f t="shared" si="5"/>
        <v>113.592</v>
      </c>
      <c r="Q1535" s="22">
        <v>0.0</v>
      </c>
      <c r="R1535" s="32">
        <f t="shared" si="6"/>
        <v>75.728</v>
      </c>
      <c r="S1535" s="33" t="s">
        <v>29</v>
      </c>
      <c r="T1535" s="33" t="s">
        <v>30</v>
      </c>
      <c r="U1535" s="38" t="s">
        <v>572</v>
      </c>
      <c r="V1535" s="35"/>
      <c r="W1535" s="7"/>
      <c r="X1535" s="7"/>
      <c r="Y1535" s="7"/>
      <c r="Z1535" s="7"/>
      <c r="AA1535" s="7"/>
    </row>
    <row r="1536" ht="18.75" customHeight="1">
      <c r="A1536" s="8" t="s">
        <v>1600</v>
      </c>
      <c r="B1536" s="61" t="s">
        <v>1601</v>
      </c>
      <c r="C1536" s="9" t="s">
        <v>24</v>
      </c>
      <c r="D1536" s="10">
        <v>1293.0</v>
      </c>
      <c r="E1536" s="8" t="s">
        <v>1654</v>
      </c>
      <c r="F1536" s="11" t="s">
        <v>26</v>
      </c>
      <c r="G1536" s="12" t="s">
        <v>27</v>
      </c>
      <c r="H1536" s="13">
        <v>450.0</v>
      </c>
      <c r="I1536" s="14">
        <v>5.0</v>
      </c>
      <c r="J1536" s="15" t="s">
        <v>38</v>
      </c>
      <c r="K1536" s="16">
        <v>0.5</v>
      </c>
      <c r="L1536" s="17">
        <f t="shared" si="1"/>
        <v>2.5</v>
      </c>
      <c r="M1536" s="17">
        <f t="shared" si="2"/>
        <v>2.5</v>
      </c>
      <c r="N1536" s="18">
        <f t="shared" si="3"/>
        <v>225</v>
      </c>
      <c r="O1536" s="18">
        <f t="shared" si="4"/>
        <v>225</v>
      </c>
      <c r="P1536" s="18">
        <f t="shared" si="5"/>
        <v>225</v>
      </c>
      <c r="Q1536" s="8">
        <v>0.0</v>
      </c>
      <c r="R1536" s="18">
        <f t="shared" si="6"/>
        <v>90</v>
      </c>
      <c r="S1536" s="19" t="s">
        <v>29</v>
      </c>
      <c r="T1536" s="19" t="s">
        <v>30</v>
      </c>
      <c r="U1536" s="20" t="s">
        <v>292</v>
      </c>
      <c r="V1536" s="37"/>
      <c r="W1536" s="7"/>
      <c r="X1536" s="7"/>
      <c r="Y1536" s="7"/>
      <c r="Z1536" s="7"/>
      <c r="AA1536" s="7"/>
    </row>
    <row r="1537" ht="18.75" customHeight="1">
      <c r="A1537" s="22" t="s">
        <v>1600</v>
      </c>
      <c r="B1537" s="63" t="s">
        <v>1601</v>
      </c>
      <c r="C1537" s="23" t="s">
        <v>534</v>
      </c>
      <c r="D1537" s="24">
        <v>1294.0</v>
      </c>
      <c r="E1537" s="22" t="s">
        <v>1655</v>
      </c>
      <c r="F1537" s="25" t="s">
        <v>37</v>
      </c>
      <c r="G1537" s="26" t="s">
        <v>27</v>
      </c>
      <c r="H1537" s="27">
        <v>338.58</v>
      </c>
      <c r="I1537" s="28">
        <v>10.0</v>
      </c>
      <c r="J1537" s="29" t="s">
        <v>38</v>
      </c>
      <c r="K1537" s="30">
        <v>0.5</v>
      </c>
      <c r="L1537" s="31">
        <f t="shared" si="1"/>
        <v>5</v>
      </c>
      <c r="M1537" s="31">
        <f t="shared" si="2"/>
        <v>5</v>
      </c>
      <c r="N1537" s="32">
        <f t="shared" si="3"/>
        <v>169.29</v>
      </c>
      <c r="O1537" s="32">
        <f t="shared" si="4"/>
        <v>169.29</v>
      </c>
      <c r="P1537" s="32">
        <f t="shared" si="5"/>
        <v>169.29</v>
      </c>
      <c r="Q1537" s="22">
        <v>0.0</v>
      </c>
      <c r="R1537" s="32">
        <f t="shared" si="6"/>
        <v>33.858</v>
      </c>
      <c r="S1537" s="33" t="s">
        <v>29</v>
      </c>
      <c r="T1537" s="33" t="s">
        <v>30</v>
      </c>
      <c r="U1537" s="34" t="s">
        <v>304</v>
      </c>
      <c r="V1537" s="35"/>
      <c r="W1537" s="7"/>
      <c r="X1537" s="7"/>
      <c r="Y1537" s="7"/>
      <c r="Z1537" s="7"/>
      <c r="AA1537" s="7"/>
    </row>
    <row r="1538" ht="18.75" customHeight="1">
      <c r="A1538" s="8" t="s">
        <v>1600</v>
      </c>
      <c r="B1538" s="61" t="s">
        <v>1601</v>
      </c>
      <c r="C1538" s="9" t="s">
        <v>534</v>
      </c>
      <c r="D1538" s="10">
        <v>1295.0</v>
      </c>
      <c r="E1538" s="8" t="s">
        <v>716</v>
      </c>
      <c r="F1538" s="11" t="s">
        <v>37</v>
      </c>
      <c r="G1538" s="12" t="s">
        <v>27</v>
      </c>
      <c r="H1538" s="13">
        <v>101.86</v>
      </c>
      <c r="I1538" s="14">
        <v>10.0</v>
      </c>
      <c r="J1538" s="15" t="s">
        <v>28</v>
      </c>
      <c r="K1538" s="16">
        <v>0.4</v>
      </c>
      <c r="L1538" s="17">
        <f t="shared" si="1"/>
        <v>4</v>
      </c>
      <c r="M1538" s="17">
        <f t="shared" si="2"/>
        <v>6</v>
      </c>
      <c r="N1538" s="18">
        <f t="shared" si="3"/>
        <v>40.744</v>
      </c>
      <c r="O1538" s="18">
        <f t="shared" si="4"/>
        <v>61.116</v>
      </c>
      <c r="P1538" s="18">
        <f t="shared" si="5"/>
        <v>61.116</v>
      </c>
      <c r="Q1538" s="8">
        <v>0.0</v>
      </c>
      <c r="R1538" s="18">
        <f t="shared" si="6"/>
        <v>10.186</v>
      </c>
      <c r="S1538" s="19" t="s">
        <v>29</v>
      </c>
      <c r="T1538" s="19" t="s">
        <v>30</v>
      </c>
      <c r="U1538" s="36" t="s">
        <v>544</v>
      </c>
      <c r="V1538" s="37"/>
      <c r="W1538" s="7"/>
      <c r="X1538" s="7"/>
      <c r="Y1538" s="7"/>
      <c r="Z1538" s="7"/>
      <c r="AA1538" s="7"/>
    </row>
    <row r="1539" ht="18.75" customHeight="1">
      <c r="A1539" s="22" t="s">
        <v>1600</v>
      </c>
      <c r="B1539" s="63" t="s">
        <v>1601</v>
      </c>
      <c r="C1539" s="23" t="s">
        <v>24</v>
      </c>
      <c r="D1539" s="24">
        <v>1296.0</v>
      </c>
      <c r="E1539" s="22" t="s">
        <v>1656</v>
      </c>
      <c r="F1539" s="25" t="s">
        <v>26</v>
      </c>
      <c r="G1539" s="26" t="s">
        <v>27</v>
      </c>
      <c r="H1539" s="27">
        <v>1804.05</v>
      </c>
      <c r="I1539" s="28">
        <v>5.0</v>
      </c>
      <c r="J1539" s="29" t="s">
        <v>28</v>
      </c>
      <c r="K1539" s="30">
        <v>0.4</v>
      </c>
      <c r="L1539" s="31">
        <f t="shared" si="1"/>
        <v>2</v>
      </c>
      <c r="M1539" s="31">
        <f t="shared" si="2"/>
        <v>3</v>
      </c>
      <c r="N1539" s="32">
        <f t="shared" si="3"/>
        <v>721.62</v>
      </c>
      <c r="O1539" s="32">
        <f t="shared" si="4"/>
        <v>1082.43</v>
      </c>
      <c r="P1539" s="32">
        <f t="shared" si="5"/>
        <v>1082.43</v>
      </c>
      <c r="Q1539" s="22">
        <v>0.0</v>
      </c>
      <c r="R1539" s="32">
        <f t="shared" si="6"/>
        <v>360.81</v>
      </c>
      <c r="S1539" s="33" t="s">
        <v>29</v>
      </c>
      <c r="T1539" s="33" t="s">
        <v>30</v>
      </c>
      <c r="U1539" s="38" t="s">
        <v>1657</v>
      </c>
      <c r="V1539" s="35"/>
      <c r="W1539" s="7"/>
      <c r="X1539" s="7"/>
      <c r="Y1539" s="7"/>
      <c r="Z1539" s="7"/>
      <c r="AA1539" s="7"/>
    </row>
    <row r="1540" ht="18.75" customHeight="1">
      <c r="A1540" s="8" t="s">
        <v>1600</v>
      </c>
      <c r="B1540" s="61" t="s">
        <v>1601</v>
      </c>
      <c r="C1540" s="9" t="s">
        <v>24</v>
      </c>
      <c r="D1540" s="10">
        <v>1297.0</v>
      </c>
      <c r="E1540" s="8" t="s">
        <v>1658</v>
      </c>
      <c r="F1540" s="11" t="s">
        <v>26</v>
      </c>
      <c r="G1540" s="12" t="s">
        <v>27</v>
      </c>
      <c r="H1540" s="13">
        <v>531.9</v>
      </c>
      <c r="I1540" s="14">
        <v>10.0</v>
      </c>
      <c r="J1540" s="15" t="s">
        <v>28</v>
      </c>
      <c r="K1540" s="16">
        <v>0.4</v>
      </c>
      <c r="L1540" s="17">
        <f t="shared" si="1"/>
        <v>4</v>
      </c>
      <c r="M1540" s="17">
        <f t="shared" si="2"/>
        <v>6</v>
      </c>
      <c r="N1540" s="18">
        <f t="shared" si="3"/>
        <v>212.76</v>
      </c>
      <c r="O1540" s="18">
        <f t="shared" si="4"/>
        <v>319.14</v>
      </c>
      <c r="P1540" s="18">
        <f t="shared" si="5"/>
        <v>319.14</v>
      </c>
      <c r="Q1540" s="8">
        <v>0.0</v>
      </c>
      <c r="R1540" s="18">
        <f t="shared" si="6"/>
        <v>53.19</v>
      </c>
      <c r="S1540" s="19" t="s">
        <v>29</v>
      </c>
      <c r="T1540" s="19" t="s">
        <v>30</v>
      </c>
      <c r="U1540" s="20" t="s">
        <v>191</v>
      </c>
      <c r="V1540" s="37"/>
      <c r="W1540" s="7"/>
      <c r="X1540" s="7"/>
      <c r="Y1540" s="7"/>
      <c r="Z1540" s="7"/>
      <c r="AA1540" s="7"/>
    </row>
    <row r="1541" ht="18.75" customHeight="1">
      <c r="A1541" s="22" t="s">
        <v>1600</v>
      </c>
      <c r="B1541" s="63" t="s">
        <v>1601</v>
      </c>
      <c r="C1541" s="23" t="s">
        <v>24</v>
      </c>
      <c r="D1541" s="24">
        <v>1298.0</v>
      </c>
      <c r="E1541" s="22" t="s">
        <v>1659</v>
      </c>
      <c r="F1541" s="25" t="s">
        <v>26</v>
      </c>
      <c r="G1541" s="26" t="s">
        <v>27</v>
      </c>
      <c r="H1541" s="27">
        <v>3180.08</v>
      </c>
      <c r="I1541" s="28">
        <v>5.0</v>
      </c>
      <c r="J1541" s="29" t="s">
        <v>38</v>
      </c>
      <c r="K1541" s="30">
        <v>0.5</v>
      </c>
      <c r="L1541" s="31">
        <f t="shared" si="1"/>
        <v>2.5</v>
      </c>
      <c r="M1541" s="31">
        <f t="shared" si="2"/>
        <v>2.5</v>
      </c>
      <c r="N1541" s="32">
        <f t="shared" si="3"/>
        <v>1590.04</v>
      </c>
      <c r="O1541" s="32">
        <f t="shared" si="4"/>
        <v>1590.04</v>
      </c>
      <c r="P1541" s="32">
        <f t="shared" si="5"/>
        <v>1590.04</v>
      </c>
      <c r="Q1541" s="22">
        <v>0.0</v>
      </c>
      <c r="R1541" s="32">
        <f t="shared" si="6"/>
        <v>636.016</v>
      </c>
      <c r="S1541" s="33" t="s">
        <v>29</v>
      </c>
      <c r="T1541" s="33" t="s">
        <v>30</v>
      </c>
      <c r="U1541" s="38" t="s">
        <v>622</v>
      </c>
      <c r="V1541" s="35"/>
      <c r="W1541" s="7"/>
      <c r="X1541" s="7"/>
      <c r="Y1541" s="7"/>
      <c r="Z1541" s="7"/>
      <c r="AA1541" s="7"/>
    </row>
    <row r="1542" ht="18.75" customHeight="1">
      <c r="A1542" s="8" t="s">
        <v>1600</v>
      </c>
      <c r="B1542" s="61" t="s">
        <v>1601</v>
      </c>
      <c r="C1542" s="9" t="s">
        <v>24</v>
      </c>
      <c r="D1542" s="10">
        <v>1299.0</v>
      </c>
      <c r="E1542" s="8" t="s">
        <v>1660</v>
      </c>
      <c r="F1542" s="11" t="s">
        <v>26</v>
      </c>
      <c r="G1542" s="12" t="s">
        <v>27</v>
      </c>
      <c r="H1542" s="13">
        <v>131.58</v>
      </c>
      <c r="I1542" s="14">
        <v>5.0</v>
      </c>
      <c r="J1542" s="15" t="s">
        <v>38</v>
      </c>
      <c r="K1542" s="16">
        <v>0.5</v>
      </c>
      <c r="L1542" s="17">
        <f t="shared" si="1"/>
        <v>2.5</v>
      </c>
      <c r="M1542" s="17">
        <f t="shared" si="2"/>
        <v>2.5</v>
      </c>
      <c r="N1542" s="18">
        <f t="shared" si="3"/>
        <v>65.79</v>
      </c>
      <c r="O1542" s="18">
        <f t="shared" si="4"/>
        <v>65.79</v>
      </c>
      <c r="P1542" s="18">
        <f t="shared" si="5"/>
        <v>65.79</v>
      </c>
      <c r="Q1542" s="8">
        <v>0.0</v>
      </c>
      <c r="R1542" s="18">
        <f t="shared" si="6"/>
        <v>26.316</v>
      </c>
      <c r="S1542" s="19" t="s">
        <v>29</v>
      </c>
      <c r="T1542" s="19" t="s">
        <v>30</v>
      </c>
      <c r="U1542" s="20" t="s">
        <v>268</v>
      </c>
      <c r="V1542" s="37"/>
      <c r="W1542" s="7"/>
      <c r="X1542" s="7"/>
      <c r="Y1542" s="7"/>
      <c r="Z1542" s="7"/>
      <c r="AA1542" s="7"/>
    </row>
    <row r="1543" ht="18.75" customHeight="1">
      <c r="A1543" s="22" t="s">
        <v>1600</v>
      </c>
      <c r="B1543" s="63" t="s">
        <v>1601</v>
      </c>
      <c r="C1543" s="23" t="s">
        <v>24</v>
      </c>
      <c r="D1543" s="24">
        <v>1300.0</v>
      </c>
      <c r="E1543" s="22" t="s">
        <v>1661</v>
      </c>
      <c r="F1543" s="25" t="s">
        <v>37</v>
      </c>
      <c r="G1543" s="26" t="s">
        <v>27</v>
      </c>
      <c r="H1543" s="27">
        <v>529.0</v>
      </c>
      <c r="I1543" s="28">
        <v>10.0</v>
      </c>
      <c r="J1543" s="29" t="s">
        <v>28</v>
      </c>
      <c r="K1543" s="30">
        <v>0.4</v>
      </c>
      <c r="L1543" s="31">
        <f t="shared" si="1"/>
        <v>4</v>
      </c>
      <c r="M1543" s="31">
        <f t="shared" si="2"/>
        <v>6</v>
      </c>
      <c r="N1543" s="32">
        <f t="shared" si="3"/>
        <v>211.6</v>
      </c>
      <c r="O1543" s="32">
        <f t="shared" si="4"/>
        <v>317.4</v>
      </c>
      <c r="P1543" s="32">
        <f t="shared" si="5"/>
        <v>317.4</v>
      </c>
      <c r="Q1543" s="22">
        <v>0.0</v>
      </c>
      <c r="R1543" s="32">
        <f t="shared" si="6"/>
        <v>52.9</v>
      </c>
      <c r="S1543" s="33" t="s">
        <v>29</v>
      </c>
      <c r="T1543" s="33" t="s">
        <v>30</v>
      </c>
      <c r="U1543" s="34" t="s">
        <v>275</v>
      </c>
      <c r="V1543" s="35"/>
      <c r="W1543" s="7"/>
      <c r="X1543" s="7"/>
      <c r="Y1543" s="7"/>
      <c r="Z1543" s="7"/>
      <c r="AA1543" s="7"/>
    </row>
    <row r="1544" ht="18.75" customHeight="1">
      <c r="A1544" s="8" t="s">
        <v>1600</v>
      </c>
      <c r="B1544" s="61" t="s">
        <v>1601</v>
      </c>
      <c r="C1544" s="9" t="s">
        <v>24</v>
      </c>
      <c r="D1544" s="10">
        <v>1301.0</v>
      </c>
      <c r="E1544" s="8" t="s">
        <v>1662</v>
      </c>
      <c r="F1544" s="11" t="s">
        <v>26</v>
      </c>
      <c r="G1544" s="12" t="s">
        <v>27</v>
      </c>
      <c r="H1544" s="13">
        <v>531.9</v>
      </c>
      <c r="I1544" s="14">
        <v>10.0</v>
      </c>
      <c r="J1544" s="15" t="s">
        <v>38</v>
      </c>
      <c r="K1544" s="16">
        <v>0.5</v>
      </c>
      <c r="L1544" s="17">
        <f t="shared" si="1"/>
        <v>5</v>
      </c>
      <c r="M1544" s="17">
        <f t="shared" si="2"/>
        <v>5</v>
      </c>
      <c r="N1544" s="18">
        <f t="shared" si="3"/>
        <v>265.95</v>
      </c>
      <c r="O1544" s="18">
        <f t="shared" si="4"/>
        <v>265.95</v>
      </c>
      <c r="P1544" s="18">
        <f t="shared" si="5"/>
        <v>265.95</v>
      </c>
      <c r="Q1544" s="8">
        <v>0.0</v>
      </c>
      <c r="R1544" s="18">
        <f t="shared" si="6"/>
        <v>53.19</v>
      </c>
      <c r="S1544" s="19" t="s">
        <v>29</v>
      </c>
      <c r="T1544" s="19" t="s">
        <v>30</v>
      </c>
      <c r="U1544" s="20" t="s">
        <v>191</v>
      </c>
      <c r="V1544" s="37"/>
      <c r="W1544" s="7"/>
      <c r="X1544" s="7"/>
      <c r="Y1544" s="7"/>
      <c r="Z1544" s="7"/>
      <c r="AA1544" s="7"/>
    </row>
    <row r="1545" ht="18.75" customHeight="1">
      <c r="A1545" s="22" t="s">
        <v>1600</v>
      </c>
      <c r="B1545" s="63" t="s">
        <v>1601</v>
      </c>
      <c r="C1545" s="23" t="s">
        <v>24</v>
      </c>
      <c r="D1545" s="24">
        <v>1302.0</v>
      </c>
      <c r="E1545" s="22" t="s">
        <v>1663</v>
      </c>
      <c r="F1545" s="25" t="s">
        <v>26</v>
      </c>
      <c r="G1545" s="26" t="s">
        <v>27</v>
      </c>
      <c r="H1545" s="27">
        <v>235.03</v>
      </c>
      <c r="I1545" s="28">
        <v>10.0</v>
      </c>
      <c r="J1545" s="45" t="s">
        <v>63</v>
      </c>
      <c r="K1545" s="30">
        <v>0.700000000000007</v>
      </c>
      <c r="L1545" s="31">
        <f t="shared" si="1"/>
        <v>7</v>
      </c>
      <c r="M1545" s="31">
        <f t="shared" si="2"/>
        <v>3</v>
      </c>
      <c r="N1545" s="32">
        <f t="shared" si="3"/>
        <v>164.521</v>
      </c>
      <c r="O1545" s="32">
        <f t="shared" si="4"/>
        <v>70.509</v>
      </c>
      <c r="P1545" s="32">
        <f t="shared" si="5"/>
        <v>70.509</v>
      </c>
      <c r="Q1545" s="22">
        <v>0.0</v>
      </c>
      <c r="R1545" s="32">
        <f t="shared" si="6"/>
        <v>23.503</v>
      </c>
      <c r="S1545" s="33" t="s">
        <v>29</v>
      </c>
      <c r="T1545" s="33" t="s">
        <v>30</v>
      </c>
      <c r="U1545" s="34" t="s">
        <v>96</v>
      </c>
      <c r="V1545" s="35"/>
      <c r="W1545" s="7"/>
      <c r="X1545" s="7"/>
      <c r="Y1545" s="7"/>
      <c r="Z1545" s="7"/>
      <c r="AA1545" s="7"/>
    </row>
    <row r="1546" ht="18.75" customHeight="1">
      <c r="A1546" s="8" t="s">
        <v>1600</v>
      </c>
      <c r="B1546" s="61" t="s">
        <v>1601</v>
      </c>
      <c r="C1546" s="9" t="s">
        <v>24</v>
      </c>
      <c r="D1546" s="10">
        <v>1303.0</v>
      </c>
      <c r="E1546" s="8" t="s">
        <v>1664</v>
      </c>
      <c r="F1546" s="11" t="s">
        <v>26</v>
      </c>
      <c r="G1546" s="12" t="s">
        <v>27</v>
      </c>
      <c r="H1546" s="13">
        <v>359.9</v>
      </c>
      <c r="I1546" s="14">
        <v>5.0</v>
      </c>
      <c r="J1546" s="15" t="s">
        <v>38</v>
      </c>
      <c r="K1546" s="16">
        <v>0.5</v>
      </c>
      <c r="L1546" s="17">
        <f t="shared" si="1"/>
        <v>2.5</v>
      </c>
      <c r="M1546" s="17">
        <f t="shared" si="2"/>
        <v>2.5</v>
      </c>
      <c r="N1546" s="18">
        <f t="shared" si="3"/>
        <v>179.95</v>
      </c>
      <c r="O1546" s="18">
        <f t="shared" si="4"/>
        <v>179.95</v>
      </c>
      <c r="P1546" s="18">
        <f t="shared" si="5"/>
        <v>179.95</v>
      </c>
      <c r="Q1546" s="8">
        <v>0.0</v>
      </c>
      <c r="R1546" s="18">
        <f t="shared" si="6"/>
        <v>71.98</v>
      </c>
      <c r="S1546" s="19" t="s">
        <v>29</v>
      </c>
      <c r="T1546" s="19" t="s">
        <v>30</v>
      </c>
      <c r="U1546" s="20" t="s">
        <v>104</v>
      </c>
      <c r="V1546" s="37"/>
      <c r="W1546" s="7"/>
      <c r="X1546" s="7"/>
      <c r="Y1546" s="7"/>
      <c r="Z1546" s="7"/>
      <c r="AA1546" s="7"/>
    </row>
    <row r="1547" ht="18.75" customHeight="1">
      <c r="A1547" s="22" t="s">
        <v>1600</v>
      </c>
      <c r="B1547" s="63" t="s">
        <v>1601</v>
      </c>
      <c r="C1547" s="23" t="s">
        <v>24</v>
      </c>
      <c r="D1547" s="24">
        <v>1304.0</v>
      </c>
      <c r="E1547" s="22" t="s">
        <v>1665</v>
      </c>
      <c r="F1547" s="25" t="s">
        <v>26</v>
      </c>
      <c r="G1547" s="26" t="s">
        <v>27</v>
      </c>
      <c r="H1547" s="27">
        <v>130.0</v>
      </c>
      <c r="I1547" s="28">
        <v>5.0</v>
      </c>
      <c r="J1547" s="45" t="s">
        <v>63</v>
      </c>
      <c r="K1547" s="30">
        <v>0.700000000000007</v>
      </c>
      <c r="L1547" s="31">
        <f t="shared" si="1"/>
        <v>3.5</v>
      </c>
      <c r="M1547" s="31">
        <f t="shared" si="2"/>
        <v>1.5</v>
      </c>
      <c r="N1547" s="32">
        <f t="shared" si="3"/>
        <v>91</v>
      </c>
      <c r="O1547" s="32">
        <f t="shared" si="4"/>
        <v>39</v>
      </c>
      <c r="P1547" s="32">
        <f t="shared" si="5"/>
        <v>39</v>
      </c>
      <c r="Q1547" s="22">
        <v>0.0</v>
      </c>
      <c r="R1547" s="32">
        <f t="shared" si="6"/>
        <v>26</v>
      </c>
      <c r="S1547" s="33" t="s">
        <v>29</v>
      </c>
      <c r="T1547" s="33" t="s">
        <v>30</v>
      </c>
      <c r="U1547" s="34" t="s">
        <v>175</v>
      </c>
      <c r="V1547" s="35"/>
      <c r="W1547" s="7"/>
      <c r="X1547" s="7"/>
      <c r="Y1547" s="7"/>
      <c r="Z1547" s="7"/>
      <c r="AA1547" s="7"/>
    </row>
    <row r="1548" ht="18.75" customHeight="1">
      <c r="A1548" s="8" t="s">
        <v>1600</v>
      </c>
      <c r="B1548" s="61" t="s">
        <v>1601</v>
      </c>
      <c r="C1548" s="9" t="s">
        <v>24</v>
      </c>
      <c r="D1548" s="10">
        <v>1305.0</v>
      </c>
      <c r="E1548" s="8" t="s">
        <v>1666</v>
      </c>
      <c r="F1548" s="11" t="s">
        <v>26</v>
      </c>
      <c r="G1548" s="12" t="s">
        <v>27</v>
      </c>
      <c r="H1548" s="13">
        <v>834.05</v>
      </c>
      <c r="I1548" s="14">
        <v>10.0</v>
      </c>
      <c r="J1548" s="48" t="s">
        <v>63</v>
      </c>
      <c r="K1548" s="16">
        <v>0.700000000000007</v>
      </c>
      <c r="L1548" s="17">
        <f t="shared" si="1"/>
        <v>7</v>
      </c>
      <c r="M1548" s="17">
        <f t="shared" si="2"/>
        <v>3</v>
      </c>
      <c r="N1548" s="18">
        <f t="shared" si="3"/>
        <v>583.835</v>
      </c>
      <c r="O1548" s="18">
        <f t="shared" si="4"/>
        <v>250.215</v>
      </c>
      <c r="P1548" s="18">
        <f t="shared" si="5"/>
        <v>250.215</v>
      </c>
      <c r="Q1548" s="8">
        <v>0.0</v>
      </c>
      <c r="R1548" s="18">
        <f t="shared" si="6"/>
        <v>83.405</v>
      </c>
      <c r="S1548" s="19" t="s">
        <v>29</v>
      </c>
      <c r="T1548" s="19" t="s">
        <v>30</v>
      </c>
      <c r="U1548" s="36" t="s">
        <v>559</v>
      </c>
      <c r="V1548" s="37"/>
      <c r="W1548" s="7"/>
      <c r="X1548" s="7"/>
      <c r="Y1548" s="7"/>
      <c r="Z1548" s="7"/>
      <c r="AA1548" s="7"/>
    </row>
    <row r="1549" ht="18.75" customHeight="1">
      <c r="A1549" s="22" t="s">
        <v>1600</v>
      </c>
      <c r="B1549" s="63" t="s">
        <v>1601</v>
      </c>
      <c r="C1549" s="23" t="s">
        <v>24</v>
      </c>
      <c r="D1549" s="24">
        <v>1306.0</v>
      </c>
      <c r="E1549" s="22" t="s">
        <v>561</v>
      </c>
      <c r="F1549" s="25" t="s">
        <v>37</v>
      </c>
      <c r="G1549" s="26" t="s">
        <v>27</v>
      </c>
      <c r="H1549" s="27">
        <v>529.0</v>
      </c>
      <c r="I1549" s="28">
        <v>10.0</v>
      </c>
      <c r="J1549" s="29" t="s">
        <v>28</v>
      </c>
      <c r="K1549" s="30">
        <v>0.4</v>
      </c>
      <c r="L1549" s="31">
        <f t="shared" si="1"/>
        <v>4</v>
      </c>
      <c r="M1549" s="31">
        <f t="shared" si="2"/>
        <v>6</v>
      </c>
      <c r="N1549" s="32">
        <f t="shared" si="3"/>
        <v>211.6</v>
      </c>
      <c r="O1549" s="32">
        <f t="shared" si="4"/>
        <v>317.4</v>
      </c>
      <c r="P1549" s="32">
        <f t="shared" si="5"/>
        <v>317.4</v>
      </c>
      <c r="Q1549" s="22">
        <v>0.0</v>
      </c>
      <c r="R1549" s="32">
        <f t="shared" si="6"/>
        <v>52.9</v>
      </c>
      <c r="S1549" s="33" t="s">
        <v>29</v>
      </c>
      <c r="T1549" s="33" t="s">
        <v>30</v>
      </c>
      <c r="U1549" s="34" t="s">
        <v>275</v>
      </c>
      <c r="V1549" s="35"/>
      <c r="W1549" s="7"/>
      <c r="X1549" s="7"/>
      <c r="Y1549" s="7"/>
      <c r="Z1549" s="7"/>
      <c r="AA1549" s="7"/>
    </row>
    <row r="1550" ht="18.75" customHeight="1">
      <c r="A1550" s="8" t="s">
        <v>1600</v>
      </c>
      <c r="B1550" s="61" t="s">
        <v>1601</v>
      </c>
      <c r="C1550" s="9" t="s">
        <v>24</v>
      </c>
      <c r="D1550" s="10">
        <v>1308.0</v>
      </c>
      <c r="E1550" s="8" t="s">
        <v>1667</v>
      </c>
      <c r="F1550" s="11" t="s">
        <v>26</v>
      </c>
      <c r="G1550" s="12" t="s">
        <v>27</v>
      </c>
      <c r="H1550" s="13">
        <v>2563.29</v>
      </c>
      <c r="I1550" s="14">
        <v>5.0</v>
      </c>
      <c r="J1550" s="15" t="s">
        <v>38</v>
      </c>
      <c r="K1550" s="16">
        <v>0.5</v>
      </c>
      <c r="L1550" s="17">
        <f t="shared" si="1"/>
        <v>2.5</v>
      </c>
      <c r="M1550" s="17">
        <f t="shared" si="2"/>
        <v>2.5</v>
      </c>
      <c r="N1550" s="18">
        <f t="shared" si="3"/>
        <v>1281.645</v>
      </c>
      <c r="O1550" s="18">
        <f t="shared" si="4"/>
        <v>1281.645</v>
      </c>
      <c r="P1550" s="18">
        <f t="shared" si="5"/>
        <v>1281.645</v>
      </c>
      <c r="Q1550" s="8">
        <v>0.0</v>
      </c>
      <c r="R1550" s="18">
        <f t="shared" si="6"/>
        <v>512.658</v>
      </c>
      <c r="S1550" s="19" t="s">
        <v>29</v>
      </c>
      <c r="T1550" s="19" t="s">
        <v>30</v>
      </c>
      <c r="U1550" s="20" t="s">
        <v>260</v>
      </c>
      <c r="V1550" s="37"/>
      <c r="W1550" s="7"/>
      <c r="X1550" s="7"/>
      <c r="Y1550" s="7"/>
      <c r="Z1550" s="7"/>
      <c r="AA1550" s="7"/>
    </row>
    <row r="1551" ht="18.75" customHeight="1">
      <c r="A1551" s="22" t="s">
        <v>1600</v>
      </c>
      <c r="B1551" s="63" t="s">
        <v>1601</v>
      </c>
      <c r="C1551" s="23" t="s">
        <v>24</v>
      </c>
      <c r="D1551" s="24">
        <v>1309.0</v>
      </c>
      <c r="E1551" s="22" t="s">
        <v>1668</v>
      </c>
      <c r="F1551" s="25" t="s">
        <v>37</v>
      </c>
      <c r="G1551" s="26" t="s">
        <v>27</v>
      </c>
      <c r="H1551" s="27">
        <v>1614.0</v>
      </c>
      <c r="I1551" s="28">
        <v>10.0</v>
      </c>
      <c r="J1551" s="29" t="s">
        <v>38</v>
      </c>
      <c r="K1551" s="30">
        <v>0.5</v>
      </c>
      <c r="L1551" s="31">
        <f t="shared" si="1"/>
        <v>5</v>
      </c>
      <c r="M1551" s="31">
        <f t="shared" si="2"/>
        <v>5</v>
      </c>
      <c r="N1551" s="32">
        <f t="shared" si="3"/>
        <v>807</v>
      </c>
      <c r="O1551" s="32">
        <f t="shared" si="4"/>
        <v>807</v>
      </c>
      <c r="P1551" s="32">
        <f t="shared" si="5"/>
        <v>807</v>
      </c>
      <c r="Q1551" s="22">
        <v>0.0</v>
      </c>
      <c r="R1551" s="32">
        <f t="shared" si="6"/>
        <v>161.4</v>
      </c>
      <c r="S1551" s="33" t="s">
        <v>29</v>
      </c>
      <c r="T1551" s="33" t="s">
        <v>30</v>
      </c>
      <c r="U1551" s="34" t="s">
        <v>411</v>
      </c>
      <c r="V1551" s="35"/>
      <c r="W1551" s="7"/>
      <c r="X1551" s="7"/>
      <c r="Y1551" s="7"/>
      <c r="Z1551" s="7"/>
      <c r="AA1551" s="7"/>
    </row>
    <row r="1552" ht="18.75" customHeight="1">
      <c r="A1552" s="8" t="s">
        <v>1600</v>
      </c>
      <c r="B1552" s="61" t="s">
        <v>1601</v>
      </c>
      <c r="C1552" s="9" t="s">
        <v>24</v>
      </c>
      <c r="D1552" s="10">
        <v>1310.0</v>
      </c>
      <c r="E1552" s="8" t="s">
        <v>1669</v>
      </c>
      <c r="F1552" s="11" t="s">
        <v>26</v>
      </c>
      <c r="G1552" s="12" t="s">
        <v>27</v>
      </c>
      <c r="H1552" s="13">
        <v>4190.0</v>
      </c>
      <c r="I1552" s="14">
        <v>5.0</v>
      </c>
      <c r="J1552" s="48" t="s">
        <v>63</v>
      </c>
      <c r="K1552" s="16">
        <v>0.700000000000007</v>
      </c>
      <c r="L1552" s="17">
        <f t="shared" si="1"/>
        <v>3.5</v>
      </c>
      <c r="M1552" s="17">
        <f t="shared" si="2"/>
        <v>1.5</v>
      </c>
      <c r="N1552" s="18">
        <f t="shared" si="3"/>
        <v>2933</v>
      </c>
      <c r="O1552" s="18">
        <f t="shared" si="4"/>
        <v>1257</v>
      </c>
      <c r="P1552" s="18">
        <f t="shared" si="5"/>
        <v>1257</v>
      </c>
      <c r="Q1552" s="8">
        <v>0.0</v>
      </c>
      <c r="R1552" s="18">
        <f t="shared" si="6"/>
        <v>838</v>
      </c>
      <c r="S1552" s="19" t="s">
        <v>29</v>
      </c>
      <c r="T1552" s="19" t="s">
        <v>30</v>
      </c>
      <c r="U1552" s="36" t="s">
        <v>1670</v>
      </c>
      <c r="V1552" s="37"/>
      <c r="W1552" s="7"/>
      <c r="X1552" s="7"/>
      <c r="Y1552" s="7"/>
      <c r="Z1552" s="7"/>
      <c r="AA1552" s="7"/>
    </row>
    <row r="1553" ht="18.75" customHeight="1">
      <c r="A1553" s="22" t="s">
        <v>1600</v>
      </c>
      <c r="B1553" s="63" t="s">
        <v>1601</v>
      </c>
      <c r="C1553" s="23" t="s">
        <v>24</v>
      </c>
      <c r="D1553" s="24">
        <v>1311.0</v>
      </c>
      <c r="E1553" s="22" t="s">
        <v>1671</v>
      </c>
      <c r="F1553" s="25" t="s">
        <v>26</v>
      </c>
      <c r="G1553" s="26" t="s">
        <v>27</v>
      </c>
      <c r="H1553" s="27">
        <v>1971.0</v>
      </c>
      <c r="I1553" s="28">
        <v>5.0</v>
      </c>
      <c r="J1553" s="29" t="s">
        <v>38</v>
      </c>
      <c r="K1553" s="30">
        <v>0.5</v>
      </c>
      <c r="L1553" s="31">
        <f t="shared" si="1"/>
        <v>2.5</v>
      </c>
      <c r="M1553" s="31">
        <f t="shared" si="2"/>
        <v>2.5</v>
      </c>
      <c r="N1553" s="32">
        <f t="shared" si="3"/>
        <v>985.5</v>
      </c>
      <c r="O1553" s="32">
        <f t="shared" si="4"/>
        <v>985.5</v>
      </c>
      <c r="P1553" s="32">
        <f t="shared" si="5"/>
        <v>985.5</v>
      </c>
      <c r="Q1553" s="22">
        <v>0.0</v>
      </c>
      <c r="R1553" s="32">
        <f t="shared" si="6"/>
        <v>394.2</v>
      </c>
      <c r="S1553" s="33" t="s">
        <v>29</v>
      </c>
      <c r="T1553" s="33" t="s">
        <v>30</v>
      </c>
      <c r="U1553" s="38" t="s">
        <v>1672</v>
      </c>
      <c r="V1553" s="35"/>
      <c r="W1553" s="7"/>
      <c r="X1553" s="7"/>
      <c r="Y1553" s="7"/>
      <c r="Z1553" s="7"/>
      <c r="AA1553" s="7"/>
    </row>
    <row r="1554" ht="18.75" customHeight="1">
      <c r="A1554" s="8" t="s">
        <v>1600</v>
      </c>
      <c r="B1554" s="61" t="s">
        <v>1601</v>
      </c>
      <c r="C1554" s="9" t="s">
        <v>24</v>
      </c>
      <c r="D1554" s="10">
        <v>1313.0</v>
      </c>
      <c r="E1554" s="8" t="s">
        <v>1673</v>
      </c>
      <c r="F1554" s="11" t="s">
        <v>26</v>
      </c>
      <c r="G1554" s="12" t="s">
        <v>27</v>
      </c>
      <c r="H1554" s="13">
        <v>1478.0</v>
      </c>
      <c r="I1554" s="14">
        <v>5.0</v>
      </c>
      <c r="J1554" s="15" t="s">
        <v>38</v>
      </c>
      <c r="K1554" s="16">
        <v>0.5</v>
      </c>
      <c r="L1554" s="17">
        <f t="shared" si="1"/>
        <v>2.5</v>
      </c>
      <c r="M1554" s="17">
        <f t="shared" si="2"/>
        <v>2.5</v>
      </c>
      <c r="N1554" s="18">
        <f t="shared" si="3"/>
        <v>739</v>
      </c>
      <c r="O1554" s="18">
        <f t="shared" si="4"/>
        <v>739</v>
      </c>
      <c r="P1554" s="18">
        <f t="shared" si="5"/>
        <v>739</v>
      </c>
      <c r="Q1554" s="8">
        <v>0.0</v>
      </c>
      <c r="R1554" s="18">
        <f t="shared" si="6"/>
        <v>295.6</v>
      </c>
      <c r="S1554" s="19" t="s">
        <v>29</v>
      </c>
      <c r="T1554" s="19" t="s">
        <v>30</v>
      </c>
      <c r="U1554" s="20" t="s">
        <v>264</v>
      </c>
      <c r="V1554" s="37"/>
      <c r="W1554" s="7"/>
      <c r="X1554" s="7"/>
      <c r="Y1554" s="7"/>
      <c r="Z1554" s="7"/>
      <c r="AA1554" s="7"/>
    </row>
    <row r="1555" ht="18.75" customHeight="1">
      <c r="A1555" s="22" t="s">
        <v>1600</v>
      </c>
      <c r="B1555" s="63" t="s">
        <v>1601</v>
      </c>
      <c r="C1555" s="23" t="s">
        <v>24</v>
      </c>
      <c r="D1555" s="24">
        <v>1314.0</v>
      </c>
      <c r="E1555" s="22" t="s">
        <v>561</v>
      </c>
      <c r="F1555" s="25" t="s">
        <v>37</v>
      </c>
      <c r="G1555" s="26" t="s">
        <v>27</v>
      </c>
      <c r="H1555" s="27">
        <v>529.0</v>
      </c>
      <c r="I1555" s="28">
        <v>10.0</v>
      </c>
      <c r="J1555" s="29" t="s">
        <v>54</v>
      </c>
      <c r="K1555" s="30">
        <v>0.3</v>
      </c>
      <c r="L1555" s="31">
        <f t="shared" si="1"/>
        <v>3</v>
      </c>
      <c r="M1555" s="31">
        <f t="shared" si="2"/>
        <v>7</v>
      </c>
      <c r="N1555" s="32">
        <f t="shared" si="3"/>
        <v>158.7</v>
      </c>
      <c r="O1555" s="32">
        <f t="shared" si="4"/>
        <v>370.3</v>
      </c>
      <c r="P1555" s="32">
        <f t="shared" si="5"/>
        <v>370.3</v>
      </c>
      <c r="Q1555" s="22">
        <v>0.0</v>
      </c>
      <c r="R1555" s="32">
        <f t="shared" si="6"/>
        <v>52.9</v>
      </c>
      <c r="S1555" s="33" t="s">
        <v>29</v>
      </c>
      <c r="T1555" s="33" t="s">
        <v>30</v>
      </c>
      <c r="U1555" s="34" t="s">
        <v>275</v>
      </c>
      <c r="V1555" s="35"/>
      <c r="W1555" s="7"/>
      <c r="X1555" s="7"/>
      <c r="Y1555" s="7"/>
      <c r="Z1555" s="7"/>
      <c r="AA1555" s="7"/>
    </row>
    <row r="1556" ht="18.75" customHeight="1">
      <c r="A1556" s="8" t="s">
        <v>1600</v>
      </c>
      <c r="B1556" s="61" t="s">
        <v>1601</v>
      </c>
      <c r="C1556" s="9" t="s">
        <v>24</v>
      </c>
      <c r="D1556" s="10">
        <v>1315.0</v>
      </c>
      <c r="E1556" s="8" t="s">
        <v>1674</v>
      </c>
      <c r="F1556" s="11" t="s">
        <v>26</v>
      </c>
      <c r="G1556" s="12" t="s">
        <v>27</v>
      </c>
      <c r="H1556" s="13">
        <v>840.0</v>
      </c>
      <c r="I1556" s="14">
        <v>5.0</v>
      </c>
      <c r="J1556" s="15" t="s">
        <v>28</v>
      </c>
      <c r="K1556" s="16">
        <v>0.4</v>
      </c>
      <c r="L1556" s="17">
        <f t="shared" si="1"/>
        <v>2</v>
      </c>
      <c r="M1556" s="17">
        <f t="shared" si="2"/>
        <v>3</v>
      </c>
      <c r="N1556" s="18">
        <f t="shared" si="3"/>
        <v>336</v>
      </c>
      <c r="O1556" s="18">
        <f t="shared" si="4"/>
        <v>504</v>
      </c>
      <c r="P1556" s="18">
        <f t="shared" si="5"/>
        <v>504</v>
      </c>
      <c r="Q1556" s="8">
        <v>0.0</v>
      </c>
      <c r="R1556" s="18">
        <f t="shared" si="6"/>
        <v>168</v>
      </c>
      <c r="S1556" s="19" t="s">
        <v>29</v>
      </c>
      <c r="T1556" s="19" t="s">
        <v>30</v>
      </c>
      <c r="U1556" s="36" t="s">
        <v>1675</v>
      </c>
      <c r="V1556" s="37"/>
      <c r="W1556" s="7"/>
      <c r="X1556" s="7"/>
      <c r="Y1556" s="7"/>
      <c r="Z1556" s="7"/>
      <c r="AA1556" s="7"/>
    </row>
    <row r="1557" ht="18.75" customHeight="1">
      <c r="A1557" s="22" t="s">
        <v>1600</v>
      </c>
      <c r="B1557" s="63" t="s">
        <v>1601</v>
      </c>
      <c r="C1557" s="23" t="s">
        <v>24</v>
      </c>
      <c r="D1557" s="24">
        <v>1316.0</v>
      </c>
      <c r="E1557" s="22" t="s">
        <v>1676</v>
      </c>
      <c r="F1557" s="25" t="s">
        <v>26</v>
      </c>
      <c r="G1557" s="26" t="s">
        <v>27</v>
      </c>
      <c r="H1557" s="27">
        <v>285.0</v>
      </c>
      <c r="I1557" s="28">
        <v>5.0</v>
      </c>
      <c r="J1557" s="29" t="s">
        <v>54</v>
      </c>
      <c r="K1557" s="30">
        <v>0.3</v>
      </c>
      <c r="L1557" s="31">
        <f t="shared" si="1"/>
        <v>1.5</v>
      </c>
      <c r="M1557" s="31">
        <f t="shared" si="2"/>
        <v>3.5</v>
      </c>
      <c r="N1557" s="32">
        <f t="shared" si="3"/>
        <v>85.5</v>
      </c>
      <c r="O1557" s="32">
        <f t="shared" si="4"/>
        <v>199.5</v>
      </c>
      <c r="P1557" s="32">
        <f t="shared" si="5"/>
        <v>199.5</v>
      </c>
      <c r="Q1557" s="22">
        <v>0.0</v>
      </c>
      <c r="R1557" s="32">
        <f t="shared" si="6"/>
        <v>57</v>
      </c>
      <c r="S1557" s="33" t="s">
        <v>29</v>
      </c>
      <c r="T1557" s="33" t="s">
        <v>30</v>
      </c>
      <c r="U1557" s="34" t="s">
        <v>251</v>
      </c>
      <c r="V1557" s="35"/>
      <c r="W1557" s="7"/>
      <c r="X1557" s="7"/>
      <c r="Y1557" s="7"/>
      <c r="Z1557" s="7"/>
      <c r="AA1557" s="7"/>
    </row>
    <row r="1558" ht="18.75" customHeight="1">
      <c r="A1558" s="8" t="s">
        <v>1600</v>
      </c>
      <c r="B1558" s="61" t="s">
        <v>1601</v>
      </c>
      <c r="C1558" s="9" t="s">
        <v>24</v>
      </c>
      <c r="D1558" s="10">
        <v>1317.0</v>
      </c>
      <c r="E1558" s="8" t="s">
        <v>238</v>
      </c>
      <c r="F1558" s="11" t="s">
        <v>26</v>
      </c>
      <c r="G1558" s="12" t="s">
        <v>27</v>
      </c>
      <c r="H1558" s="55">
        <v>840.42</v>
      </c>
      <c r="I1558" s="14">
        <v>10.0</v>
      </c>
      <c r="J1558" s="15" t="s">
        <v>38</v>
      </c>
      <c r="K1558" s="16">
        <v>0.5</v>
      </c>
      <c r="L1558" s="17">
        <f t="shared" si="1"/>
        <v>5</v>
      </c>
      <c r="M1558" s="17">
        <f t="shared" si="2"/>
        <v>5</v>
      </c>
      <c r="N1558" s="18">
        <f t="shared" si="3"/>
        <v>420.21</v>
      </c>
      <c r="O1558" s="18">
        <f t="shared" si="4"/>
        <v>420.21</v>
      </c>
      <c r="P1558" s="18">
        <f t="shared" si="5"/>
        <v>420.21</v>
      </c>
      <c r="Q1558" s="8">
        <v>0.0</v>
      </c>
      <c r="R1558" s="18">
        <f t="shared" si="6"/>
        <v>84.042</v>
      </c>
      <c r="S1558" s="19" t="s">
        <v>29</v>
      </c>
      <c r="T1558" s="19" t="s">
        <v>30</v>
      </c>
      <c r="U1558" s="20" t="s">
        <v>102</v>
      </c>
      <c r="V1558" s="37"/>
      <c r="W1558" s="7"/>
      <c r="X1558" s="7"/>
      <c r="Y1558" s="7"/>
      <c r="Z1558" s="7"/>
      <c r="AA1558" s="7"/>
    </row>
    <row r="1559" ht="18.75" customHeight="1">
      <c r="A1559" s="22" t="s">
        <v>1600</v>
      </c>
      <c r="B1559" s="63" t="s">
        <v>1601</v>
      </c>
      <c r="C1559" s="23" t="s">
        <v>24</v>
      </c>
      <c r="D1559" s="24">
        <v>1318.0</v>
      </c>
      <c r="E1559" s="22" t="s">
        <v>239</v>
      </c>
      <c r="F1559" s="25" t="s">
        <v>26</v>
      </c>
      <c r="G1559" s="26" t="s">
        <v>27</v>
      </c>
      <c r="H1559" s="56">
        <v>1260.63</v>
      </c>
      <c r="I1559" s="28">
        <v>10.0</v>
      </c>
      <c r="J1559" s="29" t="s">
        <v>38</v>
      </c>
      <c r="K1559" s="30">
        <v>0.5</v>
      </c>
      <c r="L1559" s="31">
        <f t="shared" si="1"/>
        <v>5</v>
      </c>
      <c r="M1559" s="31">
        <f t="shared" si="2"/>
        <v>5</v>
      </c>
      <c r="N1559" s="32">
        <f t="shared" si="3"/>
        <v>630.315</v>
      </c>
      <c r="O1559" s="32">
        <f t="shared" si="4"/>
        <v>630.315</v>
      </c>
      <c r="P1559" s="32">
        <f t="shared" si="5"/>
        <v>630.315</v>
      </c>
      <c r="Q1559" s="22">
        <v>0.0</v>
      </c>
      <c r="R1559" s="32">
        <f t="shared" si="6"/>
        <v>126.063</v>
      </c>
      <c r="S1559" s="33" t="s">
        <v>29</v>
      </c>
      <c r="T1559" s="33" t="s">
        <v>30</v>
      </c>
      <c r="U1559" s="34" t="s">
        <v>102</v>
      </c>
      <c r="V1559" s="35"/>
      <c r="W1559" s="7"/>
      <c r="X1559" s="7"/>
      <c r="Y1559" s="7"/>
      <c r="Z1559" s="7"/>
      <c r="AA1559" s="7"/>
    </row>
    <row r="1560" ht="18.75" customHeight="1">
      <c r="A1560" s="8" t="s">
        <v>1600</v>
      </c>
      <c r="B1560" s="61" t="s">
        <v>1601</v>
      </c>
      <c r="C1560" s="9" t="s">
        <v>195</v>
      </c>
      <c r="D1560" s="10">
        <v>1322.0</v>
      </c>
      <c r="E1560" s="8" t="s">
        <v>1677</v>
      </c>
      <c r="F1560" s="11" t="s">
        <v>26</v>
      </c>
      <c r="G1560" s="12" t="s">
        <v>27</v>
      </c>
      <c r="H1560" s="13">
        <v>1389.99</v>
      </c>
      <c r="I1560" s="14">
        <v>5.0</v>
      </c>
      <c r="J1560" s="15" t="s">
        <v>28</v>
      </c>
      <c r="K1560" s="16">
        <v>0.4</v>
      </c>
      <c r="L1560" s="17">
        <f t="shared" si="1"/>
        <v>2</v>
      </c>
      <c r="M1560" s="17">
        <f t="shared" si="2"/>
        <v>3</v>
      </c>
      <c r="N1560" s="18">
        <f t="shared" si="3"/>
        <v>555.996</v>
      </c>
      <c r="O1560" s="18">
        <f t="shared" si="4"/>
        <v>833.994</v>
      </c>
      <c r="P1560" s="18">
        <f t="shared" si="5"/>
        <v>833.994</v>
      </c>
      <c r="Q1560" s="8">
        <v>0.0</v>
      </c>
      <c r="R1560" s="18">
        <f t="shared" si="6"/>
        <v>277.998</v>
      </c>
      <c r="S1560" s="19" t="s">
        <v>29</v>
      </c>
      <c r="T1560" s="19" t="s">
        <v>30</v>
      </c>
      <c r="U1560" s="20" t="s">
        <v>59</v>
      </c>
      <c r="V1560" s="37"/>
      <c r="W1560" s="7"/>
      <c r="X1560" s="7"/>
      <c r="Y1560" s="7"/>
      <c r="Z1560" s="7"/>
      <c r="AA1560" s="7"/>
    </row>
    <row r="1561" ht="18.75" customHeight="1">
      <c r="A1561" s="22" t="s">
        <v>1600</v>
      </c>
      <c r="B1561" s="63" t="s">
        <v>1601</v>
      </c>
      <c r="C1561" s="23" t="s">
        <v>1059</v>
      </c>
      <c r="D1561" s="24">
        <v>1386.0</v>
      </c>
      <c r="E1561" s="22" t="s">
        <v>1678</v>
      </c>
      <c r="F1561" s="25" t="s">
        <v>128</v>
      </c>
      <c r="G1561" s="26" t="s">
        <v>27</v>
      </c>
      <c r="H1561" s="27">
        <v>1669.0</v>
      </c>
      <c r="I1561" s="28">
        <v>5.0</v>
      </c>
      <c r="J1561" s="29" t="s">
        <v>38</v>
      </c>
      <c r="K1561" s="30">
        <v>0.5</v>
      </c>
      <c r="L1561" s="31">
        <f t="shared" si="1"/>
        <v>2.5</v>
      </c>
      <c r="M1561" s="31">
        <f t="shared" si="2"/>
        <v>2.5</v>
      </c>
      <c r="N1561" s="32">
        <f t="shared" si="3"/>
        <v>834.5</v>
      </c>
      <c r="O1561" s="32">
        <f t="shared" si="4"/>
        <v>834.5</v>
      </c>
      <c r="P1561" s="32">
        <f t="shared" si="5"/>
        <v>834.5</v>
      </c>
      <c r="Q1561" s="22">
        <v>0.0</v>
      </c>
      <c r="R1561" s="32">
        <f t="shared" si="6"/>
        <v>333.8</v>
      </c>
      <c r="S1561" s="33" t="s">
        <v>29</v>
      </c>
      <c r="T1561" s="33" t="s">
        <v>30</v>
      </c>
      <c r="U1561" s="34" t="s">
        <v>129</v>
      </c>
      <c r="V1561" s="35"/>
      <c r="W1561" s="7"/>
      <c r="X1561" s="7"/>
      <c r="Y1561" s="7"/>
      <c r="Z1561" s="7"/>
      <c r="AA1561" s="7"/>
    </row>
    <row r="1562" ht="18.75" customHeight="1">
      <c r="A1562" s="8" t="s">
        <v>1600</v>
      </c>
      <c r="B1562" s="61" t="s">
        <v>1601</v>
      </c>
      <c r="C1562" s="9" t="s">
        <v>1059</v>
      </c>
      <c r="D1562" s="10">
        <v>1387.0</v>
      </c>
      <c r="E1562" s="8" t="s">
        <v>1679</v>
      </c>
      <c r="F1562" s="11" t="s">
        <v>37</v>
      </c>
      <c r="G1562" s="12" t="s">
        <v>27</v>
      </c>
      <c r="H1562" s="13">
        <v>285.0</v>
      </c>
      <c r="I1562" s="14">
        <v>10.0</v>
      </c>
      <c r="J1562" s="48" t="s">
        <v>63</v>
      </c>
      <c r="K1562" s="16">
        <v>0.700000000000008</v>
      </c>
      <c r="L1562" s="17">
        <f t="shared" si="1"/>
        <v>7</v>
      </c>
      <c r="M1562" s="17">
        <f t="shared" si="2"/>
        <v>3</v>
      </c>
      <c r="N1562" s="18">
        <f t="shared" si="3"/>
        <v>199.5</v>
      </c>
      <c r="O1562" s="18">
        <f t="shared" si="4"/>
        <v>85.5</v>
      </c>
      <c r="P1562" s="18">
        <f t="shared" si="5"/>
        <v>85.5</v>
      </c>
      <c r="Q1562" s="8">
        <v>0.0</v>
      </c>
      <c r="R1562" s="18">
        <f t="shared" si="6"/>
        <v>28.5</v>
      </c>
      <c r="S1562" s="19" t="s">
        <v>29</v>
      </c>
      <c r="T1562" s="19" t="s">
        <v>30</v>
      </c>
      <c r="U1562" s="20" t="s">
        <v>527</v>
      </c>
      <c r="V1562" s="37"/>
      <c r="W1562" s="7"/>
      <c r="X1562" s="7"/>
      <c r="Y1562" s="7"/>
      <c r="Z1562" s="7"/>
      <c r="AA1562" s="7"/>
    </row>
    <row r="1563" ht="18.75" customHeight="1">
      <c r="A1563" s="22" t="s">
        <v>1600</v>
      </c>
      <c r="B1563" s="63" t="s">
        <v>1601</v>
      </c>
      <c r="C1563" s="23" t="s">
        <v>1059</v>
      </c>
      <c r="D1563" s="24">
        <v>1388.0</v>
      </c>
      <c r="E1563" s="22" t="s">
        <v>1680</v>
      </c>
      <c r="F1563" s="25" t="s">
        <v>26</v>
      </c>
      <c r="G1563" s="26" t="s">
        <v>27</v>
      </c>
      <c r="H1563" s="27">
        <v>235.03</v>
      </c>
      <c r="I1563" s="28">
        <v>10.0</v>
      </c>
      <c r="J1563" s="45" t="s">
        <v>63</v>
      </c>
      <c r="K1563" s="30">
        <v>0.700000000000008</v>
      </c>
      <c r="L1563" s="31">
        <f t="shared" si="1"/>
        <v>7</v>
      </c>
      <c r="M1563" s="31">
        <f t="shared" si="2"/>
        <v>3</v>
      </c>
      <c r="N1563" s="32">
        <f t="shared" si="3"/>
        <v>164.521</v>
      </c>
      <c r="O1563" s="32">
        <f t="shared" si="4"/>
        <v>70.509</v>
      </c>
      <c r="P1563" s="32">
        <f t="shared" si="5"/>
        <v>70.509</v>
      </c>
      <c r="Q1563" s="22">
        <v>0.0</v>
      </c>
      <c r="R1563" s="32">
        <f t="shared" si="6"/>
        <v>23.503</v>
      </c>
      <c r="S1563" s="33" t="s">
        <v>29</v>
      </c>
      <c r="T1563" s="33" t="s">
        <v>30</v>
      </c>
      <c r="U1563" s="34" t="s">
        <v>96</v>
      </c>
      <c r="V1563" s="35"/>
      <c r="W1563" s="7"/>
      <c r="X1563" s="7"/>
      <c r="Y1563" s="7"/>
      <c r="Z1563" s="7"/>
      <c r="AA1563" s="7"/>
    </row>
    <row r="1564" ht="18.75" customHeight="1">
      <c r="A1564" s="8" t="s">
        <v>1600</v>
      </c>
      <c r="B1564" s="61" t="s">
        <v>1601</v>
      </c>
      <c r="C1564" s="9" t="s">
        <v>1059</v>
      </c>
      <c r="D1564" s="10">
        <v>1391.0</v>
      </c>
      <c r="E1564" s="8" t="s">
        <v>712</v>
      </c>
      <c r="F1564" s="11" t="s">
        <v>37</v>
      </c>
      <c r="G1564" s="12" t="s">
        <v>27</v>
      </c>
      <c r="H1564" s="13">
        <v>332.91</v>
      </c>
      <c r="I1564" s="14">
        <v>10.0</v>
      </c>
      <c r="J1564" s="15" t="s">
        <v>54</v>
      </c>
      <c r="K1564" s="16">
        <v>0.3</v>
      </c>
      <c r="L1564" s="17">
        <f t="shared" si="1"/>
        <v>3</v>
      </c>
      <c r="M1564" s="17">
        <f t="shared" si="2"/>
        <v>7</v>
      </c>
      <c r="N1564" s="18">
        <f t="shared" si="3"/>
        <v>99.873</v>
      </c>
      <c r="O1564" s="18">
        <f t="shared" si="4"/>
        <v>233.037</v>
      </c>
      <c r="P1564" s="18">
        <f t="shared" si="5"/>
        <v>233.037</v>
      </c>
      <c r="Q1564" s="8">
        <v>0.0</v>
      </c>
      <c r="R1564" s="18">
        <f t="shared" si="6"/>
        <v>33.291</v>
      </c>
      <c r="S1564" s="19" t="s">
        <v>29</v>
      </c>
      <c r="T1564" s="19" t="s">
        <v>30</v>
      </c>
      <c r="U1564" s="36" t="s">
        <v>787</v>
      </c>
      <c r="V1564" s="37"/>
      <c r="W1564" s="7"/>
      <c r="X1564" s="7"/>
      <c r="Y1564" s="7"/>
      <c r="Z1564" s="7"/>
      <c r="AA1564" s="7"/>
    </row>
    <row r="1565" ht="18.75" customHeight="1">
      <c r="A1565" s="22" t="s">
        <v>1600</v>
      </c>
      <c r="B1565" s="63" t="s">
        <v>1601</v>
      </c>
      <c r="C1565" s="23" t="s">
        <v>1059</v>
      </c>
      <c r="D1565" s="24">
        <v>1392.0</v>
      </c>
      <c r="E1565" s="22" t="s">
        <v>712</v>
      </c>
      <c r="F1565" s="25" t="s">
        <v>37</v>
      </c>
      <c r="G1565" s="26" t="s">
        <v>27</v>
      </c>
      <c r="H1565" s="27">
        <v>332.91</v>
      </c>
      <c r="I1565" s="28">
        <v>10.0</v>
      </c>
      <c r="J1565" s="29" t="s">
        <v>54</v>
      </c>
      <c r="K1565" s="30">
        <v>0.3</v>
      </c>
      <c r="L1565" s="31">
        <f t="shared" si="1"/>
        <v>3</v>
      </c>
      <c r="M1565" s="31">
        <f t="shared" si="2"/>
        <v>7</v>
      </c>
      <c r="N1565" s="32">
        <f t="shared" si="3"/>
        <v>99.873</v>
      </c>
      <c r="O1565" s="32">
        <f t="shared" si="4"/>
        <v>233.037</v>
      </c>
      <c r="P1565" s="32">
        <f t="shared" si="5"/>
        <v>233.037</v>
      </c>
      <c r="Q1565" s="22">
        <v>0.0</v>
      </c>
      <c r="R1565" s="32">
        <f t="shared" si="6"/>
        <v>33.291</v>
      </c>
      <c r="S1565" s="33" t="s">
        <v>29</v>
      </c>
      <c r="T1565" s="33" t="s">
        <v>30</v>
      </c>
      <c r="U1565" s="38" t="s">
        <v>787</v>
      </c>
      <c r="V1565" s="35"/>
      <c r="W1565" s="7"/>
      <c r="X1565" s="7"/>
      <c r="Y1565" s="7"/>
      <c r="Z1565" s="7"/>
      <c r="AA1565" s="7"/>
    </row>
    <row r="1566" ht="18.75" customHeight="1">
      <c r="A1566" s="8" t="s">
        <v>1600</v>
      </c>
      <c r="B1566" s="61" t="s">
        <v>1601</v>
      </c>
      <c r="C1566" s="9" t="s">
        <v>199</v>
      </c>
      <c r="D1566" s="10">
        <v>1393.0</v>
      </c>
      <c r="E1566" s="8" t="s">
        <v>1681</v>
      </c>
      <c r="F1566" s="11" t="s">
        <v>202</v>
      </c>
      <c r="G1566" s="12" t="s">
        <v>27</v>
      </c>
      <c r="H1566" s="13">
        <v>205.0</v>
      </c>
      <c r="I1566" s="14">
        <v>5.0</v>
      </c>
      <c r="J1566" s="15" t="s">
        <v>38</v>
      </c>
      <c r="K1566" s="16">
        <v>0.5</v>
      </c>
      <c r="L1566" s="17">
        <f t="shared" si="1"/>
        <v>2.5</v>
      </c>
      <c r="M1566" s="17">
        <f t="shared" si="2"/>
        <v>2.5</v>
      </c>
      <c r="N1566" s="18">
        <f t="shared" si="3"/>
        <v>102.5</v>
      </c>
      <c r="O1566" s="18">
        <f t="shared" si="4"/>
        <v>102.5</v>
      </c>
      <c r="P1566" s="18">
        <f t="shared" si="5"/>
        <v>102.5</v>
      </c>
      <c r="Q1566" s="8">
        <v>0.0</v>
      </c>
      <c r="R1566" s="18">
        <f t="shared" si="6"/>
        <v>41</v>
      </c>
      <c r="S1566" s="19" t="s">
        <v>29</v>
      </c>
      <c r="T1566" s="19" t="s">
        <v>30</v>
      </c>
      <c r="U1566" s="20" t="s">
        <v>216</v>
      </c>
      <c r="V1566" s="37"/>
      <c r="W1566" s="7"/>
      <c r="X1566" s="7"/>
      <c r="Y1566" s="7"/>
      <c r="Z1566" s="7"/>
      <c r="AA1566" s="7"/>
    </row>
    <row r="1567" ht="18.75" customHeight="1">
      <c r="A1567" s="22" t="s">
        <v>1600</v>
      </c>
      <c r="B1567" s="63" t="s">
        <v>1601</v>
      </c>
      <c r="C1567" s="23" t="s">
        <v>199</v>
      </c>
      <c r="D1567" s="24">
        <v>1394.0</v>
      </c>
      <c r="E1567" s="22" t="s">
        <v>1682</v>
      </c>
      <c r="F1567" s="25" t="s">
        <v>202</v>
      </c>
      <c r="G1567" s="26" t="s">
        <v>27</v>
      </c>
      <c r="H1567" s="27">
        <v>764.99</v>
      </c>
      <c r="I1567" s="28">
        <v>5.0</v>
      </c>
      <c r="J1567" s="29" t="s">
        <v>38</v>
      </c>
      <c r="K1567" s="30">
        <v>0.5</v>
      </c>
      <c r="L1567" s="31">
        <f t="shared" si="1"/>
        <v>2.5</v>
      </c>
      <c r="M1567" s="31">
        <f t="shared" si="2"/>
        <v>2.5</v>
      </c>
      <c r="N1567" s="32">
        <f t="shared" si="3"/>
        <v>382.495</v>
      </c>
      <c r="O1567" s="32">
        <f t="shared" si="4"/>
        <v>382.495</v>
      </c>
      <c r="P1567" s="32">
        <f t="shared" si="5"/>
        <v>382.495</v>
      </c>
      <c r="Q1567" s="22">
        <v>0.0</v>
      </c>
      <c r="R1567" s="32">
        <f t="shared" si="6"/>
        <v>152.998</v>
      </c>
      <c r="S1567" s="33" t="s">
        <v>29</v>
      </c>
      <c r="T1567" s="33" t="s">
        <v>30</v>
      </c>
      <c r="U1567" s="34" t="s">
        <v>203</v>
      </c>
      <c r="V1567" s="35"/>
      <c r="W1567" s="7"/>
      <c r="X1567" s="7"/>
      <c r="Y1567" s="7"/>
      <c r="Z1567" s="7"/>
      <c r="AA1567" s="7"/>
    </row>
    <row r="1568" ht="18.75" customHeight="1">
      <c r="A1568" s="8" t="s">
        <v>1600</v>
      </c>
      <c r="B1568" s="61" t="s">
        <v>1601</v>
      </c>
      <c r="C1568" s="9" t="s">
        <v>1116</v>
      </c>
      <c r="D1568" s="10">
        <v>1605.0</v>
      </c>
      <c r="E1568" s="8" t="s">
        <v>1683</v>
      </c>
      <c r="F1568" s="11" t="s">
        <v>128</v>
      </c>
      <c r="G1568" s="12" t="s">
        <v>27</v>
      </c>
      <c r="H1568" s="13">
        <v>1669.0</v>
      </c>
      <c r="I1568" s="14">
        <v>5.0</v>
      </c>
      <c r="J1568" s="15" t="s">
        <v>38</v>
      </c>
      <c r="K1568" s="16">
        <v>0.5</v>
      </c>
      <c r="L1568" s="17">
        <f t="shared" si="1"/>
        <v>2.5</v>
      </c>
      <c r="M1568" s="17">
        <f t="shared" si="2"/>
        <v>2.5</v>
      </c>
      <c r="N1568" s="18">
        <f t="shared" si="3"/>
        <v>834.5</v>
      </c>
      <c r="O1568" s="18">
        <f t="shared" si="4"/>
        <v>834.5</v>
      </c>
      <c r="P1568" s="18">
        <f t="shared" si="5"/>
        <v>834.5</v>
      </c>
      <c r="Q1568" s="8">
        <v>0.0</v>
      </c>
      <c r="R1568" s="18">
        <f t="shared" si="6"/>
        <v>333.8</v>
      </c>
      <c r="S1568" s="19" t="s">
        <v>29</v>
      </c>
      <c r="T1568" s="19" t="s">
        <v>30</v>
      </c>
      <c r="U1568" s="20" t="s">
        <v>129</v>
      </c>
      <c r="V1568" s="37"/>
      <c r="W1568" s="7"/>
      <c r="X1568" s="7"/>
      <c r="Y1568" s="7"/>
      <c r="Z1568" s="7"/>
      <c r="AA1568" s="7"/>
    </row>
    <row r="1569" ht="18.75" customHeight="1">
      <c r="A1569" s="22" t="s">
        <v>1600</v>
      </c>
      <c r="B1569" s="63" t="s">
        <v>1601</v>
      </c>
      <c r="C1569" s="23" t="s">
        <v>33</v>
      </c>
      <c r="D1569" s="24">
        <v>1868.0</v>
      </c>
      <c r="E1569" s="22" t="s">
        <v>1684</v>
      </c>
      <c r="F1569" s="25" t="s">
        <v>26</v>
      </c>
      <c r="G1569" s="26" t="s">
        <v>27</v>
      </c>
      <c r="H1569" s="27">
        <v>603.0</v>
      </c>
      <c r="I1569" s="28">
        <v>5.0</v>
      </c>
      <c r="J1569" s="29" t="s">
        <v>28</v>
      </c>
      <c r="K1569" s="30">
        <v>0.4</v>
      </c>
      <c r="L1569" s="31">
        <f t="shared" si="1"/>
        <v>2</v>
      </c>
      <c r="M1569" s="31">
        <f t="shared" si="2"/>
        <v>3</v>
      </c>
      <c r="N1569" s="32">
        <f t="shared" si="3"/>
        <v>241.2</v>
      </c>
      <c r="O1569" s="32">
        <f t="shared" si="4"/>
        <v>361.8</v>
      </c>
      <c r="P1569" s="32">
        <f t="shared" si="5"/>
        <v>361.8</v>
      </c>
      <c r="Q1569" s="22">
        <v>0.0</v>
      </c>
      <c r="R1569" s="32">
        <f t="shared" si="6"/>
        <v>120.6</v>
      </c>
      <c r="S1569" s="33" t="s">
        <v>29</v>
      </c>
      <c r="T1569" s="33" t="s">
        <v>30</v>
      </c>
      <c r="U1569" s="34" t="s">
        <v>79</v>
      </c>
      <c r="V1569" s="35"/>
      <c r="W1569" s="7"/>
      <c r="X1569" s="7"/>
      <c r="Y1569" s="7"/>
      <c r="Z1569" s="7"/>
      <c r="AA1569" s="7"/>
    </row>
    <row r="1570" ht="18.75" customHeight="1">
      <c r="A1570" s="8" t="s">
        <v>1600</v>
      </c>
      <c r="B1570" s="61" t="s">
        <v>1601</v>
      </c>
      <c r="C1570" s="9" t="s">
        <v>24</v>
      </c>
      <c r="D1570" s="10">
        <v>1869.0</v>
      </c>
      <c r="E1570" s="8" t="s">
        <v>1685</v>
      </c>
      <c r="F1570" s="11" t="s">
        <v>26</v>
      </c>
      <c r="G1570" s="12" t="s">
        <v>27</v>
      </c>
      <c r="H1570" s="13">
        <v>49.9</v>
      </c>
      <c r="I1570" s="14">
        <v>5.0</v>
      </c>
      <c r="J1570" s="15" t="s">
        <v>38</v>
      </c>
      <c r="K1570" s="16">
        <v>0.5</v>
      </c>
      <c r="L1570" s="17">
        <f t="shared" si="1"/>
        <v>2.5</v>
      </c>
      <c r="M1570" s="17">
        <f t="shared" si="2"/>
        <v>2.5</v>
      </c>
      <c r="N1570" s="18">
        <f t="shared" si="3"/>
        <v>24.95</v>
      </c>
      <c r="O1570" s="18">
        <f t="shared" si="4"/>
        <v>24.95</v>
      </c>
      <c r="P1570" s="18">
        <f t="shared" si="5"/>
        <v>24.95</v>
      </c>
      <c r="Q1570" s="8">
        <v>0.0</v>
      </c>
      <c r="R1570" s="18">
        <f t="shared" si="6"/>
        <v>9.98</v>
      </c>
      <c r="S1570" s="19" t="s">
        <v>29</v>
      </c>
      <c r="T1570" s="19" t="s">
        <v>30</v>
      </c>
      <c r="U1570" s="36" t="s">
        <v>1686</v>
      </c>
      <c r="V1570" s="37"/>
      <c r="W1570" s="7"/>
      <c r="X1570" s="7"/>
      <c r="Y1570" s="7"/>
      <c r="Z1570" s="7"/>
      <c r="AA1570" s="7"/>
    </row>
    <row r="1571" ht="18.75" customHeight="1">
      <c r="A1571" s="22" t="s">
        <v>1600</v>
      </c>
      <c r="B1571" s="63" t="s">
        <v>1601</v>
      </c>
      <c r="C1571" s="23" t="s">
        <v>230</v>
      </c>
      <c r="D1571" s="24">
        <v>2207.0</v>
      </c>
      <c r="E1571" s="22" t="s">
        <v>1687</v>
      </c>
      <c r="F1571" s="25" t="s">
        <v>26</v>
      </c>
      <c r="G1571" s="26" t="s">
        <v>27</v>
      </c>
      <c r="H1571" s="27">
        <v>1291.65</v>
      </c>
      <c r="I1571" s="28">
        <v>5.0</v>
      </c>
      <c r="J1571" s="29" t="s">
        <v>54</v>
      </c>
      <c r="K1571" s="30">
        <v>0.3</v>
      </c>
      <c r="L1571" s="31">
        <f t="shared" si="1"/>
        <v>1.5</v>
      </c>
      <c r="M1571" s="31">
        <f t="shared" si="2"/>
        <v>3.5</v>
      </c>
      <c r="N1571" s="32">
        <f t="shared" si="3"/>
        <v>387.495</v>
      </c>
      <c r="O1571" s="32">
        <f t="shared" si="4"/>
        <v>904.155</v>
      </c>
      <c r="P1571" s="32">
        <f t="shared" si="5"/>
        <v>904.155</v>
      </c>
      <c r="Q1571" s="22">
        <v>0.0</v>
      </c>
      <c r="R1571" s="32">
        <f t="shared" si="6"/>
        <v>258.33</v>
      </c>
      <c r="S1571" s="33" t="s">
        <v>29</v>
      </c>
      <c r="T1571" s="33" t="s">
        <v>30</v>
      </c>
      <c r="U1571" s="38" t="s">
        <v>679</v>
      </c>
      <c r="V1571" s="35"/>
      <c r="W1571" s="7"/>
      <c r="X1571" s="7"/>
      <c r="Y1571" s="7"/>
      <c r="Z1571" s="7"/>
      <c r="AA1571" s="7"/>
    </row>
    <row r="1572" ht="18.75" customHeight="1">
      <c r="A1572" s="8" t="s">
        <v>1600</v>
      </c>
      <c r="B1572" s="61" t="s">
        <v>1601</v>
      </c>
      <c r="C1572" s="9" t="s">
        <v>199</v>
      </c>
      <c r="D1572" s="10">
        <v>2208.0</v>
      </c>
      <c r="E1572" s="8" t="s">
        <v>1688</v>
      </c>
      <c r="F1572" s="11" t="s">
        <v>26</v>
      </c>
      <c r="G1572" s="12" t="s">
        <v>27</v>
      </c>
      <c r="H1572" s="13">
        <v>2101.05</v>
      </c>
      <c r="I1572" s="14">
        <v>10.0</v>
      </c>
      <c r="J1572" s="15" t="s">
        <v>38</v>
      </c>
      <c r="K1572" s="16">
        <v>0.5</v>
      </c>
      <c r="L1572" s="17">
        <f t="shared" si="1"/>
        <v>5</v>
      </c>
      <c r="M1572" s="17">
        <f t="shared" si="2"/>
        <v>5</v>
      </c>
      <c r="N1572" s="18">
        <f t="shared" si="3"/>
        <v>1050.525</v>
      </c>
      <c r="O1572" s="18">
        <f t="shared" si="4"/>
        <v>1050.525</v>
      </c>
      <c r="P1572" s="18">
        <f t="shared" si="5"/>
        <v>1050.525</v>
      </c>
      <c r="Q1572" s="8">
        <v>0.0</v>
      </c>
      <c r="R1572" s="18">
        <f t="shared" si="6"/>
        <v>210.105</v>
      </c>
      <c r="S1572" s="19" t="s">
        <v>29</v>
      </c>
      <c r="T1572" s="19" t="s">
        <v>30</v>
      </c>
      <c r="U1572" s="20" t="s">
        <v>102</v>
      </c>
      <c r="V1572" s="37"/>
      <c r="W1572" s="7"/>
      <c r="X1572" s="7"/>
      <c r="Y1572" s="7"/>
      <c r="Z1572" s="7"/>
      <c r="AA1572" s="7"/>
    </row>
    <row r="1573" ht="18.75" customHeight="1">
      <c r="A1573" s="22" t="s">
        <v>1600</v>
      </c>
      <c r="B1573" s="63" t="s">
        <v>1601</v>
      </c>
      <c r="C1573" s="23" t="s">
        <v>195</v>
      </c>
      <c r="D1573" s="24">
        <v>2219.0</v>
      </c>
      <c r="E1573" s="22" t="s">
        <v>1689</v>
      </c>
      <c r="F1573" s="25" t="s">
        <v>26</v>
      </c>
      <c r="G1573" s="26" t="s">
        <v>27</v>
      </c>
      <c r="H1573" s="27">
        <v>2101.05</v>
      </c>
      <c r="I1573" s="28">
        <v>5.0</v>
      </c>
      <c r="J1573" s="29" t="s">
        <v>28</v>
      </c>
      <c r="K1573" s="30">
        <v>0.4</v>
      </c>
      <c r="L1573" s="31">
        <f t="shared" si="1"/>
        <v>2</v>
      </c>
      <c r="M1573" s="31">
        <f t="shared" si="2"/>
        <v>3</v>
      </c>
      <c r="N1573" s="32">
        <f t="shared" si="3"/>
        <v>840.42</v>
      </c>
      <c r="O1573" s="32">
        <f t="shared" si="4"/>
        <v>1260.63</v>
      </c>
      <c r="P1573" s="32">
        <f t="shared" si="5"/>
        <v>1260.63</v>
      </c>
      <c r="Q1573" s="22">
        <v>0.0</v>
      </c>
      <c r="R1573" s="32">
        <f t="shared" si="6"/>
        <v>420.21</v>
      </c>
      <c r="S1573" s="33" t="s">
        <v>29</v>
      </c>
      <c r="T1573" s="33" t="s">
        <v>30</v>
      </c>
      <c r="U1573" s="34" t="s">
        <v>102</v>
      </c>
      <c r="V1573" s="35"/>
      <c r="W1573" s="7"/>
      <c r="X1573" s="7"/>
      <c r="Y1573" s="7"/>
      <c r="Z1573" s="7"/>
      <c r="AA1573" s="7"/>
    </row>
    <row r="1574" ht="18.75" customHeight="1">
      <c r="A1574" s="8" t="s">
        <v>1600</v>
      </c>
      <c r="B1574" s="61" t="s">
        <v>1601</v>
      </c>
      <c r="C1574" s="9" t="s">
        <v>1075</v>
      </c>
      <c r="D1574" s="10">
        <v>2278.0</v>
      </c>
      <c r="E1574" s="8" t="s">
        <v>1690</v>
      </c>
      <c r="F1574" s="11" t="s">
        <v>37</v>
      </c>
      <c r="G1574" s="12" t="s">
        <v>27</v>
      </c>
      <c r="H1574" s="13">
        <v>945.0</v>
      </c>
      <c r="I1574" s="14">
        <v>5.0</v>
      </c>
      <c r="J1574" s="15" t="s">
        <v>54</v>
      </c>
      <c r="K1574" s="16">
        <v>0.3</v>
      </c>
      <c r="L1574" s="17">
        <f t="shared" si="1"/>
        <v>1.5</v>
      </c>
      <c r="M1574" s="17">
        <f t="shared" si="2"/>
        <v>3.5</v>
      </c>
      <c r="N1574" s="18">
        <f t="shared" si="3"/>
        <v>283.5</v>
      </c>
      <c r="O1574" s="18">
        <f t="shared" si="4"/>
        <v>661.5</v>
      </c>
      <c r="P1574" s="18">
        <f t="shared" si="5"/>
        <v>661.5</v>
      </c>
      <c r="Q1574" s="8">
        <v>0.0</v>
      </c>
      <c r="R1574" s="18">
        <f t="shared" si="6"/>
        <v>189</v>
      </c>
      <c r="S1574" s="19" t="s">
        <v>29</v>
      </c>
      <c r="T1574" s="19" t="s">
        <v>30</v>
      </c>
      <c r="U1574" s="20" t="s">
        <v>205</v>
      </c>
      <c r="V1574" s="37"/>
      <c r="W1574" s="7"/>
      <c r="X1574" s="7"/>
      <c r="Y1574" s="7"/>
      <c r="Z1574" s="7"/>
      <c r="AA1574" s="7"/>
    </row>
    <row r="1575" ht="18.75" customHeight="1">
      <c r="A1575" s="22" t="s">
        <v>1600</v>
      </c>
      <c r="B1575" s="63" t="s">
        <v>1601</v>
      </c>
      <c r="C1575" s="63" t="s">
        <v>534</v>
      </c>
      <c r="D1575" s="64">
        <v>2333.0</v>
      </c>
      <c r="E1575" s="22" t="s">
        <v>1691</v>
      </c>
      <c r="F1575" s="25" t="s">
        <v>26</v>
      </c>
      <c r="G1575" s="26" t="s">
        <v>27</v>
      </c>
      <c r="H1575" s="27">
        <v>37.9</v>
      </c>
      <c r="I1575" s="28">
        <v>5.0</v>
      </c>
      <c r="J1575" s="29" t="s">
        <v>54</v>
      </c>
      <c r="K1575" s="30">
        <v>0.3</v>
      </c>
      <c r="L1575" s="31">
        <f t="shared" si="1"/>
        <v>1.5</v>
      </c>
      <c r="M1575" s="31">
        <f t="shared" si="2"/>
        <v>3.5</v>
      </c>
      <c r="N1575" s="32">
        <f t="shared" si="3"/>
        <v>11.37</v>
      </c>
      <c r="O1575" s="32">
        <f t="shared" si="4"/>
        <v>26.53</v>
      </c>
      <c r="P1575" s="32">
        <f t="shared" si="5"/>
        <v>26.53</v>
      </c>
      <c r="Q1575" s="22">
        <v>0.0</v>
      </c>
      <c r="R1575" s="32">
        <f t="shared" si="6"/>
        <v>7.58</v>
      </c>
      <c r="S1575" s="33" t="s">
        <v>29</v>
      </c>
      <c r="T1575" s="33" t="s">
        <v>30</v>
      </c>
      <c r="U1575" s="34" t="s">
        <v>302</v>
      </c>
      <c r="V1575" s="35"/>
      <c r="W1575" s="7"/>
      <c r="X1575" s="7"/>
      <c r="Y1575" s="7"/>
      <c r="Z1575" s="7"/>
      <c r="AA1575" s="7"/>
    </row>
    <row r="1576" ht="18.75" customHeight="1">
      <c r="A1576" s="8" t="s">
        <v>1600</v>
      </c>
      <c r="B1576" s="61" t="s">
        <v>1601</v>
      </c>
      <c r="C1576" s="61" t="s">
        <v>534</v>
      </c>
      <c r="D1576" s="62">
        <v>2334.0</v>
      </c>
      <c r="E1576" s="8" t="s">
        <v>1692</v>
      </c>
      <c r="F1576" s="11" t="s">
        <v>26</v>
      </c>
      <c r="G1576" s="12" t="s">
        <v>27</v>
      </c>
      <c r="H1576" s="13">
        <v>279.9</v>
      </c>
      <c r="I1576" s="14">
        <v>5.0</v>
      </c>
      <c r="J1576" s="15" t="s">
        <v>54</v>
      </c>
      <c r="K1576" s="16">
        <v>0.3</v>
      </c>
      <c r="L1576" s="17">
        <f t="shared" si="1"/>
        <v>1.5</v>
      </c>
      <c r="M1576" s="17">
        <f t="shared" si="2"/>
        <v>3.5</v>
      </c>
      <c r="N1576" s="18">
        <f t="shared" si="3"/>
        <v>83.97</v>
      </c>
      <c r="O1576" s="18">
        <f t="shared" si="4"/>
        <v>195.93</v>
      </c>
      <c r="P1576" s="18">
        <f t="shared" si="5"/>
        <v>195.93</v>
      </c>
      <c r="Q1576" s="8">
        <v>0.0</v>
      </c>
      <c r="R1576" s="18">
        <f t="shared" si="6"/>
        <v>55.98</v>
      </c>
      <c r="S1576" s="19" t="s">
        <v>29</v>
      </c>
      <c r="T1576" s="19" t="s">
        <v>30</v>
      </c>
      <c r="U1576" s="36" t="s">
        <v>1693</v>
      </c>
      <c r="V1576" s="37"/>
      <c r="W1576" s="7"/>
      <c r="X1576" s="7"/>
      <c r="Y1576" s="7"/>
      <c r="Z1576" s="7"/>
      <c r="AA1576" s="7"/>
    </row>
    <row r="1577" ht="18.75" customHeight="1">
      <c r="A1577" s="22" t="s">
        <v>1600</v>
      </c>
      <c r="B1577" s="63" t="s">
        <v>1601</v>
      </c>
      <c r="C1577" s="23" t="s">
        <v>534</v>
      </c>
      <c r="D1577" s="24">
        <v>2335.0</v>
      </c>
      <c r="E1577" s="22" t="s">
        <v>1694</v>
      </c>
      <c r="F1577" s="25" t="s">
        <v>26</v>
      </c>
      <c r="G1577" s="26" t="s">
        <v>27</v>
      </c>
      <c r="H1577" s="27">
        <v>235.03</v>
      </c>
      <c r="I1577" s="28">
        <v>10.0</v>
      </c>
      <c r="J1577" s="29" t="s">
        <v>38</v>
      </c>
      <c r="K1577" s="30">
        <v>0.5</v>
      </c>
      <c r="L1577" s="31">
        <f t="shared" si="1"/>
        <v>5</v>
      </c>
      <c r="M1577" s="31">
        <f t="shared" si="2"/>
        <v>5</v>
      </c>
      <c r="N1577" s="32">
        <f t="shared" si="3"/>
        <v>117.515</v>
      </c>
      <c r="O1577" s="32">
        <f t="shared" si="4"/>
        <v>117.515</v>
      </c>
      <c r="P1577" s="32">
        <f t="shared" si="5"/>
        <v>117.515</v>
      </c>
      <c r="Q1577" s="22">
        <v>0.0</v>
      </c>
      <c r="R1577" s="32">
        <f t="shared" si="6"/>
        <v>23.503</v>
      </c>
      <c r="S1577" s="33" t="s">
        <v>29</v>
      </c>
      <c r="T1577" s="33" t="s">
        <v>30</v>
      </c>
      <c r="U1577" s="34" t="s">
        <v>96</v>
      </c>
      <c r="V1577" s="35"/>
      <c r="W1577" s="7"/>
      <c r="X1577" s="7"/>
      <c r="Y1577" s="7"/>
      <c r="Z1577" s="7"/>
      <c r="AA1577" s="7"/>
    </row>
    <row r="1578" ht="18.75" customHeight="1">
      <c r="A1578" s="8" t="s">
        <v>1600</v>
      </c>
      <c r="B1578" s="61" t="s">
        <v>1601</v>
      </c>
      <c r="C1578" s="9" t="s">
        <v>534</v>
      </c>
      <c r="D1578" s="10">
        <v>2336.0</v>
      </c>
      <c r="E1578" s="8" t="s">
        <v>1695</v>
      </c>
      <c r="F1578" s="11" t="s">
        <v>26</v>
      </c>
      <c r="G1578" s="12" t="s">
        <v>27</v>
      </c>
      <c r="H1578" s="13">
        <v>531.9</v>
      </c>
      <c r="I1578" s="14">
        <v>10.0</v>
      </c>
      <c r="J1578" s="15" t="s">
        <v>28</v>
      </c>
      <c r="K1578" s="16">
        <v>0.4</v>
      </c>
      <c r="L1578" s="17">
        <f t="shared" si="1"/>
        <v>4</v>
      </c>
      <c r="M1578" s="17">
        <f t="shared" si="2"/>
        <v>6</v>
      </c>
      <c r="N1578" s="18">
        <f t="shared" si="3"/>
        <v>212.76</v>
      </c>
      <c r="O1578" s="18">
        <f t="shared" si="4"/>
        <v>319.14</v>
      </c>
      <c r="P1578" s="18">
        <f t="shared" si="5"/>
        <v>319.14</v>
      </c>
      <c r="Q1578" s="8">
        <v>0.0</v>
      </c>
      <c r="R1578" s="18">
        <f t="shared" si="6"/>
        <v>53.19</v>
      </c>
      <c r="S1578" s="19" t="s">
        <v>29</v>
      </c>
      <c r="T1578" s="19" t="s">
        <v>30</v>
      </c>
      <c r="U1578" s="20" t="s">
        <v>191</v>
      </c>
      <c r="V1578" s="37"/>
      <c r="W1578" s="7"/>
      <c r="X1578" s="7"/>
      <c r="Y1578" s="7"/>
      <c r="Z1578" s="7"/>
      <c r="AA1578" s="7"/>
    </row>
    <row r="1579" ht="18.75" customHeight="1">
      <c r="A1579" s="22" t="s">
        <v>1600</v>
      </c>
      <c r="B1579" s="63" t="s">
        <v>1601</v>
      </c>
      <c r="C1579" s="23" t="s">
        <v>145</v>
      </c>
      <c r="D1579" s="24">
        <v>2379.0</v>
      </c>
      <c r="E1579" s="22" t="s">
        <v>863</v>
      </c>
      <c r="F1579" s="25" t="s">
        <v>26</v>
      </c>
      <c r="G1579" s="26" t="s">
        <v>27</v>
      </c>
      <c r="H1579" s="27">
        <v>4899.9</v>
      </c>
      <c r="I1579" s="28">
        <v>5.0</v>
      </c>
      <c r="J1579" s="29" t="s">
        <v>54</v>
      </c>
      <c r="K1579" s="30">
        <v>0.3</v>
      </c>
      <c r="L1579" s="31">
        <f t="shared" si="1"/>
        <v>1.5</v>
      </c>
      <c r="M1579" s="31">
        <f t="shared" si="2"/>
        <v>3.5</v>
      </c>
      <c r="N1579" s="32">
        <f t="shared" si="3"/>
        <v>1469.97</v>
      </c>
      <c r="O1579" s="32">
        <f t="shared" si="4"/>
        <v>3429.93</v>
      </c>
      <c r="P1579" s="32">
        <f t="shared" si="5"/>
        <v>3429.93</v>
      </c>
      <c r="Q1579" s="22">
        <v>0.0</v>
      </c>
      <c r="R1579" s="32">
        <f t="shared" si="6"/>
        <v>979.98</v>
      </c>
      <c r="S1579" s="33" t="s">
        <v>29</v>
      </c>
      <c r="T1579" s="33" t="s">
        <v>30</v>
      </c>
      <c r="U1579" s="34" t="s">
        <v>67</v>
      </c>
      <c r="V1579" s="35"/>
      <c r="W1579" s="7"/>
      <c r="X1579" s="7"/>
      <c r="Y1579" s="7"/>
      <c r="Z1579" s="7"/>
      <c r="AA1579" s="7"/>
    </row>
    <row r="1580" ht="18.75" customHeight="1">
      <c r="A1580" s="8" t="s">
        <v>1600</v>
      </c>
      <c r="B1580" s="61" t="s">
        <v>1601</v>
      </c>
      <c r="C1580" s="9" t="s">
        <v>534</v>
      </c>
      <c r="D1580" s="10">
        <v>2395.0</v>
      </c>
      <c r="E1580" s="8" t="s">
        <v>1696</v>
      </c>
      <c r="F1580" s="11" t="s">
        <v>37</v>
      </c>
      <c r="G1580" s="12" t="s">
        <v>27</v>
      </c>
      <c r="H1580" s="13">
        <v>332.91</v>
      </c>
      <c r="I1580" s="14">
        <v>5.0</v>
      </c>
      <c r="J1580" s="15" t="s">
        <v>54</v>
      </c>
      <c r="K1580" s="16">
        <v>0.3</v>
      </c>
      <c r="L1580" s="17">
        <f t="shared" si="1"/>
        <v>1.5</v>
      </c>
      <c r="M1580" s="17">
        <f t="shared" si="2"/>
        <v>3.5</v>
      </c>
      <c r="N1580" s="18">
        <f t="shared" si="3"/>
        <v>99.873</v>
      </c>
      <c r="O1580" s="18">
        <f t="shared" si="4"/>
        <v>233.037</v>
      </c>
      <c r="P1580" s="18">
        <f t="shared" si="5"/>
        <v>233.037</v>
      </c>
      <c r="Q1580" s="8">
        <v>0.0</v>
      </c>
      <c r="R1580" s="18">
        <f t="shared" si="6"/>
        <v>66.582</v>
      </c>
      <c r="S1580" s="19" t="s">
        <v>29</v>
      </c>
      <c r="T1580" s="19" t="s">
        <v>30</v>
      </c>
      <c r="U1580" s="36" t="s">
        <v>787</v>
      </c>
      <c r="V1580" s="37"/>
      <c r="W1580" s="7"/>
      <c r="X1580" s="7"/>
      <c r="Y1580" s="7"/>
      <c r="Z1580" s="7"/>
      <c r="AA1580" s="7"/>
    </row>
    <row r="1581" ht="18.75" customHeight="1">
      <c r="A1581" s="22" t="s">
        <v>1600</v>
      </c>
      <c r="B1581" s="63" t="s">
        <v>1601</v>
      </c>
      <c r="C1581" s="23" t="s">
        <v>534</v>
      </c>
      <c r="D1581" s="24">
        <v>2401.0</v>
      </c>
      <c r="E1581" s="22" t="s">
        <v>1696</v>
      </c>
      <c r="F1581" s="25" t="s">
        <v>37</v>
      </c>
      <c r="G1581" s="26" t="s">
        <v>27</v>
      </c>
      <c r="H1581" s="27">
        <v>332.91</v>
      </c>
      <c r="I1581" s="28">
        <v>5.0</v>
      </c>
      <c r="J1581" s="29" t="s">
        <v>54</v>
      </c>
      <c r="K1581" s="30">
        <v>0.3</v>
      </c>
      <c r="L1581" s="31">
        <f t="shared" si="1"/>
        <v>1.5</v>
      </c>
      <c r="M1581" s="31">
        <f t="shared" si="2"/>
        <v>3.5</v>
      </c>
      <c r="N1581" s="32">
        <f t="shared" si="3"/>
        <v>99.873</v>
      </c>
      <c r="O1581" s="32">
        <f t="shared" si="4"/>
        <v>233.037</v>
      </c>
      <c r="P1581" s="32">
        <f t="shared" si="5"/>
        <v>233.037</v>
      </c>
      <c r="Q1581" s="22">
        <v>0.0</v>
      </c>
      <c r="R1581" s="32">
        <f t="shared" si="6"/>
        <v>66.582</v>
      </c>
      <c r="S1581" s="33" t="s">
        <v>29</v>
      </c>
      <c r="T1581" s="33" t="s">
        <v>30</v>
      </c>
      <c r="U1581" s="38" t="s">
        <v>787</v>
      </c>
      <c r="V1581" s="35"/>
      <c r="W1581" s="7"/>
      <c r="X1581" s="7"/>
      <c r="Y1581" s="7"/>
      <c r="Z1581" s="7"/>
      <c r="AA1581" s="7"/>
    </row>
    <row r="1582" ht="18.75" customHeight="1">
      <c r="A1582" s="8" t="s">
        <v>1600</v>
      </c>
      <c r="B1582" s="61" t="s">
        <v>1601</v>
      </c>
      <c r="C1582" s="9" t="s">
        <v>534</v>
      </c>
      <c r="D1582" s="10">
        <v>2402.0</v>
      </c>
      <c r="E1582" s="8" t="s">
        <v>1696</v>
      </c>
      <c r="F1582" s="11" t="s">
        <v>37</v>
      </c>
      <c r="G1582" s="12" t="s">
        <v>27</v>
      </c>
      <c r="H1582" s="13">
        <v>332.91</v>
      </c>
      <c r="I1582" s="14">
        <v>5.0</v>
      </c>
      <c r="J1582" s="15" t="s">
        <v>54</v>
      </c>
      <c r="K1582" s="16">
        <v>0.3</v>
      </c>
      <c r="L1582" s="17">
        <f t="shared" si="1"/>
        <v>1.5</v>
      </c>
      <c r="M1582" s="17">
        <f t="shared" si="2"/>
        <v>3.5</v>
      </c>
      <c r="N1582" s="18">
        <f t="shared" si="3"/>
        <v>99.873</v>
      </c>
      <c r="O1582" s="18">
        <f t="shared" si="4"/>
        <v>233.037</v>
      </c>
      <c r="P1582" s="18">
        <f t="shared" si="5"/>
        <v>233.037</v>
      </c>
      <c r="Q1582" s="8">
        <v>0.0</v>
      </c>
      <c r="R1582" s="18">
        <f t="shared" si="6"/>
        <v>66.582</v>
      </c>
      <c r="S1582" s="19" t="s">
        <v>29</v>
      </c>
      <c r="T1582" s="19" t="s">
        <v>30</v>
      </c>
      <c r="U1582" s="36" t="s">
        <v>787</v>
      </c>
      <c r="V1582" s="37"/>
      <c r="W1582" s="7"/>
      <c r="X1582" s="7"/>
      <c r="Y1582" s="7"/>
      <c r="Z1582" s="7"/>
      <c r="AA1582" s="7"/>
    </row>
    <row r="1583" ht="18.75" customHeight="1">
      <c r="A1583" s="22" t="s">
        <v>1600</v>
      </c>
      <c r="B1583" s="63" t="s">
        <v>1601</v>
      </c>
      <c r="C1583" s="23" t="s">
        <v>534</v>
      </c>
      <c r="D1583" s="24">
        <v>2403.0</v>
      </c>
      <c r="E1583" s="22" t="s">
        <v>1696</v>
      </c>
      <c r="F1583" s="25" t="s">
        <v>37</v>
      </c>
      <c r="G1583" s="26" t="s">
        <v>27</v>
      </c>
      <c r="H1583" s="27">
        <v>332.91</v>
      </c>
      <c r="I1583" s="28">
        <v>5.0</v>
      </c>
      <c r="J1583" s="29" t="s">
        <v>54</v>
      </c>
      <c r="K1583" s="30">
        <v>0.3</v>
      </c>
      <c r="L1583" s="31">
        <f t="shared" si="1"/>
        <v>1.5</v>
      </c>
      <c r="M1583" s="31">
        <f t="shared" si="2"/>
        <v>3.5</v>
      </c>
      <c r="N1583" s="32">
        <f t="shared" si="3"/>
        <v>99.873</v>
      </c>
      <c r="O1583" s="32">
        <f t="shared" si="4"/>
        <v>233.037</v>
      </c>
      <c r="P1583" s="32">
        <f t="shared" si="5"/>
        <v>233.037</v>
      </c>
      <c r="Q1583" s="22">
        <v>0.0</v>
      </c>
      <c r="R1583" s="32">
        <f t="shared" si="6"/>
        <v>66.582</v>
      </c>
      <c r="S1583" s="33" t="s">
        <v>29</v>
      </c>
      <c r="T1583" s="33" t="s">
        <v>30</v>
      </c>
      <c r="U1583" s="38" t="s">
        <v>787</v>
      </c>
      <c r="V1583" s="35"/>
      <c r="W1583" s="7"/>
      <c r="X1583" s="7"/>
      <c r="Y1583" s="7"/>
      <c r="Z1583" s="7"/>
      <c r="AA1583" s="7"/>
    </row>
    <row r="1584" ht="18.75" customHeight="1">
      <c r="A1584" s="8" t="s">
        <v>1600</v>
      </c>
      <c r="B1584" s="61" t="s">
        <v>1601</v>
      </c>
      <c r="C1584" s="9" t="s">
        <v>534</v>
      </c>
      <c r="D1584" s="10">
        <v>2404.0</v>
      </c>
      <c r="E1584" s="8" t="s">
        <v>1696</v>
      </c>
      <c r="F1584" s="11" t="s">
        <v>37</v>
      </c>
      <c r="G1584" s="12" t="s">
        <v>27</v>
      </c>
      <c r="H1584" s="13">
        <v>332.91</v>
      </c>
      <c r="I1584" s="14">
        <v>5.0</v>
      </c>
      <c r="J1584" s="15" t="s">
        <v>54</v>
      </c>
      <c r="K1584" s="16">
        <v>0.3</v>
      </c>
      <c r="L1584" s="17">
        <f t="shared" si="1"/>
        <v>1.5</v>
      </c>
      <c r="M1584" s="17">
        <f t="shared" si="2"/>
        <v>3.5</v>
      </c>
      <c r="N1584" s="18">
        <f t="shared" si="3"/>
        <v>99.873</v>
      </c>
      <c r="O1584" s="18">
        <f t="shared" si="4"/>
        <v>233.037</v>
      </c>
      <c r="P1584" s="18">
        <f t="shared" si="5"/>
        <v>233.037</v>
      </c>
      <c r="Q1584" s="8">
        <v>0.0</v>
      </c>
      <c r="R1584" s="18">
        <f t="shared" si="6"/>
        <v>66.582</v>
      </c>
      <c r="S1584" s="19" t="s">
        <v>29</v>
      </c>
      <c r="T1584" s="19" t="s">
        <v>30</v>
      </c>
      <c r="U1584" s="36" t="s">
        <v>787</v>
      </c>
      <c r="V1584" s="37"/>
      <c r="W1584" s="7"/>
      <c r="X1584" s="7"/>
      <c r="Y1584" s="7"/>
      <c r="Z1584" s="7"/>
      <c r="AA1584" s="7"/>
    </row>
    <row r="1585" ht="18.75" customHeight="1">
      <c r="A1585" s="22" t="s">
        <v>1600</v>
      </c>
      <c r="B1585" s="63" t="s">
        <v>1601</v>
      </c>
      <c r="C1585" s="23" t="s">
        <v>534</v>
      </c>
      <c r="D1585" s="24">
        <v>2405.0</v>
      </c>
      <c r="E1585" s="22" t="s">
        <v>1697</v>
      </c>
      <c r="F1585" s="25" t="s">
        <v>37</v>
      </c>
      <c r="G1585" s="26" t="s">
        <v>27</v>
      </c>
      <c r="H1585" s="27">
        <v>549.97</v>
      </c>
      <c r="I1585" s="28">
        <v>5.0</v>
      </c>
      <c r="J1585" s="29" t="s">
        <v>28</v>
      </c>
      <c r="K1585" s="30">
        <v>0.4</v>
      </c>
      <c r="L1585" s="31">
        <f t="shared" si="1"/>
        <v>2</v>
      </c>
      <c r="M1585" s="31">
        <f t="shared" si="2"/>
        <v>3</v>
      </c>
      <c r="N1585" s="32">
        <f t="shared" si="3"/>
        <v>219.988</v>
      </c>
      <c r="O1585" s="32">
        <f t="shared" si="4"/>
        <v>329.982</v>
      </c>
      <c r="P1585" s="32">
        <f t="shared" si="5"/>
        <v>329.982</v>
      </c>
      <c r="Q1585" s="22">
        <v>0.0</v>
      </c>
      <c r="R1585" s="32">
        <f t="shared" si="6"/>
        <v>109.994</v>
      </c>
      <c r="S1585" s="33" t="s">
        <v>29</v>
      </c>
      <c r="T1585" s="33" t="s">
        <v>30</v>
      </c>
      <c r="U1585" s="34" t="s">
        <v>1698</v>
      </c>
      <c r="V1585" s="35"/>
      <c r="W1585" s="7"/>
      <c r="X1585" s="7"/>
      <c r="Y1585" s="7"/>
      <c r="Z1585" s="7"/>
      <c r="AA1585" s="7"/>
    </row>
    <row r="1586" ht="18.75" customHeight="1">
      <c r="A1586" s="8" t="s">
        <v>1600</v>
      </c>
      <c r="B1586" s="61" t="s">
        <v>1601</v>
      </c>
      <c r="C1586" s="9" t="s">
        <v>534</v>
      </c>
      <c r="D1586" s="10">
        <v>2411.0</v>
      </c>
      <c r="E1586" s="8" t="s">
        <v>1697</v>
      </c>
      <c r="F1586" s="11" t="s">
        <v>37</v>
      </c>
      <c r="G1586" s="12" t="s">
        <v>27</v>
      </c>
      <c r="H1586" s="13">
        <v>549.97</v>
      </c>
      <c r="I1586" s="14">
        <v>5.0</v>
      </c>
      <c r="J1586" s="15" t="s">
        <v>54</v>
      </c>
      <c r="K1586" s="16">
        <v>0.3</v>
      </c>
      <c r="L1586" s="17">
        <f t="shared" si="1"/>
        <v>1.5</v>
      </c>
      <c r="M1586" s="17">
        <f t="shared" si="2"/>
        <v>3.5</v>
      </c>
      <c r="N1586" s="18">
        <f t="shared" si="3"/>
        <v>164.991</v>
      </c>
      <c r="O1586" s="18">
        <f t="shared" si="4"/>
        <v>384.979</v>
      </c>
      <c r="P1586" s="18">
        <f t="shared" si="5"/>
        <v>384.979</v>
      </c>
      <c r="Q1586" s="8">
        <v>0.0</v>
      </c>
      <c r="R1586" s="18">
        <f t="shared" si="6"/>
        <v>109.994</v>
      </c>
      <c r="S1586" s="19" t="s">
        <v>29</v>
      </c>
      <c r="T1586" s="19" t="s">
        <v>30</v>
      </c>
      <c r="U1586" s="20" t="s">
        <v>1698</v>
      </c>
      <c r="V1586" s="37"/>
      <c r="W1586" s="7"/>
      <c r="X1586" s="7"/>
      <c r="Y1586" s="7"/>
      <c r="Z1586" s="7"/>
      <c r="AA1586" s="7"/>
    </row>
    <row r="1587" ht="18.75" customHeight="1">
      <c r="A1587" s="22" t="s">
        <v>1600</v>
      </c>
      <c r="B1587" s="63" t="s">
        <v>1601</v>
      </c>
      <c r="C1587" s="23" t="s">
        <v>534</v>
      </c>
      <c r="D1587" s="24">
        <v>2412.0</v>
      </c>
      <c r="E1587" s="22" t="s">
        <v>1699</v>
      </c>
      <c r="F1587" s="25" t="s">
        <v>26</v>
      </c>
      <c r="G1587" s="26" t="s">
        <v>27</v>
      </c>
      <c r="H1587" s="56">
        <v>840.42</v>
      </c>
      <c r="I1587" s="28">
        <v>5.0</v>
      </c>
      <c r="J1587" s="29" t="s">
        <v>28</v>
      </c>
      <c r="K1587" s="30">
        <v>0.4</v>
      </c>
      <c r="L1587" s="31">
        <f t="shared" si="1"/>
        <v>2</v>
      </c>
      <c r="M1587" s="31">
        <f t="shared" si="2"/>
        <v>3</v>
      </c>
      <c r="N1587" s="32">
        <f t="shared" si="3"/>
        <v>336.168</v>
      </c>
      <c r="O1587" s="32">
        <f t="shared" si="4"/>
        <v>504.252</v>
      </c>
      <c r="P1587" s="32">
        <f t="shared" si="5"/>
        <v>504.252</v>
      </c>
      <c r="Q1587" s="22">
        <v>0.0</v>
      </c>
      <c r="R1587" s="32">
        <f t="shared" si="6"/>
        <v>168.084</v>
      </c>
      <c r="S1587" s="33" t="s">
        <v>29</v>
      </c>
      <c r="T1587" s="33" t="s">
        <v>30</v>
      </c>
      <c r="U1587" s="34" t="s">
        <v>102</v>
      </c>
      <c r="V1587" s="35"/>
      <c r="W1587" s="7"/>
      <c r="X1587" s="7"/>
      <c r="Y1587" s="7"/>
      <c r="Z1587" s="7"/>
      <c r="AA1587" s="7"/>
    </row>
    <row r="1588" ht="18.75" customHeight="1">
      <c r="A1588" s="8" t="s">
        <v>1600</v>
      </c>
      <c r="B1588" s="61" t="s">
        <v>1601</v>
      </c>
      <c r="C1588" s="9" t="s">
        <v>534</v>
      </c>
      <c r="D1588" s="10">
        <v>2413.0</v>
      </c>
      <c r="E1588" s="8" t="s">
        <v>1700</v>
      </c>
      <c r="F1588" s="11" t="s">
        <v>26</v>
      </c>
      <c r="G1588" s="12" t="s">
        <v>27</v>
      </c>
      <c r="H1588" s="55">
        <v>1260.63</v>
      </c>
      <c r="I1588" s="14">
        <v>5.0</v>
      </c>
      <c r="J1588" s="15" t="s">
        <v>28</v>
      </c>
      <c r="K1588" s="16">
        <v>0.4</v>
      </c>
      <c r="L1588" s="17">
        <f t="shared" si="1"/>
        <v>2</v>
      </c>
      <c r="M1588" s="17">
        <f t="shared" si="2"/>
        <v>3</v>
      </c>
      <c r="N1588" s="18">
        <f t="shared" si="3"/>
        <v>504.252</v>
      </c>
      <c r="O1588" s="18">
        <f t="shared" si="4"/>
        <v>756.378</v>
      </c>
      <c r="P1588" s="18">
        <f t="shared" si="5"/>
        <v>756.378</v>
      </c>
      <c r="Q1588" s="8">
        <v>0.0</v>
      </c>
      <c r="R1588" s="18">
        <f t="shared" si="6"/>
        <v>252.126</v>
      </c>
      <c r="S1588" s="19" t="s">
        <v>29</v>
      </c>
      <c r="T1588" s="19" t="s">
        <v>30</v>
      </c>
      <c r="U1588" s="20" t="s">
        <v>102</v>
      </c>
      <c r="V1588" s="37"/>
      <c r="W1588" s="7"/>
      <c r="X1588" s="7"/>
      <c r="Y1588" s="7"/>
      <c r="Z1588" s="7"/>
      <c r="AA1588" s="7"/>
    </row>
    <row r="1589" ht="18.75" customHeight="1">
      <c r="A1589" s="22" t="s">
        <v>1600</v>
      </c>
      <c r="B1589" s="63" t="s">
        <v>1601</v>
      </c>
      <c r="C1589" s="23" t="s">
        <v>534</v>
      </c>
      <c r="D1589" s="24">
        <v>2415.0</v>
      </c>
      <c r="E1589" s="22" t="s">
        <v>1701</v>
      </c>
      <c r="F1589" s="25" t="s">
        <v>37</v>
      </c>
      <c r="G1589" s="26" t="s">
        <v>27</v>
      </c>
      <c r="H1589" s="27">
        <v>465.09</v>
      </c>
      <c r="I1589" s="28">
        <v>10.0</v>
      </c>
      <c r="J1589" s="29" t="s">
        <v>154</v>
      </c>
      <c r="K1589" s="30">
        <v>0.8</v>
      </c>
      <c r="L1589" s="31">
        <f t="shared" si="1"/>
        <v>8</v>
      </c>
      <c r="M1589" s="31">
        <f t="shared" si="2"/>
        <v>2</v>
      </c>
      <c r="N1589" s="32">
        <f t="shared" si="3"/>
        <v>372.072</v>
      </c>
      <c r="O1589" s="32">
        <f t="shared" si="4"/>
        <v>93.018</v>
      </c>
      <c r="P1589" s="32">
        <f t="shared" si="5"/>
        <v>93.018</v>
      </c>
      <c r="Q1589" s="22">
        <v>0.0</v>
      </c>
      <c r="R1589" s="32">
        <f t="shared" si="6"/>
        <v>46.509</v>
      </c>
      <c r="S1589" s="33" t="s">
        <v>29</v>
      </c>
      <c r="T1589" s="33" t="s">
        <v>30</v>
      </c>
      <c r="U1589" s="38" t="s">
        <v>1702</v>
      </c>
      <c r="V1589" s="35"/>
      <c r="W1589" s="7"/>
      <c r="X1589" s="7"/>
      <c r="Y1589" s="7"/>
      <c r="Z1589" s="7"/>
      <c r="AA1589" s="7"/>
    </row>
    <row r="1590" ht="18.75" customHeight="1">
      <c r="A1590" s="8" t="s">
        <v>1600</v>
      </c>
      <c r="B1590" s="61" t="s">
        <v>1601</v>
      </c>
      <c r="C1590" s="9" t="s">
        <v>534</v>
      </c>
      <c r="D1590" s="10">
        <v>2421.0</v>
      </c>
      <c r="E1590" s="8" t="s">
        <v>1703</v>
      </c>
      <c r="F1590" s="11" t="s">
        <v>37</v>
      </c>
      <c r="G1590" s="12" t="s">
        <v>27</v>
      </c>
      <c r="H1590" s="13">
        <v>578.76</v>
      </c>
      <c r="I1590" s="14">
        <v>10.0</v>
      </c>
      <c r="J1590" s="15" t="s">
        <v>28</v>
      </c>
      <c r="K1590" s="16">
        <v>0.4</v>
      </c>
      <c r="L1590" s="17">
        <f t="shared" si="1"/>
        <v>4</v>
      </c>
      <c r="M1590" s="17">
        <f t="shared" si="2"/>
        <v>6</v>
      </c>
      <c r="N1590" s="18">
        <f t="shared" si="3"/>
        <v>231.504</v>
      </c>
      <c r="O1590" s="18">
        <f t="shared" si="4"/>
        <v>347.256</v>
      </c>
      <c r="P1590" s="18">
        <f t="shared" si="5"/>
        <v>347.256</v>
      </c>
      <c r="Q1590" s="8">
        <v>0.0</v>
      </c>
      <c r="R1590" s="18">
        <f t="shared" si="6"/>
        <v>57.876</v>
      </c>
      <c r="S1590" s="19" t="s">
        <v>29</v>
      </c>
      <c r="T1590" s="19" t="s">
        <v>30</v>
      </c>
      <c r="U1590" s="36" t="s">
        <v>784</v>
      </c>
      <c r="V1590" s="37"/>
      <c r="W1590" s="7"/>
      <c r="X1590" s="7"/>
      <c r="Y1590" s="7"/>
      <c r="Z1590" s="7"/>
      <c r="AA1590" s="7"/>
    </row>
    <row r="1591" ht="18.75" customHeight="1">
      <c r="A1591" s="22" t="s">
        <v>1600</v>
      </c>
      <c r="B1591" s="63" t="s">
        <v>1601</v>
      </c>
      <c r="C1591" s="23" t="s">
        <v>534</v>
      </c>
      <c r="D1591" s="24">
        <v>2423.0</v>
      </c>
      <c r="E1591" s="22" t="s">
        <v>1704</v>
      </c>
      <c r="F1591" s="25" t="s">
        <v>26</v>
      </c>
      <c r="G1591" s="26" t="s">
        <v>27</v>
      </c>
      <c r="H1591" s="56">
        <v>1260.63</v>
      </c>
      <c r="I1591" s="28">
        <v>5.0</v>
      </c>
      <c r="J1591" s="29" t="s">
        <v>28</v>
      </c>
      <c r="K1591" s="30">
        <v>0.4</v>
      </c>
      <c r="L1591" s="31">
        <f t="shared" si="1"/>
        <v>2</v>
      </c>
      <c r="M1591" s="31">
        <f t="shared" si="2"/>
        <v>3</v>
      </c>
      <c r="N1591" s="32">
        <f t="shared" si="3"/>
        <v>504.252</v>
      </c>
      <c r="O1591" s="32">
        <f t="shared" si="4"/>
        <v>756.378</v>
      </c>
      <c r="P1591" s="32">
        <f t="shared" si="5"/>
        <v>756.378</v>
      </c>
      <c r="Q1591" s="22">
        <v>0.0</v>
      </c>
      <c r="R1591" s="32">
        <f t="shared" si="6"/>
        <v>252.126</v>
      </c>
      <c r="S1591" s="33" t="s">
        <v>29</v>
      </c>
      <c r="T1591" s="33" t="s">
        <v>30</v>
      </c>
      <c r="U1591" s="34" t="s">
        <v>102</v>
      </c>
      <c r="V1591" s="35"/>
      <c r="W1591" s="7"/>
      <c r="X1591" s="7"/>
      <c r="Y1591" s="7"/>
      <c r="Z1591" s="7"/>
      <c r="AA1591" s="7"/>
    </row>
    <row r="1592" ht="18.75" customHeight="1">
      <c r="A1592" s="8" t="s">
        <v>1600</v>
      </c>
      <c r="B1592" s="61" t="s">
        <v>1601</v>
      </c>
      <c r="C1592" s="9" t="s">
        <v>33</v>
      </c>
      <c r="D1592" s="10">
        <v>2791.0</v>
      </c>
      <c r="E1592" s="8" t="s">
        <v>1705</v>
      </c>
      <c r="F1592" s="11" t="s">
        <v>26</v>
      </c>
      <c r="G1592" s="73">
        <v>45077.0</v>
      </c>
      <c r="H1592" s="13">
        <v>7340.0</v>
      </c>
      <c r="I1592" s="14">
        <v>10.0</v>
      </c>
      <c r="J1592" s="15" t="s">
        <v>81</v>
      </c>
      <c r="K1592" s="16">
        <v>0.150000000000002</v>
      </c>
      <c r="L1592" s="17">
        <f t="shared" si="1"/>
        <v>1.5</v>
      </c>
      <c r="M1592" s="17">
        <f t="shared" si="2"/>
        <v>8.5</v>
      </c>
      <c r="N1592" s="18">
        <f t="shared" si="3"/>
        <v>1101</v>
      </c>
      <c r="O1592" s="18">
        <f t="shared" si="4"/>
        <v>6239</v>
      </c>
      <c r="P1592" s="18">
        <f t="shared" si="5"/>
        <v>6239</v>
      </c>
      <c r="Q1592" s="8">
        <v>0.0</v>
      </c>
      <c r="R1592" s="18">
        <f t="shared" si="6"/>
        <v>734</v>
      </c>
      <c r="S1592" s="19" t="s">
        <v>29</v>
      </c>
      <c r="T1592" s="19" t="s">
        <v>30</v>
      </c>
      <c r="U1592" s="20" t="s">
        <v>312</v>
      </c>
      <c r="V1592" s="37" t="s">
        <v>1706</v>
      </c>
      <c r="W1592" s="7"/>
      <c r="X1592" s="7"/>
      <c r="Y1592" s="7"/>
      <c r="Z1592" s="7"/>
      <c r="AA1592" s="7"/>
    </row>
    <row r="1593" ht="18.75" customHeight="1">
      <c r="A1593" s="22" t="s">
        <v>1600</v>
      </c>
      <c r="B1593" s="63" t="s">
        <v>1601</v>
      </c>
      <c r="C1593" s="63" t="s">
        <v>33</v>
      </c>
      <c r="D1593" s="64">
        <v>3122.0</v>
      </c>
      <c r="E1593" s="22" t="s">
        <v>1707</v>
      </c>
      <c r="F1593" s="25" t="s">
        <v>26</v>
      </c>
      <c r="G1593" s="26" t="s">
        <v>27</v>
      </c>
      <c r="H1593" s="27">
        <v>1351.57</v>
      </c>
      <c r="I1593" s="28">
        <v>10.0</v>
      </c>
      <c r="J1593" s="29" t="s">
        <v>28</v>
      </c>
      <c r="K1593" s="30">
        <v>0.4</v>
      </c>
      <c r="L1593" s="31">
        <f t="shared" si="1"/>
        <v>4</v>
      </c>
      <c r="M1593" s="31">
        <f t="shared" si="2"/>
        <v>6</v>
      </c>
      <c r="N1593" s="32">
        <f t="shared" si="3"/>
        <v>540.628</v>
      </c>
      <c r="O1593" s="32">
        <f t="shared" si="4"/>
        <v>810.942</v>
      </c>
      <c r="P1593" s="32">
        <f t="shared" si="5"/>
        <v>810.942</v>
      </c>
      <c r="Q1593" s="22">
        <v>0.0</v>
      </c>
      <c r="R1593" s="32">
        <f t="shared" si="6"/>
        <v>135.157</v>
      </c>
      <c r="S1593" s="33" t="s">
        <v>29</v>
      </c>
      <c r="T1593" s="33" t="s">
        <v>30</v>
      </c>
      <c r="U1593" s="34" t="s">
        <v>41</v>
      </c>
      <c r="V1593" s="35"/>
      <c r="W1593" s="7"/>
      <c r="X1593" s="7"/>
      <c r="Y1593" s="7"/>
      <c r="Z1593" s="7"/>
      <c r="AA1593" s="7"/>
    </row>
    <row r="1594" ht="18.75" customHeight="1">
      <c r="A1594" s="8" t="s">
        <v>1600</v>
      </c>
      <c r="B1594" s="61" t="s">
        <v>1601</v>
      </c>
      <c r="C1594" s="61" t="s">
        <v>33</v>
      </c>
      <c r="D1594" s="62">
        <v>3196.0</v>
      </c>
      <c r="E1594" s="8" t="s">
        <v>1708</v>
      </c>
      <c r="F1594" s="11" t="s">
        <v>37</v>
      </c>
      <c r="G1594" s="12" t="s">
        <v>27</v>
      </c>
      <c r="H1594" s="13">
        <v>263.0</v>
      </c>
      <c r="I1594" s="14">
        <v>10.0</v>
      </c>
      <c r="J1594" s="15" t="s">
        <v>28</v>
      </c>
      <c r="K1594" s="16">
        <v>0.4</v>
      </c>
      <c r="L1594" s="17">
        <f t="shared" si="1"/>
        <v>4</v>
      </c>
      <c r="M1594" s="17">
        <f t="shared" si="2"/>
        <v>6</v>
      </c>
      <c r="N1594" s="18">
        <f t="shared" si="3"/>
        <v>105.2</v>
      </c>
      <c r="O1594" s="18">
        <f t="shared" si="4"/>
        <v>157.8</v>
      </c>
      <c r="P1594" s="18">
        <f t="shared" si="5"/>
        <v>157.8</v>
      </c>
      <c r="Q1594" s="8">
        <v>0.0</v>
      </c>
      <c r="R1594" s="18">
        <f t="shared" si="6"/>
        <v>26.3</v>
      </c>
      <c r="S1594" s="19" t="s">
        <v>29</v>
      </c>
      <c r="T1594" s="19" t="s">
        <v>30</v>
      </c>
      <c r="U1594" s="36" t="s">
        <v>1709</v>
      </c>
      <c r="V1594" s="37"/>
      <c r="W1594" s="7"/>
      <c r="X1594" s="7"/>
      <c r="Y1594" s="7"/>
      <c r="Z1594" s="7"/>
      <c r="AA1594" s="7"/>
    </row>
    <row r="1595" ht="18.75" customHeight="1">
      <c r="A1595" s="22" t="s">
        <v>1600</v>
      </c>
      <c r="B1595" s="63" t="s">
        <v>1601</v>
      </c>
      <c r="C1595" s="63" t="s">
        <v>33</v>
      </c>
      <c r="D1595" s="64">
        <v>3197.0</v>
      </c>
      <c r="E1595" s="22" t="s">
        <v>1710</v>
      </c>
      <c r="F1595" s="25" t="s">
        <v>37</v>
      </c>
      <c r="G1595" s="26" t="s">
        <v>27</v>
      </c>
      <c r="H1595" s="27">
        <v>1880.55</v>
      </c>
      <c r="I1595" s="28">
        <v>10.0</v>
      </c>
      <c r="J1595" s="127" t="s">
        <v>54</v>
      </c>
      <c r="K1595" s="30">
        <v>0.3</v>
      </c>
      <c r="L1595" s="31">
        <f t="shared" si="1"/>
        <v>3</v>
      </c>
      <c r="M1595" s="31">
        <f t="shared" si="2"/>
        <v>7</v>
      </c>
      <c r="N1595" s="32">
        <f t="shared" si="3"/>
        <v>564.165</v>
      </c>
      <c r="O1595" s="32">
        <f t="shared" si="4"/>
        <v>1316.385</v>
      </c>
      <c r="P1595" s="32">
        <f t="shared" si="5"/>
        <v>1316.385</v>
      </c>
      <c r="Q1595" s="22">
        <v>0.0</v>
      </c>
      <c r="R1595" s="32">
        <f t="shared" si="6"/>
        <v>188.055</v>
      </c>
      <c r="S1595" s="33" t="s">
        <v>29</v>
      </c>
      <c r="T1595" s="33" t="s">
        <v>30</v>
      </c>
      <c r="U1595" s="34" t="s">
        <v>69</v>
      </c>
      <c r="V1595" s="35"/>
      <c r="W1595" s="7"/>
      <c r="X1595" s="7"/>
      <c r="Y1595" s="7"/>
      <c r="Z1595" s="7"/>
      <c r="AA1595" s="7"/>
    </row>
    <row r="1596" ht="18.75" customHeight="1">
      <c r="A1596" s="8" t="s">
        <v>1600</v>
      </c>
      <c r="B1596" s="61" t="s">
        <v>1601</v>
      </c>
      <c r="C1596" s="61" t="s">
        <v>33</v>
      </c>
      <c r="D1596" s="62">
        <v>3198.0</v>
      </c>
      <c r="E1596" s="8" t="s">
        <v>1711</v>
      </c>
      <c r="F1596" s="11" t="s">
        <v>26</v>
      </c>
      <c r="G1596" s="12" t="s">
        <v>27</v>
      </c>
      <c r="H1596" s="13">
        <v>2338.0</v>
      </c>
      <c r="I1596" s="14">
        <v>10.0</v>
      </c>
      <c r="J1596" s="15" t="s">
        <v>28</v>
      </c>
      <c r="K1596" s="16">
        <v>0.4</v>
      </c>
      <c r="L1596" s="17">
        <f t="shared" si="1"/>
        <v>4</v>
      </c>
      <c r="M1596" s="17">
        <f t="shared" si="2"/>
        <v>6</v>
      </c>
      <c r="N1596" s="18">
        <f t="shared" si="3"/>
        <v>935.2</v>
      </c>
      <c r="O1596" s="18">
        <f t="shared" si="4"/>
        <v>1402.8</v>
      </c>
      <c r="P1596" s="18">
        <f t="shared" si="5"/>
        <v>1402.8</v>
      </c>
      <c r="Q1596" s="8">
        <v>0.0</v>
      </c>
      <c r="R1596" s="18">
        <f t="shared" si="6"/>
        <v>233.8</v>
      </c>
      <c r="S1596" s="19" t="s">
        <v>29</v>
      </c>
      <c r="T1596" s="19" t="s">
        <v>30</v>
      </c>
      <c r="U1596" s="36" t="s">
        <v>45</v>
      </c>
      <c r="V1596" s="37"/>
      <c r="W1596" s="7"/>
      <c r="X1596" s="7"/>
      <c r="Y1596" s="7"/>
      <c r="Z1596" s="7"/>
      <c r="AA1596" s="7"/>
    </row>
    <row r="1597" ht="18.75" customHeight="1">
      <c r="A1597" s="22" t="s">
        <v>1600</v>
      </c>
      <c r="B1597" s="63" t="s">
        <v>1601</v>
      </c>
      <c r="C1597" s="63" t="s">
        <v>33</v>
      </c>
      <c r="D1597" s="64">
        <v>3199.0</v>
      </c>
      <c r="E1597" s="22" t="s">
        <v>1712</v>
      </c>
      <c r="F1597" s="25" t="s">
        <v>26</v>
      </c>
      <c r="G1597" s="26" t="s">
        <v>27</v>
      </c>
      <c r="H1597" s="27">
        <v>22652.48</v>
      </c>
      <c r="I1597" s="28">
        <v>10.0</v>
      </c>
      <c r="J1597" s="29" t="s">
        <v>28</v>
      </c>
      <c r="K1597" s="30">
        <v>0.4</v>
      </c>
      <c r="L1597" s="31">
        <f t="shared" si="1"/>
        <v>4</v>
      </c>
      <c r="M1597" s="31">
        <f t="shared" si="2"/>
        <v>6</v>
      </c>
      <c r="N1597" s="32">
        <f t="shared" si="3"/>
        <v>9060.992</v>
      </c>
      <c r="O1597" s="32">
        <f t="shared" si="4"/>
        <v>13591.488</v>
      </c>
      <c r="P1597" s="32">
        <f t="shared" si="5"/>
        <v>13591.488</v>
      </c>
      <c r="Q1597" s="22">
        <v>0.0</v>
      </c>
      <c r="R1597" s="32">
        <f t="shared" si="6"/>
        <v>2265.248</v>
      </c>
      <c r="S1597" s="33" t="s">
        <v>29</v>
      </c>
      <c r="T1597" s="33" t="s">
        <v>30</v>
      </c>
      <c r="U1597" s="34" t="s">
        <v>50</v>
      </c>
      <c r="V1597" s="35"/>
      <c r="W1597" s="7"/>
      <c r="X1597" s="7"/>
      <c r="Y1597" s="7"/>
      <c r="Z1597" s="7"/>
      <c r="AA1597" s="7"/>
    </row>
    <row r="1598" ht="18.75" customHeight="1">
      <c r="A1598" s="8" t="s">
        <v>1600</v>
      </c>
      <c r="B1598" s="61" t="s">
        <v>1601</v>
      </c>
      <c r="C1598" s="61" t="s">
        <v>33</v>
      </c>
      <c r="D1598" s="62">
        <v>3202.0</v>
      </c>
      <c r="E1598" s="8" t="s">
        <v>1713</v>
      </c>
      <c r="F1598" s="11" t="s">
        <v>37</v>
      </c>
      <c r="G1598" s="12" t="s">
        <v>27</v>
      </c>
      <c r="H1598" s="13">
        <v>1614.0</v>
      </c>
      <c r="I1598" s="14">
        <v>10.0</v>
      </c>
      <c r="J1598" s="128" t="s">
        <v>54</v>
      </c>
      <c r="K1598" s="16">
        <v>0.3</v>
      </c>
      <c r="L1598" s="17">
        <f t="shared" si="1"/>
        <v>3</v>
      </c>
      <c r="M1598" s="17">
        <f t="shared" si="2"/>
        <v>7</v>
      </c>
      <c r="N1598" s="18">
        <f t="shared" si="3"/>
        <v>484.2</v>
      </c>
      <c r="O1598" s="18">
        <f t="shared" si="4"/>
        <v>1129.8</v>
      </c>
      <c r="P1598" s="18">
        <f t="shared" si="5"/>
        <v>1129.8</v>
      </c>
      <c r="Q1598" s="8">
        <v>0.0</v>
      </c>
      <c r="R1598" s="18">
        <f t="shared" si="6"/>
        <v>161.4</v>
      </c>
      <c r="S1598" s="19" t="s">
        <v>29</v>
      </c>
      <c r="T1598" s="19" t="s">
        <v>30</v>
      </c>
      <c r="U1598" s="20" t="s">
        <v>411</v>
      </c>
      <c r="V1598" s="37"/>
      <c r="W1598" s="7"/>
      <c r="X1598" s="7"/>
      <c r="Y1598" s="7"/>
      <c r="Z1598" s="7"/>
      <c r="AA1598" s="7"/>
    </row>
    <row r="1599" ht="18.75" customHeight="1">
      <c r="A1599" s="22" t="s">
        <v>1600</v>
      </c>
      <c r="B1599" s="63" t="s">
        <v>1601</v>
      </c>
      <c r="C1599" s="63" t="s">
        <v>33</v>
      </c>
      <c r="D1599" s="64">
        <v>3203.0</v>
      </c>
      <c r="E1599" s="22" t="s">
        <v>1714</v>
      </c>
      <c r="F1599" s="25" t="s">
        <v>37</v>
      </c>
      <c r="G1599" s="26" t="s">
        <v>27</v>
      </c>
      <c r="H1599" s="27">
        <v>1647.58</v>
      </c>
      <c r="I1599" s="28">
        <v>15.0</v>
      </c>
      <c r="J1599" s="127" t="s">
        <v>54</v>
      </c>
      <c r="K1599" s="30">
        <v>0.3</v>
      </c>
      <c r="L1599" s="31">
        <f t="shared" si="1"/>
        <v>4.5</v>
      </c>
      <c r="M1599" s="31">
        <f t="shared" si="2"/>
        <v>10.5</v>
      </c>
      <c r="N1599" s="32">
        <f t="shared" si="3"/>
        <v>494.274</v>
      </c>
      <c r="O1599" s="32">
        <f t="shared" si="4"/>
        <v>1153.306</v>
      </c>
      <c r="P1599" s="32">
        <f t="shared" si="5"/>
        <v>1153.306</v>
      </c>
      <c r="Q1599" s="22">
        <v>0.0</v>
      </c>
      <c r="R1599" s="32">
        <f t="shared" si="6"/>
        <v>109.8386667</v>
      </c>
      <c r="S1599" s="33" t="s">
        <v>29</v>
      </c>
      <c r="T1599" s="33" t="s">
        <v>30</v>
      </c>
      <c r="U1599" s="34" t="s">
        <v>325</v>
      </c>
      <c r="V1599" s="35"/>
      <c r="W1599" s="7"/>
      <c r="X1599" s="7"/>
      <c r="Y1599" s="7"/>
      <c r="Z1599" s="7"/>
      <c r="AA1599" s="7"/>
    </row>
    <row r="1600" ht="18.75" customHeight="1">
      <c r="A1600" s="8" t="s">
        <v>1600</v>
      </c>
      <c r="B1600" s="61" t="s">
        <v>1601</v>
      </c>
      <c r="C1600" s="61" t="s">
        <v>33</v>
      </c>
      <c r="D1600" s="62">
        <v>3204.0</v>
      </c>
      <c r="E1600" s="8" t="s">
        <v>1708</v>
      </c>
      <c r="F1600" s="11" t="s">
        <v>37</v>
      </c>
      <c r="G1600" s="12" t="s">
        <v>27</v>
      </c>
      <c r="H1600" s="13">
        <v>263.0</v>
      </c>
      <c r="I1600" s="14">
        <v>10.0</v>
      </c>
      <c r="J1600" s="15" t="s">
        <v>28</v>
      </c>
      <c r="K1600" s="16">
        <v>0.4</v>
      </c>
      <c r="L1600" s="17">
        <f t="shared" si="1"/>
        <v>4</v>
      </c>
      <c r="M1600" s="17">
        <f t="shared" si="2"/>
        <v>6</v>
      </c>
      <c r="N1600" s="18">
        <f t="shared" si="3"/>
        <v>105.2</v>
      </c>
      <c r="O1600" s="18">
        <f t="shared" si="4"/>
        <v>157.8</v>
      </c>
      <c r="P1600" s="18">
        <f t="shared" si="5"/>
        <v>157.8</v>
      </c>
      <c r="Q1600" s="8">
        <v>0.0</v>
      </c>
      <c r="R1600" s="18">
        <f t="shared" si="6"/>
        <v>26.3</v>
      </c>
      <c r="S1600" s="19" t="s">
        <v>29</v>
      </c>
      <c r="T1600" s="19" t="s">
        <v>30</v>
      </c>
      <c r="U1600" s="36" t="s">
        <v>1709</v>
      </c>
      <c r="V1600" s="37"/>
      <c r="W1600" s="7"/>
      <c r="X1600" s="7"/>
      <c r="Y1600" s="7"/>
      <c r="Z1600" s="7"/>
      <c r="AA1600" s="7"/>
    </row>
    <row r="1601" ht="18.75" customHeight="1">
      <c r="A1601" s="22" t="s">
        <v>1600</v>
      </c>
      <c r="B1601" s="63" t="s">
        <v>1601</v>
      </c>
      <c r="C1601" s="63" t="s">
        <v>33</v>
      </c>
      <c r="D1601" s="64">
        <v>3205.0</v>
      </c>
      <c r="E1601" s="22" t="s">
        <v>1715</v>
      </c>
      <c r="F1601" s="25" t="s">
        <v>26</v>
      </c>
      <c r="G1601" s="26" t="s">
        <v>27</v>
      </c>
      <c r="H1601" s="27">
        <v>2298.99</v>
      </c>
      <c r="I1601" s="28">
        <v>10.0</v>
      </c>
      <c r="J1601" s="29" t="s">
        <v>38</v>
      </c>
      <c r="K1601" s="30">
        <v>0.5</v>
      </c>
      <c r="L1601" s="31">
        <f t="shared" si="1"/>
        <v>5</v>
      </c>
      <c r="M1601" s="31">
        <f t="shared" si="2"/>
        <v>5</v>
      </c>
      <c r="N1601" s="32">
        <f t="shared" si="3"/>
        <v>1149.495</v>
      </c>
      <c r="O1601" s="32">
        <f t="shared" si="4"/>
        <v>1149.495</v>
      </c>
      <c r="P1601" s="32">
        <f t="shared" si="5"/>
        <v>1149.495</v>
      </c>
      <c r="Q1601" s="22">
        <v>0.0</v>
      </c>
      <c r="R1601" s="32">
        <f t="shared" si="6"/>
        <v>229.899</v>
      </c>
      <c r="S1601" s="33" t="s">
        <v>29</v>
      </c>
      <c r="T1601" s="33" t="s">
        <v>30</v>
      </c>
      <c r="U1601" s="34" t="s">
        <v>423</v>
      </c>
      <c r="V1601" s="35"/>
      <c r="W1601" s="7"/>
      <c r="X1601" s="7"/>
      <c r="Y1601" s="7"/>
      <c r="Z1601" s="7"/>
      <c r="AA1601" s="7"/>
    </row>
    <row r="1602" ht="18.75" customHeight="1">
      <c r="A1602" s="8" t="s">
        <v>1600</v>
      </c>
      <c r="B1602" s="61" t="s">
        <v>1601</v>
      </c>
      <c r="C1602" s="9" t="s">
        <v>33</v>
      </c>
      <c r="D1602" s="10" t="s">
        <v>1716</v>
      </c>
      <c r="E1602" s="8" t="s">
        <v>1717</v>
      </c>
      <c r="F1602" s="11" t="s">
        <v>37</v>
      </c>
      <c r="G1602" s="12" t="s">
        <v>27</v>
      </c>
      <c r="H1602" s="13">
        <v>114.0</v>
      </c>
      <c r="I1602" s="14">
        <v>10.0</v>
      </c>
      <c r="J1602" s="15" t="s">
        <v>28</v>
      </c>
      <c r="K1602" s="16">
        <v>0.4</v>
      </c>
      <c r="L1602" s="17">
        <f t="shared" si="1"/>
        <v>4</v>
      </c>
      <c r="M1602" s="17">
        <f t="shared" si="2"/>
        <v>6</v>
      </c>
      <c r="N1602" s="18">
        <f t="shared" si="3"/>
        <v>45.6</v>
      </c>
      <c r="O1602" s="18">
        <f t="shared" si="4"/>
        <v>68.4</v>
      </c>
      <c r="P1602" s="18">
        <f t="shared" si="5"/>
        <v>68.4</v>
      </c>
      <c r="Q1602" s="8">
        <v>0.0</v>
      </c>
      <c r="R1602" s="18">
        <f t="shared" si="6"/>
        <v>11.4</v>
      </c>
      <c r="S1602" s="19" t="s">
        <v>29</v>
      </c>
      <c r="T1602" s="19" t="s">
        <v>30</v>
      </c>
      <c r="U1602" s="36" t="s">
        <v>983</v>
      </c>
      <c r="V1602" s="37"/>
      <c r="W1602" s="7"/>
      <c r="X1602" s="7"/>
      <c r="Y1602" s="7"/>
      <c r="Z1602" s="7"/>
      <c r="AA1602" s="7"/>
    </row>
    <row r="1603" ht="18.75" customHeight="1">
      <c r="A1603" s="22" t="s">
        <v>1600</v>
      </c>
      <c r="B1603" s="63" t="s">
        <v>1601</v>
      </c>
      <c r="C1603" s="23" t="s">
        <v>24</v>
      </c>
      <c r="D1603" s="24" t="s">
        <v>1718</v>
      </c>
      <c r="E1603" s="22" t="s">
        <v>1719</v>
      </c>
      <c r="F1603" s="25" t="s">
        <v>26</v>
      </c>
      <c r="G1603" s="26" t="s">
        <v>27</v>
      </c>
      <c r="H1603" s="27">
        <v>2563.29</v>
      </c>
      <c r="I1603" s="28">
        <v>5.0</v>
      </c>
      <c r="J1603" s="29" t="s">
        <v>28</v>
      </c>
      <c r="K1603" s="30">
        <v>0.4</v>
      </c>
      <c r="L1603" s="31">
        <f t="shared" si="1"/>
        <v>2</v>
      </c>
      <c r="M1603" s="31">
        <f t="shared" si="2"/>
        <v>3</v>
      </c>
      <c r="N1603" s="32">
        <f t="shared" si="3"/>
        <v>1025.316</v>
      </c>
      <c r="O1603" s="32">
        <f t="shared" si="4"/>
        <v>1537.974</v>
      </c>
      <c r="P1603" s="32">
        <f t="shared" si="5"/>
        <v>1537.974</v>
      </c>
      <c r="Q1603" s="22">
        <v>0.0</v>
      </c>
      <c r="R1603" s="32">
        <f t="shared" si="6"/>
        <v>512.658</v>
      </c>
      <c r="S1603" s="33" t="s">
        <v>29</v>
      </c>
      <c r="T1603" s="33" t="s">
        <v>30</v>
      </c>
      <c r="U1603" s="34" t="s">
        <v>260</v>
      </c>
      <c r="V1603" s="35"/>
      <c r="W1603" s="7"/>
      <c r="X1603" s="7"/>
      <c r="Y1603" s="7"/>
      <c r="Z1603" s="7"/>
      <c r="AA1603" s="7"/>
    </row>
    <row r="1604" ht="18.75" customHeight="1">
      <c r="A1604" s="8" t="s">
        <v>1600</v>
      </c>
      <c r="B1604" s="61" t="s">
        <v>1601</v>
      </c>
      <c r="C1604" s="9" t="s">
        <v>24</v>
      </c>
      <c r="D1604" s="10" t="s">
        <v>1720</v>
      </c>
      <c r="E1604" s="8" t="s">
        <v>1721</v>
      </c>
      <c r="F1604" s="11" t="s">
        <v>26</v>
      </c>
      <c r="G1604" s="12" t="s">
        <v>27</v>
      </c>
      <c r="H1604" s="13">
        <v>131.58</v>
      </c>
      <c r="I1604" s="14">
        <v>5.0</v>
      </c>
      <c r="J1604" s="15" t="s">
        <v>28</v>
      </c>
      <c r="K1604" s="16">
        <v>0.4</v>
      </c>
      <c r="L1604" s="17">
        <f t="shared" si="1"/>
        <v>2</v>
      </c>
      <c r="M1604" s="17">
        <f t="shared" si="2"/>
        <v>3</v>
      </c>
      <c r="N1604" s="18">
        <f t="shared" si="3"/>
        <v>52.632</v>
      </c>
      <c r="O1604" s="18">
        <f t="shared" si="4"/>
        <v>78.948</v>
      </c>
      <c r="P1604" s="18">
        <f t="shared" si="5"/>
        <v>78.948</v>
      </c>
      <c r="Q1604" s="8">
        <v>0.0</v>
      </c>
      <c r="R1604" s="18">
        <f t="shared" si="6"/>
        <v>26.316</v>
      </c>
      <c r="S1604" s="19" t="s">
        <v>29</v>
      </c>
      <c r="T1604" s="19" t="s">
        <v>30</v>
      </c>
      <c r="U1604" s="20" t="s">
        <v>268</v>
      </c>
      <c r="V1604" s="37"/>
      <c r="W1604" s="7"/>
      <c r="X1604" s="7"/>
      <c r="Y1604" s="7"/>
      <c r="Z1604" s="7"/>
      <c r="AA1604" s="7"/>
    </row>
    <row r="1605" ht="18.75" customHeight="1">
      <c r="A1605" s="22" t="s">
        <v>1600</v>
      </c>
      <c r="B1605" s="63" t="s">
        <v>1601</v>
      </c>
      <c r="C1605" s="23" t="s">
        <v>1059</v>
      </c>
      <c r="D1605" s="24" t="s">
        <v>1722</v>
      </c>
      <c r="E1605" s="22" t="s">
        <v>1723</v>
      </c>
      <c r="F1605" s="25" t="s">
        <v>26</v>
      </c>
      <c r="G1605" s="26" t="s">
        <v>27</v>
      </c>
      <c r="H1605" s="27">
        <v>2101.05</v>
      </c>
      <c r="I1605" s="28">
        <v>5.0</v>
      </c>
      <c r="J1605" s="29" t="s">
        <v>28</v>
      </c>
      <c r="K1605" s="30">
        <v>0.4</v>
      </c>
      <c r="L1605" s="31">
        <f t="shared" si="1"/>
        <v>2</v>
      </c>
      <c r="M1605" s="31">
        <f t="shared" si="2"/>
        <v>3</v>
      </c>
      <c r="N1605" s="32">
        <f t="shared" si="3"/>
        <v>840.42</v>
      </c>
      <c r="O1605" s="32">
        <f t="shared" si="4"/>
        <v>1260.63</v>
      </c>
      <c r="P1605" s="32">
        <f t="shared" si="5"/>
        <v>1260.63</v>
      </c>
      <c r="Q1605" s="22">
        <v>0.0</v>
      </c>
      <c r="R1605" s="32">
        <f t="shared" si="6"/>
        <v>420.21</v>
      </c>
      <c r="S1605" s="33" t="s">
        <v>29</v>
      </c>
      <c r="T1605" s="33" t="s">
        <v>30</v>
      </c>
      <c r="U1605" s="34" t="s">
        <v>102</v>
      </c>
      <c r="V1605" s="35"/>
      <c r="W1605" s="7"/>
      <c r="X1605" s="7"/>
      <c r="Y1605" s="7"/>
      <c r="Z1605" s="7"/>
      <c r="AA1605" s="7"/>
    </row>
    <row r="1606" ht="18.75" customHeight="1">
      <c r="A1606" s="8" t="s">
        <v>1724</v>
      </c>
      <c r="B1606" s="9" t="s">
        <v>1725</v>
      </c>
      <c r="C1606" s="9" t="s">
        <v>24</v>
      </c>
      <c r="D1606" s="10">
        <v>8.0</v>
      </c>
      <c r="E1606" s="9" t="s">
        <v>1174</v>
      </c>
      <c r="F1606" s="11" t="s">
        <v>37</v>
      </c>
      <c r="G1606" s="12" t="s">
        <v>27</v>
      </c>
      <c r="H1606" s="13">
        <v>431.07</v>
      </c>
      <c r="I1606" s="14">
        <v>10.0</v>
      </c>
      <c r="J1606" s="129" t="s">
        <v>54</v>
      </c>
      <c r="K1606" s="16">
        <v>0.3</v>
      </c>
      <c r="L1606" s="17">
        <f t="shared" si="1"/>
        <v>3</v>
      </c>
      <c r="M1606" s="17">
        <f t="shared" si="2"/>
        <v>7</v>
      </c>
      <c r="N1606" s="18">
        <f t="shared" si="3"/>
        <v>129.321</v>
      </c>
      <c r="O1606" s="18">
        <f t="shared" si="4"/>
        <v>301.749</v>
      </c>
      <c r="P1606" s="18">
        <f t="shared" si="5"/>
        <v>301.749</v>
      </c>
      <c r="Q1606" s="8">
        <v>0.0</v>
      </c>
      <c r="R1606" s="18">
        <f t="shared" si="6"/>
        <v>43.107</v>
      </c>
      <c r="S1606" s="19" t="s">
        <v>29</v>
      </c>
      <c r="T1606" s="19" t="s">
        <v>30</v>
      </c>
      <c r="U1606" s="20" t="s">
        <v>912</v>
      </c>
      <c r="V1606" s="37"/>
      <c r="W1606" s="7"/>
      <c r="X1606" s="7"/>
      <c r="Y1606" s="7"/>
      <c r="Z1606" s="7"/>
      <c r="AA1606" s="7"/>
    </row>
    <row r="1607" ht="18.75" customHeight="1">
      <c r="A1607" s="22" t="s">
        <v>1724</v>
      </c>
      <c r="B1607" s="23" t="s">
        <v>1725</v>
      </c>
      <c r="C1607" s="23" t="s">
        <v>24</v>
      </c>
      <c r="D1607" s="24">
        <v>9.0</v>
      </c>
      <c r="E1607" s="23" t="s">
        <v>1174</v>
      </c>
      <c r="F1607" s="25" t="s">
        <v>37</v>
      </c>
      <c r="G1607" s="26" t="s">
        <v>27</v>
      </c>
      <c r="H1607" s="27">
        <v>431.07</v>
      </c>
      <c r="I1607" s="28">
        <v>10.0</v>
      </c>
      <c r="J1607" s="130" t="s">
        <v>54</v>
      </c>
      <c r="K1607" s="30">
        <v>0.3</v>
      </c>
      <c r="L1607" s="31">
        <f t="shared" si="1"/>
        <v>3</v>
      </c>
      <c r="M1607" s="31">
        <f t="shared" si="2"/>
        <v>7</v>
      </c>
      <c r="N1607" s="32">
        <f t="shared" si="3"/>
        <v>129.321</v>
      </c>
      <c r="O1607" s="32">
        <f t="shared" si="4"/>
        <v>301.749</v>
      </c>
      <c r="P1607" s="32">
        <f t="shared" si="5"/>
        <v>301.749</v>
      </c>
      <c r="Q1607" s="22">
        <v>0.0</v>
      </c>
      <c r="R1607" s="32">
        <f t="shared" si="6"/>
        <v>43.107</v>
      </c>
      <c r="S1607" s="33" t="s">
        <v>29</v>
      </c>
      <c r="T1607" s="33" t="s">
        <v>30</v>
      </c>
      <c r="U1607" s="34" t="s">
        <v>912</v>
      </c>
      <c r="V1607" s="35"/>
      <c r="W1607" s="7"/>
      <c r="X1607" s="7"/>
      <c r="Y1607" s="7"/>
      <c r="Z1607" s="7"/>
      <c r="AA1607" s="7"/>
    </row>
    <row r="1608" ht="18.75" customHeight="1">
      <c r="A1608" s="8" t="s">
        <v>1724</v>
      </c>
      <c r="B1608" s="9" t="s">
        <v>1725</v>
      </c>
      <c r="C1608" s="9" t="s">
        <v>24</v>
      </c>
      <c r="D1608" s="10">
        <v>35.0</v>
      </c>
      <c r="E1608" s="9" t="s">
        <v>1171</v>
      </c>
      <c r="F1608" s="11" t="s">
        <v>37</v>
      </c>
      <c r="G1608" s="39"/>
      <c r="H1608" s="13">
        <v>369.28</v>
      </c>
      <c r="I1608" s="14">
        <v>10.0</v>
      </c>
      <c r="J1608" s="15" t="s">
        <v>38</v>
      </c>
      <c r="K1608" s="16">
        <v>0.5</v>
      </c>
      <c r="L1608" s="17">
        <f t="shared" si="1"/>
        <v>5</v>
      </c>
      <c r="M1608" s="17">
        <f t="shared" si="2"/>
        <v>5</v>
      </c>
      <c r="N1608" s="18">
        <f t="shared" si="3"/>
        <v>184.64</v>
      </c>
      <c r="O1608" s="18">
        <f t="shared" si="4"/>
        <v>184.64</v>
      </c>
      <c r="P1608" s="18">
        <f t="shared" si="5"/>
        <v>184.64</v>
      </c>
      <c r="Q1608" s="8">
        <v>0.0</v>
      </c>
      <c r="R1608" s="18">
        <f t="shared" si="6"/>
        <v>36.928</v>
      </c>
      <c r="S1608" s="19" t="s">
        <v>29</v>
      </c>
      <c r="T1608" s="19" t="s">
        <v>30</v>
      </c>
      <c r="U1608" s="36" t="s">
        <v>1172</v>
      </c>
      <c r="V1608" s="37"/>
      <c r="W1608" s="7"/>
      <c r="X1608" s="7"/>
      <c r="Y1608" s="7"/>
      <c r="Z1608" s="7"/>
      <c r="AA1608" s="7"/>
    </row>
    <row r="1609" ht="18.75" customHeight="1">
      <c r="A1609" s="22" t="s">
        <v>1724</v>
      </c>
      <c r="B1609" s="23" t="s">
        <v>1725</v>
      </c>
      <c r="C1609" s="23" t="s">
        <v>24</v>
      </c>
      <c r="D1609" s="24">
        <v>36.0</v>
      </c>
      <c r="E1609" s="23" t="s">
        <v>1726</v>
      </c>
      <c r="F1609" s="25" t="s">
        <v>26</v>
      </c>
      <c r="G1609" s="26" t="s">
        <v>27</v>
      </c>
      <c r="H1609" s="27">
        <v>235.03</v>
      </c>
      <c r="I1609" s="28">
        <v>10.0</v>
      </c>
      <c r="J1609" s="41" t="s">
        <v>63</v>
      </c>
      <c r="K1609" s="30">
        <v>0.700000000000008</v>
      </c>
      <c r="L1609" s="31">
        <f t="shared" si="1"/>
        <v>7</v>
      </c>
      <c r="M1609" s="31">
        <f t="shared" si="2"/>
        <v>3</v>
      </c>
      <c r="N1609" s="32">
        <f t="shared" si="3"/>
        <v>164.521</v>
      </c>
      <c r="O1609" s="32">
        <f t="shared" si="4"/>
        <v>70.509</v>
      </c>
      <c r="P1609" s="32">
        <f t="shared" si="5"/>
        <v>70.509</v>
      </c>
      <c r="Q1609" s="22">
        <v>0.0</v>
      </c>
      <c r="R1609" s="32">
        <f t="shared" si="6"/>
        <v>23.503</v>
      </c>
      <c r="S1609" s="33" t="s">
        <v>29</v>
      </c>
      <c r="T1609" s="33" t="s">
        <v>30</v>
      </c>
      <c r="U1609" s="34" t="s">
        <v>96</v>
      </c>
      <c r="V1609" s="35"/>
      <c r="W1609" s="7"/>
      <c r="X1609" s="7"/>
      <c r="Y1609" s="7"/>
      <c r="Z1609" s="7"/>
      <c r="AA1609" s="7"/>
    </row>
    <row r="1610" ht="18.75" customHeight="1">
      <c r="A1610" s="8" t="s">
        <v>1724</v>
      </c>
      <c r="B1610" s="9" t="s">
        <v>1725</v>
      </c>
      <c r="C1610" s="9" t="s">
        <v>24</v>
      </c>
      <c r="D1610" s="10">
        <v>46.0</v>
      </c>
      <c r="E1610" s="9" t="s">
        <v>1727</v>
      </c>
      <c r="F1610" s="11" t="s">
        <v>26</v>
      </c>
      <c r="G1610" s="12" t="s">
        <v>27</v>
      </c>
      <c r="H1610" s="13">
        <v>285.0</v>
      </c>
      <c r="I1610" s="14">
        <v>5.0</v>
      </c>
      <c r="J1610" s="129" t="s">
        <v>54</v>
      </c>
      <c r="K1610" s="16">
        <v>0.3</v>
      </c>
      <c r="L1610" s="17">
        <f t="shared" si="1"/>
        <v>1.5</v>
      </c>
      <c r="M1610" s="17">
        <f t="shared" si="2"/>
        <v>3.5</v>
      </c>
      <c r="N1610" s="18">
        <f t="shared" si="3"/>
        <v>85.5</v>
      </c>
      <c r="O1610" s="18">
        <f t="shared" si="4"/>
        <v>199.5</v>
      </c>
      <c r="P1610" s="18">
        <f t="shared" si="5"/>
        <v>199.5</v>
      </c>
      <c r="Q1610" s="8">
        <v>0.0</v>
      </c>
      <c r="R1610" s="18">
        <f t="shared" si="6"/>
        <v>57</v>
      </c>
      <c r="S1610" s="19" t="s">
        <v>29</v>
      </c>
      <c r="T1610" s="19" t="s">
        <v>30</v>
      </c>
      <c r="U1610" s="20" t="s">
        <v>251</v>
      </c>
      <c r="V1610" s="37"/>
      <c r="W1610" s="7"/>
      <c r="X1610" s="7"/>
      <c r="Y1610" s="7"/>
      <c r="Z1610" s="7"/>
      <c r="AA1610" s="7"/>
    </row>
    <row r="1611" ht="18.75" customHeight="1">
      <c r="A1611" s="22" t="s">
        <v>1724</v>
      </c>
      <c r="B1611" s="23" t="s">
        <v>1728</v>
      </c>
      <c r="C1611" s="23" t="s">
        <v>24</v>
      </c>
      <c r="D1611" s="24">
        <v>205.0</v>
      </c>
      <c r="E1611" s="23" t="s">
        <v>1729</v>
      </c>
      <c r="F1611" s="25" t="s">
        <v>37</v>
      </c>
      <c r="G1611" s="40"/>
      <c r="H1611" s="27">
        <v>261.17</v>
      </c>
      <c r="I1611" s="28">
        <v>10.0</v>
      </c>
      <c r="J1611" s="29" t="s">
        <v>38</v>
      </c>
      <c r="K1611" s="30">
        <v>0.5</v>
      </c>
      <c r="L1611" s="31">
        <f t="shared" si="1"/>
        <v>5</v>
      </c>
      <c r="M1611" s="31">
        <f t="shared" si="2"/>
        <v>5</v>
      </c>
      <c r="N1611" s="32">
        <f t="shared" si="3"/>
        <v>130.585</v>
      </c>
      <c r="O1611" s="32">
        <f t="shared" si="4"/>
        <v>130.585</v>
      </c>
      <c r="P1611" s="32">
        <f t="shared" si="5"/>
        <v>130.585</v>
      </c>
      <c r="Q1611" s="22">
        <v>0.0</v>
      </c>
      <c r="R1611" s="32">
        <f t="shared" si="6"/>
        <v>26.117</v>
      </c>
      <c r="S1611" s="33" t="s">
        <v>29</v>
      </c>
      <c r="T1611" s="33" t="s">
        <v>30</v>
      </c>
      <c r="U1611" s="38" t="s">
        <v>1205</v>
      </c>
      <c r="V1611" s="35"/>
      <c r="W1611" s="7"/>
      <c r="X1611" s="7"/>
      <c r="Y1611" s="7"/>
      <c r="Z1611" s="7"/>
      <c r="AA1611" s="7"/>
    </row>
    <row r="1612" ht="18.75" customHeight="1">
      <c r="A1612" s="8" t="s">
        <v>1724</v>
      </c>
      <c r="B1612" s="9" t="s">
        <v>1044</v>
      </c>
      <c r="C1612" s="9" t="s">
        <v>534</v>
      </c>
      <c r="D1612" s="10">
        <v>493.0</v>
      </c>
      <c r="E1612" s="9" t="s">
        <v>917</v>
      </c>
      <c r="F1612" s="11" t="s">
        <v>26</v>
      </c>
      <c r="G1612" s="12" t="s">
        <v>27</v>
      </c>
      <c r="H1612" s="13">
        <v>1389.99</v>
      </c>
      <c r="I1612" s="14">
        <v>5.0</v>
      </c>
      <c r="J1612" s="131" t="s">
        <v>54</v>
      </c>
      <c r="K1612" s="16">
        <v>0.3</v>
      </c>
      <c r="L1612" s="17">
        <f t="shared" si="1"/>
        <v>1.5</v>
      </c>
      <c r="M1612" s="17">
        <f t="shared" si="2"/>
        <v>3.5</v>
      </c>
      <c r="N1612" s="18">
        <f t="shared" si="3"/>
        <v>416.997</v>
      </c>
      <c r="O1612" s="18">
        <f t="shared" si="4"/>
        <v>972.993</v>
      </c>
      <c r="P1612" s="18">
        <f t="shared" si="5"/>
        <v>972.993</v>
      </c>
      <c r="Q1612" s="8">
        <v>0.0</v>
      </c>
      <c r="R1612" s="18">
        <f t="shared" si="6"/>
        <v>277.998</v>
      </c>
      <c r="S1612" s="19" t="s">
        <v>29</v>
      </c>
      <c r="T1612" s="19" t="s">
        <v>30</v>
      </c>
      <c r="U1612" s="20" t="s">
        <v>59</v>
      </c>
      <c r="V1612" s="37"/>
      <c r="W1612" s="7"/>
      <c r="X1612" s="7"/>
      <c r="Y1612" s="7"/>
      <c r="Z1612" s="7"/>
      <c r="AA1612" s="7"/>
    </row>
    <row r="1613" ht="18.75" customHeight="1">
      <c r="A1613" s="22" t="s">
        <v>1724</v>
      </c>
      <c r="B1613" s="23" t="s">
        <v>1044</v>
      </c>
      <c r="C1613" s="23" t="s">
        <v>534</v>
      </c>
      <c r="D1613" s="24">
        <v>494.0</v>
      </c>
      <c r="E1613" s="23" t="s">
        <v>1730</v>
      </c>
      <c r="F1613" s="25" t="s">
        <v>37</v>
      </c>
      <c r="G1613" s="40"/>
      <c r="H1613" s="104">
        <v>1880.55</v>
      </c>
      <c r="I1613" s="28">
        <v>10.0</v>
      </c>
      <c r="J1613" s="29" t="s">
        <v>38</v>
      </c>
      <c r="K1613" s="30">
        <v>0.5</v>
      </c>
      <c r="L1613" s="31">
        <f t="shared" si="1"/>
        <v>5</v>
      </c>
      <c r="M1613" s="31">
        <f t="shared" si="2"/>
        <v>5</v>
      </c>
      <c r="N1613" s="32">
        <f t="shared" si="3"/>
        <v>940.275</v>
      </c>
      <c r="O1613" s="32">
        <f t="shared" si="4"/>
        <v>940.275</v>
      </c>
      <c r="P1613" s="32">
        <f t="shared" si="5"/>
        <v>940.275</v>
      </c>
      <c r="Q1613" s="22">
        <v>0.0</v>
      </c>
      <c r="R1613" s="32">
        <f t="shared" si="6"/>
        <v>188.055</v>
      </c>
      <c r="S1613" s="33" t="s">
        <v>29</v>
      </c>
      <c r="T1613" s="33" t="s">
        <v>30</v>
      </c>
      <c r="U1613" s="74" t="s">
        <v>69</v>
      </c>
      <c r="V1613" s="35"/>
      <c r="W1613" s="7"/>
      <c r="X1613" s="7"/>
      <c r="Y1613" s="7"/>
      <c r="Z1613" s="7"/>
      <c r="AA1613" s="7"/>
    </row>
    <row r="1614" ht="18.75" customHeight="1">
      <c r="A1614" s="8" t="s">
        <v>1724</v>
      </c>
      <c r="B1614" s="9" t="s">
        <v>1044</v>
      </c>
      <c r="C1614" s="9" t="s">
        <v>534</v>
      </c>
      <c r="D1614" s="10">
        <v>495.0</v>
      </c>
      <c r="E1614" s="9" t="s">
        <v>1731</v>
      </c>
      <c r="F1614" s="11" t="s">
        <v>37</v>
      </c>
      <c r="G1614" s="39"/>
      <c r="H1614" s="43">
        <v>478.4</v>
      </c>
      <c r="I1614" s="14">
        <v>10.0</v>
      </c>
      <c r="J1614" s="15" t="s">
        <v>81</v>
      </c>
      <c r="K1614" s="16">
        <v>0.150000000000002</v>
      </c>
      <c r="L1614" s="17">
        <f t="shared" si="1"/>
        <v>1.5</v>
      </c>
      <c r="M1614" s="17">
        <f t="shared" si="2"/>
        <v>8.5</v>
      </c>
      <c r="N1614" s="18">
        <f t="shared" si="3"/>
        <v>71.76</v>
      </c>
      <c r="O1614" s="18">
        <f t="shared" si="4"/>
        <v>406.64</v>
      </c>
      <c r="P1614" s="18">
        <f t="shared" si="5"/>
        <v>406.64</v>
      </c>
      <c r="Q1614" s="8">
        <v>0.0</v>
      </c>
      <c r="R1614" s="18">
        <f t="shared" si="6"/>
        <v>47.84</v>
      </c>
      <c r="S1614" s="19" t="s">
        <v>29</v>
      </c>
      <c r="T1614" s="19" t="s">
        <v>30</v>
      </c>
      <c r="U1614" s="44" t="s">
        <v>1070</v>
      </c>
      <c r="V1614" s="37"/>
      <c r="W1614" s="7"/>
      <c r="X1614" s="7"/>
      <c r="Y1614" s="7"/>
      <c r="Z1614" s="7"/>
      <c r="AA1614" s="7"/>
    </row>
    <row r="1615" ht="18.75" customHeight="1">
      <c r="A1615" s="22" t="s">
        <v>1724</v>
      </c>
      <c r="B1615" s="23" t="s">
        <v>1044</v>
      </c>
      <c r="C1615" s="23" t="s">
        <v>534</v>
      </c>
      <c r="D1615" s="24">
        <v>497.0</v>
      </c>
      <c r="E1615" s="23" t="s">
        <v>1732</v>
      </c>
      <c r="F1615" s="25" t="s">
        <v>37</v>
      </c>
      <c r="G1615" s="40"/>
      <c r="H1615" s="104">
        <v>209.51</v>
      </c>
      <c r="I1615" s="28">
        <v>10.0</v>
      </c>
      <c r="J1615" s="29" t="s">
        <v>38</v>
      </c>
      <c r="K1615" s="30">
        <v>0.5</v>
      </c>
      <c r="L1615" s="31">
        <f t="shared" si="1"/>
        <v>5</v>
      </c>
      <c r="M1615" s="31">
        <f t="shared" si="2"/>
        <v>5</v>
      </c>
      <c r="N1615" s="32">
        <f t="shared" si="3"/>
        <v>104.755</v>
      </c>
      <c r="O1615" s="32">
        <f t="shared" si="4"/>
        <v>104.755</v>
      </c>
      <c r="P1615" s="32">
        <f t="shared" si="5"/>
        <v>104.755</v>
      </c>
      <c r="Q1615" s="22">
        <v>0.0</v>
      </c>
      <c r="R1615" s="32">
        <f t="shared" si="6"/>
        <v>20.951</v>
      </c>
      <c r="S1615" s="33" t="s">
        <v>29</v>
      </c>
      <c r="T1615" s="33" t="s">
        <v>30</v>
      </c>
      <c r="U1615" s="74" t="s">
        <v>905</v>
      </c>
      <c r="V1615" s="35"/>
      <c r="W1615" s="7"/>
      <c r="X1615" s="7"/>
      <c r="Y1615" s="7"/>
      <c r="Z1615" s="7"/>
      <c r="AA1615" s="7"/>
    </row>
    <row r="1616" ht="18.75" customHeight="1">
      <c r="A1616" s="8" t="s">
        <v>1724</v>
      </c>
      <c r="B1616" s="9" t="s">
        <v>1044</v>
      </c>
      <c r="C1616" s="9" t="s">
        <v>534</v>
      </c>
      <c r="D1616" s="10">
        <v>498.0</v>
      </c>
      <c r="E1616" s="9" t="s">
        <v>1733</v>
      </c>
      <c r="F1616" s="11" t="s">
        <v>26</v>
      </c>
      <c r="G1616" s="12" t="s">
        <v>27</v>
      </c>
      <c r="H1616" s="13">
        <v>531.9</v>
      </c>
      <c r="I1616" s="14">
        <v>10.0</v>
      </c>
      <c r="J1616" s="15" t="s">
        <v>38</v>
      </c>
      <c r="K1616" s="16">
        <v>0.5</v>
      </c>
      <c r="L1616" s="17">
        <f t="shared" si="1"/>
        <v>5</v>
      </c>
      <c r="M1616" s="17">
        <f t="shared" si="2"/>
        <v>5</v>
      </c>
      <c r="N1616" s="18">
        <f t="shared" si="3"/>
        <v>265.95</v>
      </c>
      <c r="O1616" s="18">
        <f t="shared" si="4"/>
        <v>265.95</v>
      </c>
      <c r="P1616" s="18">
        <f t="shared" si="5"/>
        <v>265.95</v>
      </c>
      <c r="Q1616" s="8">
        <v>0.0</v>
      </c>
      <c r="R1616" s="18">
        <f t="shared" si="6"/>
        <v>53.19</v>
      </c>
      <c r="S1616" s="19" t="s">
        <v>29</v>
      </c>
      <c r="T1616" s="19" t="s">
        <v>30</v>
      </c>
      <c r="U1616" s="20" t="s">
        <v>191</v>
      </c>
      <c r="V1616" s="37"/>
      <c r="W1616" s="7"/>
      <c r="X1616" s="7"/>
      <c r="Y1616" s="7"/>
      <c r="Z1616" s="7"/>
      <c r="AA1616" s="7"/>
    </row>
    <row r="1617" ht="18.75" customHeight="1">
      <c r="A1617" s="22" t="s">
        <v>1724</v>
      </c>
      <c r="B1617" s="23" t="s">
        <v>1044</v>
      </c>
      <c r="C1617" s="23" t="s">
        <v>534</v>
      </c>
      <c r="D1617" s="24">
        <v>499.0</v>
      </c>
      <c r="E1617" s="23" t="s">
        <v>1734</v>
      </c>
      <c r="F1617" s="25" t="s">
        <v>37</v>
      </c>
      <c r="G1617" s="26" t="s">
        <v>27</v>
      </c>
      <c r="H1617" s="27">
        <v>332.91</v>
      </c>
      <c r="I1617" s="28">
        <v>10.0</v>
      </c>
      <c r="J1617" s="132" t="s">
        <v>54</v>
      </c>
      <c r="K1617" s="30">
        <v>0.3</v>
      </c>
      <c r="L1617" s="31">
        <f t="shared" si="1"/>
        <v>3</v>
      </c>
      <c r="M1617" s="31">
        <f t="shared" si="2"/>
        <v>7</v>
      </c>
      <c r="N1617" s="32">
        <f t="shared" si="3"/>
        <v>99.873</v>
      </c>
      <c r="O1617" s="32">
        <f t="shared" si="4"/>
        <v>233.037</v>
      </c>
      <c r="P1617" s="32">
        <f t="shared" si="5"/>
        <v>233.037</v>
      </c>
      <c r="Q1617" s="22">
        <v>0.0</v>
      </c>
      <c r="R1617" s="32">
        <f t="shared" si="6"/>
        <v>33.291</v>
      </c>
      <c r="S1617" s="33" t="s">
        <v>29</v>
      </c>
      <c r="T1617" s="33" t="s">
        <v>30</v>
      </c>
      <c r="U1617" s="34" t="s">
        <v>298</v>
      </c>
      <c r="V1617" s="35"/>
      <c r="W1617" s="7"/>
      <c r="X1617" s="7"/>
      <c r="Y1617" s="7"/>
      <c r="Z1617" s="7"/>
      <c r="AA1617" s="7"/>
    </row>
    <row r="1618" ht="18.75" customHeight="1">
      <c r="A1618" s="8" t="s">
        <v>1724</v>
      </c>
      <c r="B1618" s="9" t="s">
        <v>1044</v>
      </c>
      <c r="C1618" s="9" t="s">
        <v>534</v>
      </c>
      <c r="D1618" s="10">
        <v>500.0</v>
      </c>
      <c r="E1618" s="9" t="s">
        <v>1735</v>
      </c>
      <c r="F1618" s="11" t="s">
        <v>26</v>
      </c>
      <c r="G1618" s="12" t="s">
        <v>27</v>
      </c>
      <c r="H1618" s="13">
        <v>1897.0</v>
      </c>
      <c r="I1618" s="14">
        <v>10.0</v>
      </c>
      <c r="J1618" s="48" t="s">
        <v>63</v>
      </c>
      <c r="K1618" s="59">
        <v>0.700000000000008</v>
      </c>
      <c r="L1618" s="17">
        <f t="shared" si="1"/>
        <v>7</v>
      </c>
      <c r="M1618" s="17">
        <f t="shared" si="2"/>
        <v>3</v>
      </c>
      <c r="N1618" s="18">
        <f t="shared" si="3"/>
        <v>1327.9</v>
      </c>
      <c r="O1618" s="18">
        <f t="shared" si="4"/>
        <v>569.1</v>
      </c>
      <c r="P1618" s="18">
        <f t="shared" si="5"/>
        <v>569.1</v>
      </c>
      <c r="Q1618" s="8">
        <v>0.0</v>
      </c>
      <c r="R1618" s="18">
        <f t="shared" si="6"/>
        <v>189.7</v>
      </c>
      <c r="S1618" s="19" t="s">
        <v>29</v>
      </c>
      <c r="T1618" s="19" t="s">
        <v>30</v>
      </c>
      <c r="U1618" s="20" t="s">
        <v>43</v>
      </c>
      <c r="V1618" s="37"/>
      <c r="W1618" s="7"/>
      <c r="X1618" s="7"/>
      <c r="Y1618" s="7"/>
      <c r="Z1618" s="7"/>
      <c r="AA1618" s="7"/>
    </row>
    <row r="1619" ht="18.75" customHeight="1">
      <c r="A1619" s="22" t="s">
        <v>1724</v>
      </c>
      <c r="B1619" s="23" t="s">
        <v>1044</v>
      </c>
      <c r="C1619" s="23" t="s">
        <v>534</v>
      </c>
      <c r="D1619" s="24">
        <v>505.0</v>
      </c>
      <c r="E1619" s="23" t="s">
        <v>1736</v>
      </c>
      <c r="F1619" s="25" t="s">
        <v>37</v>
      </c>
      <c r="G1619" s="26" t="s">
        <v>27</v>
      </c>
      <c r="H1619" s="27">
        <v>101.86</v>
      </c>
      <c r="I1619" s="28">
        <v>10.0</v>
      </c>
      <c r="J1619" s="29" t="s">
        <v>38</v>
      </c>
      <c r="K1619" s="30">
        <v>0.5</v>
      </c>
      <c r="L1619" s="31">
        <f t="shared" si="1"/>
        <v>5</v>
      </c>
      <c r="M1619" s="31">
        <f t="shared" si="2"/>
        <v>5</v>
      </c>
      <c r="N1619" s="32">
        <f t="shared" si="3"/>
        <v>50.93</v>
      </c>
      <c r="O1619" s="32">
        <f t="shared" si="4"/>
        <v>50.93</v>
      </c>
      <c r="P1619" s="32">
        <f t="shared" si="5"/>
        <v>50.93</v>
      </c>
      <c r="Q1619" s="22">
        <v>0.0</v>
      </c>
      <c r="R1619" s="32">
        <f t="shared" si="6"/>
        <v>10.186</v>
      </c>
      <c r="S1619" s="33" t="s">
        <v>29</v>
      </c>
      <c r="T1619" s="33" t="s">
        <v>30</v>
      </c>
      <c r="U1619" s="38" t="s">
        <v>544</v>
      </c>
      <c r="V1619" s="35"/>
      <c r="W1619" s="7"/>
      <c r="X1619" s="7"/>
      <c r="Y1619" s="7"/>
      <c r="Z1619" s="7"/>
      <c r="AA1619" s="7"/>
    </row>
    <row r="1620" ht="18.75" customHeight="1">
      <c r="A1620" s="8" t="s">
        <v>1724</v>
      </c>
      <c r="B1620" s="9" t="s">
        <v>1044</v>
      </c>
      <c r="C1620" s="9" t="s">
        <v>534</v>
      </c>
      <c r="D1620" s="10">
        <v>507.0</v>
      </c>
      <c r="E1620" s="9" t="s">
        <v>1737</v>
      </c>
      <c r="F1620" s="11" t="s">
        <v>26</v>
      </c>
      <c r="G1620" s="12" t="s">
        <v>27</v>
      </c>
      <c r="H1620" s="13">
        <v>1749.0</v>
      </c>
      <c r="I1620" s="14">
        <v>10.0</v>
      </c>
      <c r="J1620" s="15" t="s">
        <v>38</v>
      </c>
      <c r="K1620" s="16">
        <v>0.5</v>
      </c>
      <c r="L1620" s="17">
        <f t="shared" si="1"/>
        <v>5</v>
      </c>
      <c r="M1620" s="17">
        <f t="shared" si="2"/>
        <v>5</v>
      </c>
      <c r="N1620" s="18">
        <f t="shared" si="3"/>
        <v>874.5</v>
      </c>
      <c r="O1620" s="18">
        <f t="shared" si="4"/>
        <v>874.5</v>
      </c>
      <c r="P1620" s="18">
        <f t="shared" si="5"/>
        <v>874.5</v>
      </c>
      <c r="Q1620" s="8">
        <v>0.0</v>
      </c>
      <c r="R1620" s="18">
        <f t="shared" si="6"/>
        <v>174.9</v>
      </c>
      <c r="S1620" s="19" t="s">
        <v>29</v>
      </c>
      <c r="T1620" s="19" t="s">
        <v>30</v>
      </c>
      <c r="U1620" s="20" t="s">
        <v>255</v>
      </c>
      <c r="V1620" s="37"/>
      <c r="W1620" s="7"/>
      <c r="X1620" s="7"/>
      <c r="Y1620" s="7"/>
      <c r="Z1620" s="7"/>
      <c r="AA1620" s="7"/>
    </row>
    <row r="1621" ht="18.75" customHeight="1">
      <c r="A1621" s="22" t="s">
        <v>1724</v>
      </c>
      <c r="B1621" s="23" t="s">
        <v>1044</v>
      </c>
      <c r="C1621" s="23" t="s">
        <v>534</v>
      </c>
      <c r="D1621" s="24">
        <v>508.0</v>
      </c>
      <c r="E1621" s="23" t="s">
        <v>1738</v>
      </c>
      <c r="F1621" s="25" t="s">
        <v>37</v>
      </c>
      <c r="G1621" s="26" t="s">
        <v>27</v>
      </c>
      <c r="H1621" s="27">
        <v>101.86</v>
      </c>
      <c r="I1621" s="28">
        <v>10.0</v>
      </c>
      <c r="J1621" s="29" t="s">
        <v>38</v>
      </c>
      <c r="K1621" s="30">
        <v>0.5</v>
      </c>
      <c r="L1621" s="31">
        <f t="shared" si="1"/>
        <v>5</v>
      </c>
      <c r="M1621" s="31">
        <f t="shared" si="2"/>
        <v>5</v>
      </c>
      <c r="N1621" s="32">
        <f t="shared" si="3"/>
        <v>50.93</v>
      </c>
      <c r="O1621" s="32">
        <f t="shared" si="4"/>
        <v>50.93</v>
      </c>
      <c r="P1621" s="32">
        <f t="shared" si="5"/>
        <v>50.93</v>
      </c>
      <c r="Q1621" s="22">
        <v>0.0</v>
      </c>
      <c r="R1621" s="32">
        <f t="shared" si="6"/>
        <v>10.186</v>
      </c>
      <c r="S1621" s="33" t="s">
        <v>29</v>
      </c>
      <c r="T1621" s="33" t="s">
        <v>30</v>
      </c>
      <c r="U1621" s="38" t="s">
        <v>544</v>
      </c>
      <c r="V1621" s="35"/>
      <c r="W1621" s="7"/>
      <c r="X1621" s="7"/>
      <c r="Y1621" s="7"/>
      <c r="Z1621" s="7"/>
      <c r="AA1621" s="7"/>
    </row>
    <row r="1622" ht="18.75" customHeight="1">
      <c r="A1622" s="8" t="s">
        <v>1724</v>
      </c>
      <c r="B1622" s="9" t="s">
        <v>23</v>
      </c>
      <c r="C1622" s="9" t="s">
        <v>24</v>
      </c>
      <c r="D1622" s="10">
        <v>511.0</v>
      </c>
      <c r="E1622" s="9" t="s">
        <v>1739</v>
      </c>
      <c r="F1622" s="11" t="s">
        <v>26</v>
      </c>
      <c r="G1622" s="12" t="s">
        <v>27</v>
      </c>
      <c r="H1622" s="13">
        <v>236.72</v>
      </c>
      <c r="I1622" s="14">
        <v>5.0</v>
      </c>
      <c r="J1622" s="15" t="s">
        <v>28</v>
      </c>
      <c r="K1622" s="16">
        <v>0.4</v>
      </c>
      <c r="L1622" s="17">
        <f t="shared" si="1"/>
        <v>2</v>
      </c>
      <c r="M1622" s="17">
        <f t="shared" si="2"/>
        <v>3</v>
      </c>
      <c r="N1622" s="18">
        <f t="shared" si="3"/>
        <v>94.688</v>
      </c>
      <c r="O1622" s="18">
        <f t="shared" si="4"/>
        <v>142.032</v>
      </c>
      <c r="P1622" s="18">
        <f t="shared" si="5"/>
        <v>142.032</v>
      </c>
      <c r="Q1622" s="8">
        <v>0.0</v>
      </c>
      <c r="R1622" s="18">
        <f t="shared" si="6"/>
        <v>47.344</v>
      </c>
      <c r="S1622" s="19" t="s">
        <v>29</v>
      </c>
      <c r="T1622" s="19" t="s">
        <v>30</v>
      </c>
      <c r="U1622" s="20" t="s">
        <v>247</v>
      </c>
      <c r="V1622" s="37"/>
      <c r="W1622" s="7"/>
      <c r="X1622" s="7"/>
      <c r="Y1622" s="7"/>
      <c r="Z1622" s="7"/>
      <c r="AA1622" s="7"/>
    </row>
    <row r="1623" ht="18.75" customHeight="1">
      <c r="A1623" s="22" t="s">
        <v>1724</v>
      </c>
      <c r="B1623" s="23" t="s">
        <v>23</v>
      </c>
      <c r="C1623" s="23" t="s">
        <v>24</v>
      </c>
      <c r="D1623" s="24">
        <v>512.0</v>
      </c>
      <c r="E1623" s="23" t="s">
        <v>1740</v>
      </c>
      <c r="F1623" s="25" t="s">
        <v>26</v>
      </c>
      <c r="G1623" s="40"/>
      <c r="H1623" s="27">
        <v>310.4</v>
      </c>
      <c r="I1623" s="28">
        <v>10.0</v>
      </c>
      <c r="J1623" s="29" t="s">
        <v>38</v>
      </c>
      <c r="K1623" s="30">
        <v>0.5</v>
      </c>
      <c r="L1623" s="31">
        <f t="shared" si="1"/>
        <v>5</v>
      </c>
      <c r="M1623" s="31">
        <f t="shared" si="2"/>
        <v>5</v>
      </c>
      <c r="N1623" s="32">
        <f t="shared" si="3"/>
        <v>155.2</v>
      </c>
      <c r="O1623" s="32">
        <f t="shared" si="4"/>
        <v>155.2</v>
      </c>
      <c r="P1623" s="32">
        <f t="shared" si="5"/>
        <v>155.2</v>
      </c>
      <c r="Q1623" s="22">
        <v>0.0</v>
      </c>
      <c r="R1623" s="32">
        <f t="shared" si="6"/>
        <v>31.04</v>
      </c>
      <c r="S1623" s="33" t="s">
        <v>29</v>
      </c>
      <c r="T1623" s="33" t="s">
        <v>30</v>
      </c>
      <c r="U1623" s="38" t="s">
        <v>1741</v>
      </c>
      <c r="V1623" s="35"/>
      <c r="W1623" s="7"/>
      <c r="X1623" s="7"/>
      <c r="Y1623" s="7"/>
      <c r="Z1623" s="7"/>
      <c r="AA1623" s="7"/>
    </row>
    <row r="1624" ht="18.75" customHeight="1">
      <c r="A1624" s="8" t="s">
        <v>1724</v>
      </c>
      <c r="B1624" s="9" t="s">
        <v>23</v>
      </c>
      <c r="C1624" s="9" t="s">
        <v>24</v>
      </c>
      <c r="D1624" s="10">
        <v>520.0</v>
      </c>
      <c r="E1624" s="9" t="s">
        <v>1742</v>
      </c>
      <c r="F1624" s="11" t="s">
        <v>26</v>
      </c>
      <c r="G1624" s="12" t="s">
        <v>27</v>
      </c>
      <c r="H1624" s="13">
        <v>1389.99</v>
      </c>
      <c r="I1624" s="14">
        <v>5.0</v>
      </c>
      <c r="J1624" s="133" t="s">
        <v>54</v>
      </c>
      <c r="K1624" s="16">
        <v>0.3</v>
      </c>
      <c r="L1624" s="17">
        <f t="shared" si="1"/>
        <v>1.5</v>
      </c>
      <c r="M1624" s="17">
        <f t="shared" si="2"/>
        <v>3.5</v>
      </c>
      <c r="N1624" s="18">
        <f t="shared" si="3"/>
        <v>416.997</v>
      </c>
      <c r="O1624" s="18">
        <f t="shared" si="4"/>
        <v>972.993</v>
      </c>
      <c r="P1624" s="18">
        <f t="shared" si="5"/>
        <v>972.993</v>
      </c>
      <c r="Q1624" s="8">
        <v>0.0</v>
      </c>
      <c r="R1624" s="18">
        <f t="shared" si="6"/>
        <v>277.998</v>
      </c>
      <c r="S1624" s="19" t="s">
        <v>29</v>
      </c>
      <c r="T1624" s="19" t="s">
        <v>30</v>
      </c>
      <c r="U1624" s="20" t="s">
        <v>59</v>
      </c>
      <c r="V1624" s="37"/>
      <c r="W1624" s="7"/>
      <c r="X1624" s="7"/>
      <c r="Y1624" s="7"/>
      <c r="Z1624" s="7"/>
      <c r="AA1624" s="7"/>
    </row>
    <row r="1625" ht="18.75" customHeight="1">
      <c r="A1625" s="22" t="s">
        <v>1724</v>
      </c>
      <c r="B1625" s="23" t="s">
        <v>23</v>
      </c>
      <c r="C1625" s="23" t="s">
        <v>24</v>
      </c>
      <c r="D1625" s="24">
        <v>522.0</v>
      </c>
      <c r="E1625" s="23" t="s">
        <v>1743</v>
      </c>
      <c r="F1625" s="25" t="s">
        <v>26</v>
      </c>
      <c r="G1625" s="26" t="s">
        <v>27</v>
      </c>
      <c r="H1625" s="27">
        <v>359.9</v>
      </c>
      <c r="I1625" s="28">
        <v>5.0</v>
      </c>
      <c r="J1625" s="29" t="s">
        <v>38</v>
      </c>
      <c r="K1625" s="30">
        <v>0.5</v>
      </c>
      <c r="L1625" s="31">
        <f t="shared" si="1"/>
        <v>2.5</v>
      </c>
      <c r="M1625" s="31">
        <f t="shared" si="2"/>
        <v>2.5</v>
      </c>
      <c r="N1625" s="32">
        <f t="shared" si="3"/>
        <v>179.95</v>
      </c>
      <c r="O1625" s="32">
        <f t="shared" si="4"/>
        <v>179.95</v>
      </c>
      <c r="P1625" s="32">
        <f t="shared" si="5"/>
        <v>179.95</v>
      </c>
      <c r="Q1625" s="22">
        <v>0.0</v>
      </c>
      <c r="R1625" s="32">
        <f t="shared" si="6"/>
        <v>71.98</v>
      </c>
      <c r="S1625" s="33" t="s">
        <v>29</v>
      </c>
      <c r="T1625" s="33" t="s">
        <v>30</v>
      </c>
      <c r="U1625" s="34" t="s">
        <v>104</v>
      </c>
      <c r="V1625" s="35"/>
      <c r="W1625" s="7"/>
      <c r="X1625" s="7"/>
      <c r="Y1625" s="7"/>
      <c r="Z1625" s="7"/>
      <c r="AA1625" s="7"/>
    </row>
    <row r="1626" ht="18.75" customHeight="1">
      <c r="A1626" s="8" t="s">
        <v>1724</v>
      </c>
      <c r="B1626" s="9" t="s">
        <v>23</v>
      </c>
      <c r="C1626" s="9" t="s">
        <v>24</v>
      </c>
      <c r="D1626" s="10">
        <v>523.0</v>
      </c>
      <c r="E1626" s="9" t="s">
        <v>1744</v>
      </c>
      <c r="F1626" s="11" t="s">
        <v>37</v>
      </c>
      <c r="G1626" s="39"/>
      <c r="H1626" s="43">
        <v>1300.12</v>
      </c>
      <c r="I1626" s="14">
        <v>10.0</v>
      </c>
      <c r="J1626" s="15" t="s">
        <v>38</v>
      </c>
      <c r="K1626" s="16">
        <v>0.5</v>
      </c>
      <c r="L1626" s="17">
        <f t="shared" si="1"/>
        <v>5</v>
      </c>
      <c r="M1626" s="17">
        <f t="shared" si="2"/>
        <v>5</v>
      </c>
      <c r="N1626" s="18">
        <f t="shared" si="3"/>
        <v>650.06</v>
      </c>
      <c r="O1626" s="18">
        <f t="shared" si="4"/>
        <v>650.06</v>
      </c>
      <c r="P1626" s="18">
        <f t="shared" si="5"/>
        <v>650.06</v>
      </c>
      <c r="Q1626" s="8">
        <v>0.0</v>
      </c>
      <c r="R1626" s="18">
        <f t="shared" si="6"/>
        <v>130.012</v>
      </c>
      <c r="S1626" s="19" t="s">
        <v>29</v>
      </c>
      <c r="T1626" s="19" t="s">
        <v>30</v>
      </c>
      <c r="U1626" s="47" t="s">
        <v>229</v>
      </c>
      <c r="V1626" s="37"/>
      <c r="W1626" s="7"/>
      <c r="X1626" s="7"/>
      <c r="Y1626" s="7"/>
      <c r="Z1626" s="7"/>
      <c r="AA1626" s="7"/>
    </row>
    <row r="1627" ht="18.75" customHeight="1">
      <c r="A1627" s="22" t="s">
        <v>1724</v>
      </c>
      <c r="B1627" s="23" t="s">
        <v>23</v>
      </c>
      <c r="C1627" s="23" t="s">
        <v>24</v>
      </c>
      <c r="D1627" s="24">
        <v>524.0</v>
      </c>
      <c r="E1627" s="23" t="s">
        <v>1745</v>
      </c>
      <c r="F1627" s="25" t="s">
        <v>26</v>
      </c>
      <c r="G1627" s="26" t="s">
        <v>27</v>
      </c>
      <c r="H1627" s="27">
        <v>2219.0</v>
      </c>
      <c r="I1627" s="28">
        <v>10.0</v>
      </c>
      <c r="J1627" s="29" t="s">
        <v>28</v>
      </c>
      <c r="K1627" s="30">
        <v>0.4</v>
      </c>
      <c r="L1627" s="31">
        <f t="shared" si="1"/>
        <v>4</v>
      </c>
      <c r="M1627" s="31">
        <f t="shared" si="2"/>
        <v>6</v>
      </c>
      <c r="N1627" s="32">
        <f t="shared" si="3"/>
        <v>887.6</v>
      </c>
      <c r="O1627" s="32">
        <f t="shared" si="4"/>
        <v>1331.4</v>
      </c>
      <c r="P1627" s="32">
        <f t="shared" si="5"/>
        <v>1331.4</v>
      </c>
      <c r="Q1627" s="22">
        <v>0.0</v>
      </c>
      <c r="R1627" s="32">
        <f t="shared" si="6"/>
        <v>221.9</v>
      </c>
      <c r="S1627" s="33" t="s">
        <v>29</v>
      </c>
      <c r="T1627" s="33" t="s">
        <v>30</v>
      </c>
      <c r="U1627" s="34" t="s">
        <v>418</v>
      </c>
      <c r="V1627" s="35"/>
      <c r="W1627" s="7"/>
      <c r="X1627" s="7"/>
      <c r="Y1627" s="7"/>
      <c r="Z1627" s="7"/>
      <c r="AA1627" s="7"/>
    </row>
    <row r="1628" ht="18.75" customHeight="1">
      <c r="A1628" s="8" t="s">
        <v>1724</v>
      </c>
      <c r="B1628" s="9" t="s">
        <v>23</v>
      </c>
      <c r="C1628" s="9" t="s">
        <v>24</v>
      </c>
      <c r="D1628" s="10">
        <v>526.0</v>
      </c>
      <c r="E1628" s="9" t="s">
        <v>1746</v>
      </c>
      <c r="F1628" s="11" t="s">
        <v>26</v>
      </c>
      <c r="G1628" s="12" t="s">
        <v>27</v>
      </c>
      <c r="H1628" s="13">
        <v>285.0</v>
      </c>
      <c r="I1628" s="14">
        <v>5.0</v>
      </c>
      <c r="J1628" s="133" t="s">
        <v>54</v>
      </c>
      <c r="K1628" s="16">
        <v>0.3</v>
      </c>
      <c r="L1628" s="17">
        <f t="shared" si="1"/>
        <v>1.5</v>
      </c>
      <c r="M1628" s="17">
        <f t="shared" si="2"/>
        <v>3.5</v>
      </c>
      <c r="N1628" s="18">
        <f t="shared" si="3"/>
        <v>85.5</v>
      </c>
      <c r="O1628" s="18">
        <f t="shared" si="4"/>
        <v>199.5</v>
      </c>
      <c r="P1628" s="18">
        <f t="shared" si="5"/>
        <v>199.5</v>
      </c>
      <c r="Q1628" s="8">
        <v>0.0</v>
      </c>
      <c r="R1628" s="18">
        <f t="shared" si="6"/>
        <v>57</v>
      </c>
      <c r="S1628" s="19" t="s">
        <v>29</v>
      </c>
      <c r="T1628" s="19" t="s">
        <v>30</v>
      </c>
      <c r="U1628" s="20" t="s">
        <v>251</v>
      </c>
      <c r="V1628" s="37"/>
      <c r="W1628" s="7"/>
      <c r="X1628" s="7"/>
      <c r="Y1628" s="7"/>
      <c r="Z1628" s="7"/>
      <c r="AA1628" s="7"/>
    </row>
    <row r="1629" ht="18.75" customHeight="1">
      <c r="A1629" s="22" t="s">
        <v>1724</v>
      </c>
      <c r="B1629" s="23" t="s">
        <v>23</v>
      </c>
      <c r="C1629" s="23" t="s">
        <v>24</v>
      </c>
      <c r="D1629" s="24">
        <v>528.0</v>
      </c>
      <c r="E1629" s="23" t="s">
        <v>1747</v>
      </c>
      <c r="F1629" s="25" t="s">
        <v>26</v>
      </c>
      <c r="G1629" s="26" t="s">
        <v>27</v>
      </c>
      <c r="H1629" s="27">
        <v>840.0</v>
      </c>
      <c r="I1629" s="28">
        <v>5.0</v>
      </c>
      <c r="J1629" s="29" t="s">
        <v>38</v>
      </c>
      <c r="K1629" s="30">
        <v>0.5</v>
      </c>
      <c r="L1629" s="31">
        <f t="shared" si="1"/>
        <v>2.5</v>
      </c>
      <c r="M1629" s="31">
        <f t="shared" si="2"/>
        <v>2.5</v>
      </c>
      <c r="N1629" s="32">
        <f t="shared" si="3"/>
        <v>420</v>
      </c>
      <c r="O1629" s="32">
        <f t="shared" si="4"/>
        <v>420</v>
      </c>
      <c r="P1629" s="32">
        <f t="shared" si="5"/>
        <v>420</v>
      </c>
      <c r="Q1629" s="22">
        <v>0.0</v>
      </c>
      <c r="R1629" s="32">
        <f t="shared" si="6"/>
        <v>168</v>
      </c>
      <c r="S1629" s="33" t="s">
        <v>29</v>
      </c>
      <c r="T1629" s="33" t="s">
        <v>30</v>
      </c>
      <c r="U1629" s="38" t="s">
        <v>1675</v>
      </c>
      <c r="V1629" s="35"/>
      <c r="W1629" s="7"/>
      <c r="X1629" s="7"/>
      <c r="Y1629" s="7"/>
      <c r="Z1629" s="7"/>
      <c r="AA1629" s="7"/>
    </row>
    <row r="1630" ht="18.75" customHeight="1">
      <c r="A1630" s="8" t="s">
        <v>1724</v>
      </c>
      <c r="B1630" s="9" t="s">
        <v>23</v>
      </c>
      <c r="C1630" s="9" t="s">
        <v>24</v>
      </c>
      <c r="D1630" s="10">
        <v>529.0</v>
      </c>
      <c r="E1630" s="9" t="s">
        <v>1748</v>
      </c>
      <c r="F1630" s="11" t="s">
        <v>26</v>
      </c>
      <c r="G1630" s="12" t="s">
        <v>27</v>
      </c>
      <c r="H1630" s="13">
        <v>450.0</v>
      </c>
      <c r="I1630" s="14">
        <v>5.0</v>
      </c>
      <c r="J1630" s="133" t="s">
        <v>54</v>
      </c>
      <c r="K1630" s="16">
        <v>0.3</v>
      </c>
      <c r="L1630" s="17">
        <f t="shared" si="1"/>
        <v>1.5</v>
      </c>
      <c r="M1630" s="17">
        <f t="shared" si="2"/>
        <v>3.5</v>
      </c>
      <c r="N1630" s="18">
        <f t="shared" si="3"/>
        <v>135</v>
      </c>
      <c r="O1630" s="18">
        <f t="shared" si="4"/>
        <v>315</v>
      </c>
      <c r="P1630" s="18">
        <f t="shared" si="5"/>
        <v>315</v>
      </c>
      <c r="Q1630" s="8">
        <v>0.0</v>
      </c>
      <c r="R1630" s="18">
        <f t="shared" si="6"/>
        <v>90</v>
      </c>
      <c r="S1630" s="19" t="s">
        <v>29</v>
      </c>
      <c r="T1630" s="19" t="s">
        <v>30</v>
      </c>
      <c r="U1630" s="20" t="s">
        <v>292</v>
      </c>
      <c r="V1630" s="37"/>
      <c r="W1630" s="7"/>
      <c r="X1630" s="7"/>
      <c r="Y1630" s="7"/>
      <c r="Z1630" s="7"/>
      <c r="AA1630" s="7"/>
    </row>
    <row r="1631" ht="18.75" customHeight="1">
      <c r="A1631" s="22" t="s">
        <v>1724</v>
      </c>
      <c r="B1631" s="23" t="s">
        <v>23</v>
      </c>
      <c r="C1631" s="23" t="s">
        <v>24</v>
      </c>
      <c r="D1631" s="24">
        <v>531.0</v>
      </c>
      <c r="E1631" s="23" t="s">
        <v>1749</v>
      </c>
      <c r="F1631" s="25" t="s">
        <v>37</v>
      </c>
      <c r="G1631" s="40"/>
      <c r="H1631" s="27">
        <v>1514.43</v>
      </c>
      <c r="I1631" s="28">
        <v>10.0</v>
      </c>
      <c r="J1631" s="45" t="s">
        <v>63</v>
      </c>
      <c r="K1631" s="30">
        <v>0.700000000000008</v>
      </c>
      <c r="L1631" s="31">
        <f t="shared" si="1"/>
        <v>7</v>
      </c>
      <c r="M1631" s="31">
        <f t="shared" si="2"/>
        <v>3</v>
      </c>
      <c r="N1631" s="32">
        <f t="shared" si="3"/>
        <v>1060.101</v>
      </c>
      <c r="O1631" s="32">
        <f t="shared" si="4"/>
        <v>454.329</v>
      </c>
      <c r="P1631" s="32">
        <f t="shared" si="5"/>
        <v>454.329</v>
      </c>
      <c r="Q1631" s="22">
        <v>0.0</v>
      </c>
      <c r="R1631" s="32">
        <f t="shared" si="6"/>
        <v>151.443</v>
      </c>
      <c r="S1631" s="33" t="s">
        <v>29</v>
      </c>
      <c r="T1631" s="33" t="s">
        <v>30</v>
      </c>
      <c r="U1631" s="34"/>
      <c r="V1631" s="35"/>
      <c r="W1631" s="7"/>
      <c r="X1631" s="7"/>
      <c r="Y1631" s="7"/>
      <c r="Z1631" s="7"/>
      <c r="AA1631" s="7"/>
    </row>
    <row r="1632" ht="18.75" customHeight="1">
      <c r="A1632" s="8" t="s">
        <v>1724</v>
      </c>
      <c r="B1632" s="9" t="s">
        <v>23</v>
      </c>
      <c r="C1632" s="9" t="s">
        <v>24</v>
      </c>
      <c r="D1632" s="10">
        <v>533.0</v>
      </c>
      <c r="E1632" s="9" t="s">
        <v>1750</v>
      </c>
      <c r="F1632" s="11" t="s">
        <v>26</v>
      </c>
      <c r="G1632" s="12" t="s">
        <v>27</v>
      </c>
      <c r="H1632" s="13">
        <v>2563.29</v>
      </c>
      <c r="I1632" s="14">
        <v>5.0</v>
      </c>
      <c r="J1632" s="134" t="s">
        <v>54</v>
      </c>
      <c r="K1632" s="16">
        <v>0.3</v>
      </c>
      <c r="L1632" s="17">
        <f t="shared" si="1"/>
        <v>1.5</v>
      </c>
      <c r="M1632" s="17">
        <f t="shared" si="2"/>
        <v>3.5</v>
      </c>
      <c r="N1632" s="18">
        <f t="shared" si="3"/>
        <v>768.987</v>
      </c>
      <c r="O1632" s="18">
        <f t="shared" si="4"/>
        <v>1794.303</v>
      </c>
      <c r="P1632" s="18">
        <f t="shared" si="5"/>
        <v>1794.303</v>
      </c>
      <c r="Q1632" s="8">
        <v>0.0</v>
      </c>
      <c r="R1632" s="18">
        <f t="shared" si="6"/>
        <v>512.658</v>
      </c>
      <c r="S1632" s="19" t="s">
        <v>29</v>
      </c>
      <c r="T1632" s="19" t="s">
        <v>30</v>
      </c>
      <c r="U1632" s="20" t="s">
        <v>1751</v>
      </c>
      <c r="V1632" s="37"/>
      <c r="W1632" s="7"/>
      <c r="X1632" s="7"/>
      <c r="Y1632" s="7"/>
      <c r="Z1632" s="7"/>
      <c r="AA1632" s="7"/>
    </row>
    <row r="1633" ht="18.75" customHeight="1">
      <c r="A1633" s="22" t="s">
        <v>1724</v>
      </c>
      <c r="B1633" s="23" t="s">
        <v>23</v>
      </c>
      <c r="C1633" s="23" t="s">
        <v>24</v>
      </c>
      <c r="D1633" s="24">
        <v>537.0</v>
      </c>
      <c r="E1633" s="23" t="s">
        <v>1752</v>
      </c>
      <c r="F1633" s="25" t="s">
        <v>26</v>
      </c>
      <c r="G1633" s="26" t="s">
        <v>27</v>
      </c>
      <c r="H1633" s="27">
        <v>1586.97</v>
      </c>
      <c r="I1633" s="28">
        <v>10.0</v>
      </c>
      <c r="J1633" s="135" t="s">
        <v>54</v>
      </c>
      <c r="K1633" s="30">
        <v>0.3</v>
      </c>
      <c r="L1633" s="31">
        <f t="shared" si="1"/>
        <v>3</v>
      </c>
      <c r="M1633" s="31">
        <f t="shared" si="2"/>
        <v>7</v>
      </c>
      <c r="N1633" s="32">
        <f t="shared" si="3"/>
        <v>476.091</v>
      </c>
      <c r="O1633" s="32">
        <f t="shared" si="4"/>
        <v>1110.879</v>
      </c>
      <c r="P1633" s="32">
        <f t="shared" si="5"/>
        <v>1110.879</v>
      </c>
      <c r="Q1633" s="22">
        <v>0.0</v>
      </c>
      <c r="R1633" s="32">
        <f t="shared" si="6"/>
        <v>158.697</v>
      </c>
      <c r="S1633" s="33" t="s">
        <v>29</v>
      </c>
      <c r="T1633" s="33" t="s">
        <v>30</v>
      </c>
      <c r="U1633" s="34" t="s">
        <v>575</v>
      </c>
      <c r="V1633" s="35"/>
      <c r="W1633" s="7"/>
      <c r="X1633" s="7"/>
      <c r="Y1633" s="7"/>
      <c r="Z1633" s="7"/>
      <c r="AA1633" s="7"/>
    </row>
    <row r="1634" ht="18.75" customHeight="1">
      <c r="A1634" s="8" t="s">
        <v>1724</v>
      </c>
      <c r="B1634" s="9" t="s">
        <v>23</v>
      </c>
      <c r="C1634" s="9" t="s">
        <v>24</v>
      </c>
      <c r="D1634" s="10">
        <v>541.0</v>
      </c>
      <c r="E1634" s="9" t="s">
        <v>1752</v>
      </c>
      <c r="F1634" s="11" t="s">
        <v>26</v>
      </c>
      <c r="G1634" s="12" t="s">
        <v>27</v>
      </c>
      <c r="H1634" s="13">
        <v>1586.97</v>
      </c>
      <c r="I1634" s="14">
        <v>10.0</v>
      </c>
      <c r="J1634" s="133" t="s">
        <v>54</v>
      </c>
      <c r="K1634" s="16">
        <v>0.3</v>
      </c>
      <c r="L1634" s="17">
        <f t="shared" si="1"/>
        <v>3</v>
      </c>
      <c r="M1634" s="17">
        <f t="shared" si="2"/>
        <v>7</v>
      </c>
      <c r="N1634" s="18">
        <f t="shared" si="3"/>
        <v>476.091</v>
      </c>
      <c r="O1634" s="18">
        <f t="shared" si="4"/>
        <v>1110.879</v>
      </c>
      <c r="P1634" s="18">
        <f t="shared" si="5"/>
        <v>1110.879</v>
      </c>
      <c r="Q1634" s="8">
        <v>0.0</v>
      </c>
      <c r="R1634" s="18">
        <f t="shared" si="6"/>
        <v>158.697</v>
      </c>
      <c r="S1634" s="19" t="s">
        <v>29</v>
      </c>
      <c r="T1634" s="19" t="s">
        <v>30</v>
      </c>
      <c r="U1634" s="20" t="s">
        <v>575</v>
      </c>
      <c r="V1634" s="37"/>
      <c r="W1634" s="7"/>
      <c r="X1634" s="7"/>
      <c r="Y1634" s="7"/>
      <c r="Z1634" s="7"/>
      <c r="AA1634" s="7"/>
    </row>
    <row r="1635" ht="18.75" customHeight="1">
      <c r="A1635" s="22" t="s">
        <v>1724</v>
      </c>
      <c r="B1635" s="23" t="s">
        <v>23</v>
      </c>
      <c r="C1635" s="23" t="s">
        <v>24</v>
      </c>
      <c r="D1635" s="24">
        <v>542.0</v>
      </c>
      <c r="E1635" s="23" t="s">
        <v>1753</v>
      </c>
      <c r="F1635" s="25" t="s">
        <v>26</v>
      </c>
      <c r="G1635" s="26" t="s">
        <v>27</v>
      </c>
      <c r="H1635" s="27">
        <v>235.03</v>
      </c>
      <c r="I1635" s="28">
        <v>10.0</v>
      </c>
      <c r="J1635" s="45" t="s">
        <v>63</v>
      </c>
      <c r="K1635" s="30">
        <v>0.700000000000008</v>
      </c>
      <c r="L1635" s="31">
        <f t="shared" si="1"/>
        <v>7</v>
      </c>
      <c r="M1635" s="31">
        <f t="shared" si="2"/>
        <v>3</v>
      </c>
      <c r="N1635" s="32">
        <f t="shared" si="3"/>
        <v>164.521</v>
      </c>
      <c r="O1635" s="32">
        <f t="shared" si="4"/>
        <v>70.509</v>
      </c>
      <c r="P1635" s="32">
        <f t="shared" si="5"/>
        <v>70.509</v>
      </c>
      <c r="Q1635" s="22">
        <v>0.0</v>
      </c>
      <c r="R1635" s="32">
        <f t="shared" si="6"/>
        <v>23.503</v>
      </c>
      <c r="S1635" s="33" t="s">
        <v>29</v>
      </c>
      <c r="T1635" s="33" t="s">
        <v>30</v>
      </c>
      <c r="U1635" s="34" t="s">
        <v>96</v>
      </c>
      <c r="V1635" s="35"/>
      <c r="W1635" s="7"/>
      <c r="X1635" s="7"/>
      <c r="Y1635" s="7"/>
      <c r="Z1635" s="7"/>
      <c r="AA1635" s="7"/>
    </row>
    <row r="1636" ht="18.75" customHeight="1">
      <c r="A1636" s="8" t="s">
        <v>1724</v>
      </c>
      <c r="B1636" s="9" t="s">
        <v>23</v>
      </c>
      <c r="C1636" s="9" t="s">
        <v>24</v>
      </c>
      <c r="D1636" s="10">
        <v>544.0</v>
      </c>
      <c r="E1636" s="9" t="s">
        <v>1754</v>
      </c>
      <c r="F1636" s="11" t="s">
        <v>26</v>
      </c>
      <c r="G1636" s="12" t="s">
        <v>27</v>
      </c>
      <c r="H1636" s="13">
        <v>2563.29</v>
      </c>
      <c r="I1636" s="14">
        <v>5.0</v>
      </c>
      <c r="J1636" s="15" t="s">
        <v>154</v>
      </c>
      <c r="K1636" s="16">
        <v>0.8</v>
      </c>
      <c r="L1636" s="17">
        <f t="shared" si="1"/>
        <v>4</v>
      </c>
      <c r="M1636" s="17">
        <f t="shared" si="2"/>
        <v>1</v>
      </c>
      <c r="N1636" s="18">
        <f t="shared" si="3"/>
        <v>2050.632</v>
      </c>
      <c r="O1636" s="18">
        <f t="shared" si="4"/>
        <v>512.658</v>
      </c>
      <c r="P1636" s="18">
        <f t="shared" si="5"/>
        <v>512.658</v>
      </c>
      <c r="Q1636" s="8">
        <v>0.0</v>
      </c>
      <c r="R1636" s="18">
        <f t="shared" si="6"/>
        <v>512.658</v>
      </c>
      <c r="S1636" s="19" t="s">
        <v>29</v>
      </c>
      <c r="T1636" s="19" t="s">
        <v>30</v>
      </c>
      <c r="U1636" s="20" t="s">
        <v>260</v>
      </c>
      <c r="V1636" s="37"/>
      <c r="W1636" s="7"/>
      <c r="X1636" s="7"/>
      <c r="Y1636" s="7"/>
      <c r="Z1636" s="7"/>
      <c r="AA1636" s="7"/>
    </row>
    <row r="1637" ht="18.75" customHeight="1">
      <c r="A1637" s="22" t="s">
        <v>1724</v>
      </c>
      <c r="B1637" s="23" t="s">
        <v>23</v>
      </c>
      <c r="C1637" s="23" t="s">
        <v>24</v>
      </c>
      <c r="D1637" s="24">
        <v>545.0</v>
      </c>
      <c r="E1637" s="23" t="s">
        <v>1755</v>
      </c>
      <c r="F1637" s="25" t="s">
        <v>26</v>
      </c>
      <c r="G1637" s="26" t="s">
        <v>27</v>
      </c>
      <c r="H1637" s="27">
        <v>531.9</v>
      </c>
      <c r="I1637" s="28">
        <v>10.0</v>
      </c>
      <c r="J1637" s="29" t="s">
        <v>38</v>
      </c>
      <c r="K1637" s="30">
        <v>0.5</v>
      </c>
      <c r="L1637" s="31">
        <f t="shared" si="1"/>
        <v>5</v>
      </c>
      <c r="M1637" s="31">
        <f t="shared" si="2"/>
        <v>5</v>
      </c>
      <c r="N1637" s="32">
        <f t="shared" si="3"/>
        <v>265.95</v>
      </c>
      <c r="O1637" s="32">
        <f t="shared" si="4"/>
        <v>265.95</v>
      </c>
      <c r="P1637" s="32">
        <f t="shared" si="5"/>
        <v>265.95</v>
      </c>
      <c r="Q1637" s="22">
        <v>0.0</v>
      </c>
      <c r="R1637" s="32">
        <f t="shared" si="6"/>
        <v>53.19</v>
      </c>
      <c r="S1637" s="33" t="s">
        <v>29</v>
      </c>
      <c r="T1637" s="33" t="s">
        <v>30</v>
      </c>
      <c r="U1637" s="34" t="s">
        <v>191</v>
      </c>
      <c r="V1637" s="35"/>
      <c r="W1637" s="7"/>
      <c r="X1637" s="7"/>
      <c r="Y1637" s="7"/>
      <c r="Z1637" s="7"/>
      <c r="AA1637" s="7"/>
    </row>
    <row r="1638" ht="18.75" customHeight="1">
      <c r="A1638" s="8" t="s">
        <v>1724</v>
      </c>
      <c r="B1638" s="9" t="s">
        <v>23</v>
      </c>
      <c r="C1638" s="9" t="s">
        <v>24</v>
      </c>
      <c r="D1638" s="10">
        <v>551.0</v>
      </c>
      <c r="E1638" s="9" t="s">
        <v>1756</v>
      </c>
      <c r="F1638" s="11" t="s">
        <v>26</v>
      </c>
      <c r="G1638" s="39"/>
      <c r="H1638" s="43">
        <v>359.9</v>
      </c>
      <c r="I1638" s="14">
        <v>5.0</v>
      </c>
      <c r="J1638" s="15" t="s">
        <v>38</v>
      </c>
      <c r="K1638" s="16">
        <v>0.5</v>
      </c>
      <c r="L1638" s="17">
        <f t="shared" si="1"/>
        <v>2.5</v>
      </c>
      <c r="M1638" s="17">
        <f t="shared" si="2"/>
        <v>2.5</v>
      </c>
      <c r="N1638" s="18">
        <f t="shared" si="3"/>
        <v>179.95</v>
      </c>
      <c r="O1638" s="18">
        <f t="shared" si="4"/>
        <v>179.95</v>
      </c>
      <c r="P1638" s="18">
        <f t="shared" si="5"/>
        <v>179.95</v>
      </c>
      <c r="Q1638" s="8">
        <v>0.0</v>
      </c>
      <c r="R1638" s="18">
        <f t="shared" si="6"/>
        <v>71.98</v>
      </c>
      <c r="S1638" s="19" t="s">
        <v>29</v>
      </c>
      <c r="T1638" s="19" t="s">
        <v>30</v>
      </c>
      <c r="U1638" s="47" t="s">
        <v>104</v>
      </c>
      <c r="V1638" s="37"/>
      <c r="W1638" s="7"/>
      <c r="X1638" s="7"/>
      <c r="Y1638" s="7"/>
      <c r="Z1638" s="7"/>
      <c r="AA1638" s="7"/>
    </row>
    <row r="1639" ht="18.75" customHeight="1">
      <c r="A1639" s="22" t="s">
        <v>1724</v>
      </c>
      <c r="B1639" s="23" t="s">
        <v>1757</v>
      </c>
      <c r="C1639" s="23" t="s">
        <v>150</v>
      </c>
      <c r="D1639" s="24">
        <v>555.0</v>
      </c>
      <c r="E1639" s="23" t="s">
        <v>1758</v>
      </c>
      <c r="F1639" s="25" t="s">
        <v>26</v>
      </c>
      <c r="G1639" s="40"/>
      <c r="H1639" s="27">
        <v>15638.9</v>
      </c>
      <c r="I1639" s="28">
        <v>10.0</v>
      </c>
      <c r="J1639" s="136" t="s">
        <v>289</v>
      </c>
      <c r="K1639" s="30">
        <v>0.95</v>
      </c>
      <c r="L1639" s="31">
        <f t="shared" si="1"/>
        <v>9.5</v>
      </c>
      <c r="M1639" s="31">
        <f t="shared" si="2"/>
        <v>0.5</v>
      </c>
      <c r="N1639" s="32">
        <f t="shared" si="3"/>
        <v>14856.955</v>
      </c>
      <c r="O1639" s="32">
        <f t="shared" si="4"/>
        <v>781.945</v>
      </c>
      <c r="P1639" s="32">
        <f t="shared" si="5"/>
        <v>781.945</v>
      </c>
      <c r="Q1639" s="22">
        <v>0.0</v>
      </c>
      <c r="R1639" s="32">
        <f t="shared" si="6"/>
        <v>1563.89</v>
      </c>
      <c r="S1639" s="33" t="s">
        <v>29</v>
      </c>
      <c r="T1639" s="33" t="s">
        <v>30</v>
      </c>
      <c r="U1639" s="34" t="s">
        <v>35</v>
      </c>
      <c r="V1639" s="35"/>
      <c r="W1639" s="7"/>
      <c r="X1639" s="7"/>
      <c r="Y1639" s="7"/>
      <c r="Z1639" s="7"/>
      <c r="AA1639" s="7"/>
    </row>
    <row r="1640" ht="18.75" customHeight="1">
      <c r="A1640" s="8" t="s">
        <v>1724</v>
      </c>
      <c r="B1640" s="9" t="s">
        <v>1757</v>
      </c>
      <c r="C1640" s="9" t="s">
        <v>1759</v>
      </c>
      <c r="D1640" s="10">
        <v>556.0</v>
      </c>
      <c r="E1640" s="9" t="s">
        <v>1760</v>
      </c>
      <c r="F1640" s="11" t="s">
        <v>37</v>
      </c>
      <c r="G1640" s="12" t="s">
        <v>27</v>
      </c>
      <c r="H1640" s="13">
        <v>469.2</v>
      </c>
      <c r="I1640" s="14">
        <v>10.0</v>
      </c>
      <c r="J1640" s="15" t="s">
        <v>38</v>
      </c>
      <c r="K1640" s="16">
        <v>0.5</v>
      </c>
      <c r="L1640" s="17">
        <f t="shared" si="1"/>
        <v>5</v>
      </c>
      <c r="M1640" s="17">
        <f t="shared" si="2"/>
        <v>5</v>
      </c>
      <c r="N1640" s="18">
        <f t="shared" si="3"/>
        <v>234.6</v>
      </c>
      <c r="O1640" s="18">
        <f t="shared" si="4"/>
        <v>234.6</v>
      </c>
      <c r="P1640" s="18">
        <f t="shared" si="5"/>
        <v>234.6</v>
      </c>
      <c r="Q1640" s="8">
        <v>0.0</v>
      </c>
      <c r="R1640" s="18">
        <f t="shared" si="6"/>
        <v>46.92</v>
      </c>
      <c r="S1640" s="19" t="s">
        <v>29</v>
      </c>
      <c r="T1640" s="19" t="s">
        <v>30</v>
      </c>
      <c r="U1640" s="36" t="s">
        <v>52</v>
      </c>
      <c r="V1640" s="37"/>
      <c r="W1640" s="7"/>
      <c r="X1640" s="7"/>
      <c r="Y1640" s="7"/>
      <c r="Z1640" s="7"/>
      <c r="AA1640" s="7"/>
    </row>
    <row r="1641" ht="18.75" customHeight="1">
      <c r="A1641" s="22" t="s">
        <v>1724</v>
      </c>
      <c r="B1641" s="23" t="s">
        <v>1757</v>
      </c>
      <c r="C1641" s="23" t="s">
        <v>150</v>
      </c>
      <c r="D1641" s="24">
        <v>557.0</v>
      </c>
      <c r="E1641" s="23" t="s">
        <v>923</v>
      </c>
      <c r="F1641" s="25" t="s">
        <v>26</v>
      </c>
      <c r="G1641" s="26" t="s">
        <v>27</v>
      </c>
      <c r="H1641" s="27">
        <v>1351.57</v>
      </c>
      <c r="I1641" s="28">
        <v>10.0</v>
      </c>
      <c r="J1641" s="29" t="s">
        <v>38</v>
      </c>
      <c r="K1641" s="30">
        <v>0.5</v>
      </c>
      <c r="L1641" s="31">
        <f t="shared" si="1"/>
        <v>5</v>
      </c>
      <c r="M1641" s="31">
        <f t="shared" si="2"/>
        <v>5</v>
      </c>
      <c r="N1641" s="32">
        <f t="shared" si="3"/>
        <v>675.785</v>
      </c>
      <c r="O1641" s="32">
        <f t="shared" si="4"/>
        <v>675.785</v>
      </c>
      <c r="P1641" s="32">
        <f t="shared" si="5"/>
        <v>675.785</v>
      </c>
      <c r="Q1641" s="22">
        <v>0.0</v>
      </c>
      <c r="R1641" s="32">
        <f t="shared" si="6"/>
        <v>135.157</v>
      </c>
      <c r="S1641" s="33" t="s">
        <v>29</v>
      </c>
      <c r="T1641" s="33" t="s">
        <v>30</v>
      </c>
      <c r="U1641" s="34" t="s">
        <v>41</v>
      </c>
      <c r="V1641" s="35"/>
      <c r="W1641" s="7"/>
      <c r="X1641" s="7"/>
      <c r="Y1641" s="7"/>
      <c r="Z1641" s="7"/>
      <c r="AA1641" s="7"/>
    </row>
    <row r="1642" ht="18.75" customHeight="1">
      <c r="A1642" s="8" t="s">
        <v>1724</v>
      </c>
      <c r="B1642" s="9" t="s">
        <v>1757</v>
      </c>
      <c r="C1642" s="9" t="s">
        <v>1759</v>
      </c>
      <c r="D1642" s="10">
        <v>558.0</v>
      </c>
      <c r="E1642" s="9" t="s">
        <v>1760</v>
      </c>
      <c r="F1642" s="11" t="s">
        <v>37</v>
      </c>
      <c r="G1642" s="12" t="s">
        <v>27</v>
      </c>
      <c r="H1642" s="13">
        <v>469.2</v>
      </c>
      <c r="I1642" s="14">
        <v>10.0</v>
      </c>
      <c r="J1642" s="15" t="s">
        <v>38</v>
      </c>
      <c r="K1642" s="16">
        <v>0.5</v>
      </c>
      <c r="L1642" s="17">
        <f t="shared" si="1"/>
        <v>5</v>
      </c>
      <c r="M1642" s="17">
        <f t="shared" si="2"/>
        <v>5</v>
      </c>
      <c r="N1642" s="18">
        <f t="shared" si="3"/>
        <v>234.6</v>
      </c>
      <c r="O1642" s="18">
        <f t="shared" si="4"/>
        <v>234.6</v>
      </c>
      <c r="P1642" s="18">
        <f t="shared" si="5"/>
        <v>234.6</v>
      </c>
      <c r="Q1642" s="8">
        <v>0.0</v>
      </c>
      <c r="R1642" s="18">
        <f t="shared" si="6"/>
        <v>46.92</v>
      </c>
      <c r="S1642" s="19" t="s">
        <v>29</v>
      </c>
      <c r="T1642" s="19" t="s">
        <v>30</v>
      </c>
      <c r="U1642" s="36" t="s">
        <v>52</v>
      </c>
      <c r="V1642" s="37"/>
      <c r="W1642" s="7"/>
      <c r="X1642" s="7"/>
      <c r="Y1642" s="7"/>
      <c r="Z1642" s="7"/>
      <c r="AA1642" s="7"/>
    </row>
    <row r="1643" ht="18.75" customHeight="1">
      <c r="A1643" s="22" t="s">
        <v>1724</v>
      </c>
      <c r="B1643" s="23" t="s">
        <v>1757</v>
      </c>
      <c r="C1643" s="23" t="s">
        <v>150</v>
      </c>
      <c r="D1643" s="24">
        <v>561.0</v>
      </c>
      <c r="E1643" s="23" t="s">
        <v>1761</v>
      </c>
      <c r="F1643" s="25" t="s">
        <v>37</v>
      </c>
      <c r="G1643" s="26" t="s">
        <v>27</v>
      </c>
      <c r="H1643" s="27">
        <v>1647.58</v>
      </c>
      <c r="I1643" s="28">
        <v>15.0</v>
      </c>
      <c r="J1643" s="29" t="s">
        <v>38</v>
      </c>
      <c r="K1643" s="30">
        <v>0.5</v>
      </c>
      <c r="L1643" s="31">
        <f t="shared" si="1"/>
        <v>7.5</v>
      </c>
      <c r="M1643" s="31">
        <f t="shared" si="2"/>
        <v>7.5</v>
      </c>
      <c r="N1643" s="32">
        <f t="shared" si="3"/>
        <v>823.79</v>
      </c>
      <c r="O1643" s="32">
        <f t="shared" si="4"/>
        <v>823.79</v>
      </c>
      <c r="P1643" s="32">
        <f t="shared" si="5"/>
        <v>823.79</v>
      </c>
      <c r="Q1643" s="22">
        <v>0.0</v>
      </c>
      <c r="R1643" s="32">
        <f t="shared" si="6"/>
        <v>109.8386667</v>
      </c>
      <c r="S1643" s="33" t="s">
        <v>29</v>
      </c>
      <c r="T1643" s="33" t="s">
        <v>30</v>
      </c>
      <c r="U1643" s="34" t="s">
        <v>325</v>
      </c>
      <c r="V1643" s="35"/>
      <c r="W1643" s="7"/>
      <c r="X1643" s="7"/>
      <c r="Y1643" s="7"/>
      <c r="Z1643" s="7"/>
      <c r="AA1643" s="7"/>
    </row>
    <row r="1644" ht="18.75" customHeight="1">
      <c r="A1644" s="8" t="s">
        <v>1724</v>
      </c>
      <c r="B1644" s="9" t="s">
        <v>1757</v>
      </c>
      <c r="C1644" s="9" t="s">
        <v>150</v>
      </c>
      <c r="D1644" s="10">
        <v>562.0</v>
      </c>
      <c r="E1644" s="9" t="s">
        <v>524</v>
      </c>
      <c r="F1644" s="11" t="s">
        <v>26</v>
      </c>
      <c r="G1644" s="12" t="s">
        <v>27</v>
      </c>
      <c r="H1644" s="13">
        <v>1897.0</v>
      </c>
      <c r="I1644" s="14">
        <v>10.0</v>
      </c>
      <c r="J1644" s="15" t="s">
        <v>38</v>
      </c>
      <c r="K1644" s="16">
        <v>0.5</v>
      </c>
      <c r="L1644" s="17">
        <f t="shared" si="1"/>
        <v>5</v>
      </c>
      <c r="M1644" s="17">
        <f t="shared" si="2"/>
        <v>5</v>
      </c>
      <c r="N1644" s="18">
        <f t="shared" si="3"/>
        <v>948.5</v>
      </c>
      <c r="O1644" s="18">
        <f t="shared" si="4"/>
        <v>948.5</v>
      </c>
      <c r="P1644" s="18">
        <f t="shared" si="5"/>
        <v>948.5</v>
      </c>
      <c r="Q1644" s="8">
        <v>0.0</v>
      </c>
      <c r="R1644" s="18">
        <f t="shared" si="6"/>
        <v>189.7</v>
      </c>
      <c r="S1644" s="19" t="s">
        <v>29</v>
      </c>
      <c r="T1644" s="19" t="s">
        <v>30</v>
      </c>
      <c r="U1644" s="20" t="s">
        <v>43</v>
      </c>
      <c r="V1644" s="37"/>
      <c r="W1644" s="7"/>
      <c r="X1644" s="7"/>
      <c r="Y1644" s="7"/>
      <c r="Z1644" s="7"/>
      <c r="AA1644" s="7"/>
    </row>
    <row r="1645" ht="18.75" customHeight="1">
      <c r="A1645" s="22" t="s">
        <v>1724</v>
      </c>
      <c r="B1645" s="23" t="s">
        <v>1757</v>
      </c>
      <c r="C1645" s="23" t="s">
        <v>150</v>
      </c>
      <c r="D1645" s="24">
        <v>563.0</v>
      </c>
      <c r="E1645" s="23" t="s">
        <v>1762</v>
      </c>
      <c r="F1645" s="25" t="s">
        <v>37</v>
      </c>
      <c r="G1645" s="26" t="s">
        <v>27</v>
      </c>
      <c r="H1645" s="27">
        <v>529.0</v>
      </c>
      <c r="I1645" s="28">
        <v>10.0</v>
      </c>
      <c r="J1645" s="135" t="s">
        <v>54</v>
      </c>
      <c r="K1645" s="30">
        <v>0.3</v>
      </c>
      <c r="L1645" s="31">
        <f t="shared" si="1"/>
        <v>3</v>
      </c>
      <c r="M1645" s="31">
        <f t="shared" si="2"/>
        <v>7</v>
      </c>
      <c r="N1645" s="32">
        <f t="shared" si="3"/>
        <v>158.7</v>
      </c>
      <c r="O1645" s="32">
        <f t="shared" si="4"/>
        <v>370.3</v>
      </c>
      <c r="P1645" s="32">
        <f t="shared" si="5"/>
        <v>370.3</v>
      </c>
      <c r="Q1645" s="22">
        <v>0.0</v>
      </c>
      <c r="R1645" s="32">
        <f t="shared" si="6"/>
        <v>52.9</v>
      </c>
      <c r="S1645" s="33" t="s">
        <v>29</v>
      </c>
      <c r="T1645" s="33" t="s">
        <v>30</v>
      </c>
      <c r="U1645" s="34" t="s">
        <v>275</v>
      </c>
      <c r="V1645" s="35"/>
      <c r="W1645" s="7"/>
      <c r="X1645" s="7"/>
      <c r="Y1645" s="7"/>
      <c r="Z1645" s="7"/>
      <c r="AA1645" s="7"/>
    </row>
    <row r="1646" ht="18.75" customHeight="1">
      <c r="A1646" s="8" t="s">
        <v>1724</v>
      </c>
      <c r="B1646" s="9" t="s">
        <v>1757</v>
      </c>
      <c r="C1646" s="9" t="s">
        <v>150</v>
      </c>
      <c r="D1646" s="10">
        <v>564.0</v>
      </c>
      <c r="E1646" s="9" t="s">
        <v>1763</v>
      </c>
      <c r="F1646" s="11" t="s">
        <v>37</v>
      </c>
      <c r="G1646" s="39"/>
      <c r="H1646" s="13">
        <v>429.0</v>
      </c>
      <c r="I1646" s="14">
        <v>10.0</v>
      </c>
      <c r="J1646" s="46" t="s">
        <v>63</v>
      </c>
      <c r="K1646" s="59">
        <v>0.700000000000008</v>
      </c>
      <c r="L1646" s="17">
        <f t="shared" si="1"/>
        <v>7</v>
      </c>
      <c r="M1646" s="17">
        <f t="shared" si="2"/>
        <v>3</v>
      </c>
      <c r="N1646" s="18">
        <f t="shared" si="3"/>
        <v>300.3</v>
      </c>
      <c r="O1646" s="18">
        <f t="shared" si="4"/>
        <v>128.7</v>
      </c>
      <c r="P1646" s="18">
        <f t="shared" si="5"/>
        <v>128.7</v>
      </c>
      <c r="Q1646" s="8">
        <v>0.0</v>
      </c>
      <c r="R1646" s="18">
        <f t="shared" si="6"/>
        <v>42.9</v>
      </c>
      <c r="S1646" s="19" t="s">
        <v>29</v>
      </c>
      <c r="T1646" s="19" t="s">
        <v>30</v>
      </c>
      <c r="U1646" s="36" t="s">
        <v>1764</v>
      </c>
      <c r="V1646" s="37"/>
      <c r="W1646" s="7"/>
      <c r="X1646" s="7"/>
      <c r="Y1646" s="7"/>
      <c r="Z1646" s="7"/>
      <c r="AA1646" s="7"/>
    </row>
    <row r="1647" ht="18.75" customHeight="1">
      <c r="A1647" s="22" t="s">
        <v>1724</v>
      </c>
      <c r="B1647" s="23" t="s">
        <v>1757</v>
      </c>
      <c r="C1647" s="23" t="s">
        <v>150</v>
      </c>
      <c r="D1647" s="24">
        <v>565.0</v>
      </c>
      <c r="E1647" s="23" t="s">
        <v>1765</v>
      </c>
      <c r="F1647" s="25" t="s">
        <v>26</v>
      </c>
      <c r="G1647" s="26" t="s">
        <v>27</v>
      </c>
      <c r="H1647" s="56">
        <v>840.42</v>
      </c>
      <c r="I1647" s="28">
        <v>10.0</v>
      </c>
      <c r="J1647" s="29" t="s">
        <v>38</v>
      </c>
      <c r="K1647" s="30">
        <v>0.5</v>
      </c>
      <c r="L1647" s="31">
        <f t="shared" si="1"/>
        <v>5</v>
      </c>
      <c r="M1647" s="31">
        <f t="shared" si="2"/>
        <v>5</v>
      </c>
      <c r="N1647" s="32">
        <f t="shared" si="3"/>
        <v>420.21</v>
      </c>
      <c r="O1647" s="32">
        <f t="shared" si="4"/>
        <v>420.21</v>
      </c>
      <c r="P1647" s="32">
        <f t="shared" si="5"/>
        <v>420.21</v>
      </c>
      <c r="Q1647" s="22">
        <v>0.0</v>
      </c>
      <c r="R1647" s="32">
        <f t="shared" si="6"/>
        <v>84.042</v>
      </c>
      <c r="S1647" s="33" t="s">
        <v>29</v>
      </c>
      <c r="T1647" s="33" t="s">
        <v>30</v>
      </c>
      <c r="U1647" s="34" t="s">
        <v>102</v>
      </c>
      <c r="V1647" s="35"/>
      <c r="W1647" s="7"/>
      <c r="X1647" s="7"/>
      <c r="Y1647" s="7"/>
      <c r="Z1647" s="7"/>
      <c r="AA1647" s="7"/>
    </row>
    <row r="1648" ht="18.75" customHeight="1">
      <c r="A1648" s="8" t="s">
        <v>1724</v>
      </c>
      <c r="B1648" s="9" t="s">
        <v>1757</v>
      </c>
      <c r="C1648" s="9" t="s">
        <v>33</v>
      </c>
      <c r="D1648" s="10">
        <v>568.0</v>
      </c>
      <c r="E1648" s="9" t="s">
        <v>917</v>
      </c>
      <c r="F1648" s="11" t="s">
        <v>26</v>
      </c>
      <c r="G1648" s="12" t="s">
        <v>27</v>
      </c>
      <c r="H1648" s="13">
        <v>1389.99</v>
      </c>
      <c r="I1648" s="14">
        <v>5.0</v>
      </c>
      <c r="J1648" s="133" t="s">
        <v>54</v>
      </c>
      <c r="K1648" s="16">
        <v>0.3</v>
      </c>
      <c r="L1648" s="17">
        <f t="shared" si="1"/>
        <v>1.5</v>
      </c>
      <c r="M1648" s="17">
        <f t="shared" si="2"/>
        <v>3.5</v>
      </c>
      <c r="N1648" s="18">
        <f t="shared" si="3"/>
        <v>416.997</v>
      </c>
      <c r="O1648" s="18">
        <f t="shared" si="4"/>
        <v>972.993</v>
      </c>
      <c r="P1648" s="18">
        <f t="shared" si="5"/>
        <v>972.993</v>
      </c>
      <c r="Q1648" s="8">
        <v>0.0</v>
      </c>
      <c r="R1648" s="18">
        <f t="shared" si="6"/>
        <v>277.998</v>
      </c>
      <c r="S1648" s="19" t="s">
        <v>29</v>
      </c>
      <c r="T1648" s="19" t="s">
        <v>30</v>
      </c>
      <c r="U1648" s="20" t="s">
        <v>59</v>
      </c>
      <c r="V1648" s="37"/>
      <c r="W1648" s="7"/>
      <c r="X1648" s="7"/>
      <c r="Y1648" s="7"/>
      <c r="Z1648" s="7"/>
      <c r="AA1648" s="7"/>
    </row>
    <row r="1649" ht="18.75" customHeight="1">
      <c r="A1649" s="22" t="s">
        <v>1724</v>
      </c>
      <c r="B1649" s="23" t="s">
        <v>1757</v>
      </c>
      <c r="C1649" s="23" t="s">
        <v>61</v>
      </c>
      <c r="D1649" s="24">
        <v>573.0</v>
      </c>
      <c r="E1649" s="23" t="s">
        <v>1766</v>
      </c>
      <c r="F1649" s="25" t="s">
        <v>26</v>
      </c>
      <c r="G1649" s="26" t="s">
        <v>27</v>
      </c>
      <c r="H1649" s="27">
        <v>1436.79</v>
      </c>
      <c r="I1649" s="28">
        <v>10.0</v>
      </c>
      <c r="J1649" s="45" t="s">
        <v>63</v>
      </c>
      <c r="K1649" s="42">
        <v>0.700000000000008</v>
      </c>
      <c r="L1649" s="31">
        <f t="shared" si="1"/>
        <v>7</v>
      </c>
      <c r="M1649" s="31">
        <f t="shared" si="2"/>
        <v>3</v>
      </c>
      <c r="N1649" s="32">
        <f t="shared" si="3"/>
        <v>1005.753</v>
      </c>
      <c r="O1649" s="32">
        <f t="shared" si="4"/>
        <v>431.037</v>
      </c>
      <c r="P1649" s="32">
        <f t="shared" si="5"/>
        <v>431.037</v>
      </c>
      <c r="Q1649" s="22">
        <v>0.0</v>
      </c>
      <c r="R1649" s="32">
        <f t="shared" si="6"/>
        <v>143.679</v>
      </c>
      <c r="S1649" s="33" t="s">
        <v>29</v>
      </c>
      <c r="T1649" s="33" t="s">
        <v>30</v>
      </c>
      <c r="U1649" s="38" t="s">
        <v>1261</v>
      </c>
      <c r="V1649" s="35"/>
      <c r="W1649" s="7"/>
      <c r="X1649" s="7"/>
      <c r="Y1649" s="7"/>
      <c r="Z1649" s="7"/>
      <c r="AA1649" s="7"/>
    </row>
    <row r="1650" ht="18.75" customHeight="1">
      <c r="A1650" s="8" t="s">
        <v>1724</v>
      </c>
      <c r="B1650" s="9" t="s">
        <v>1757</v>
      </c>
      <c r="C1650" s="9" t="s">
        <v>61</v>
      </c>
      <c r="D1650" s="10">
        <v>574.0</v>
      </c>
      <c r="E1650" s="9" t="s">
        <v>1767</v>
      </c>
      <c r="F1650" s="11" t="s">
        <v>26</v>
      </c>
      <c r="G1650" s="12" t="s">
        <v>27</v>
      </c>
      <c r="H1650" s="13">
        <v>6583.2</v>
      </c>
      <c r="I1650" s="14">
        <v>10.0</v>
      </c>
      <c r="J1650" s="15" t="s">
        <v>38</v>
      </c>
      <c r="K1650" s="16">
        <v>0.5</v>
      </c>
      <c r="L1650" s="17">
        <f t="shared" si="1"/>
        <v>5</v>
      </c>
      <c r="M1650" s="17">
        <f t="shared" si="2"/>
        <v>5</v>
      </c>
      <c r="N1650" s="18">
        <f t="shared" si="3"/>
        <v>3291.6</v>
      </c>
      <c r="O1650" s="18">
        <f t="shared" si="4"/>
        <v>3291.6</v>
      </c>
      <c r="P1650" s="18">
        <f t="shared" si="5"/>
        <v>3291.6</v>
      </c>
      <c r="Q1650" s="8">
        <v>0.0</v>
      </c>
      <c r="R1650" s="18">
        <f t="shared" si="6"/>
        <v>658.32</v>
      </c>
      <c r="S1650" s="19" t="s">
        <v>29</v>
      </c>
      <c r="T1650" s="19" t="s">
        <v>30</v>
      </c>
      <c r="U1650" s="20" t="s">
        <v>312</v>
      </c>
      <c r="V1650" s="37"/>
      <c r="W1650" s="7"/>
      <c r="X1650" s="7"/>
      <c r="Y1650" s="7"/>
      <c r="Z1650" s="7"/>
      <c r="AA1650" s="7"/>
    </row>
    <row r="1651" ht="18.75" customHeight="1">
      <c r="A1651" s="22" t="s">
        <v>1724</v>
      </c>
      <c r="B1651" s="23" t="s">
        <v>1757</v>
      </c>
      <c r="C1651" s="23" t="s">
        <v>1768</v>
      </c>
      <c r="D1651" s="24">
        <v>576.0</v>
      </c>
      <c r="E1651" s="23" t="s">
        <v>1769</v>
      </c>
      <c r="F1651" s="25" t="s">
        <v>37</v>
      </c>
      <c r="G1651" s="40"/>
      <c r="H1651" s="27">
        <v>169.0</v>
      </c>
      <c r="I1651" s="28">
        <v>10.0</v>
      </c>
      <c r="J1651" s="29" t="s">
        <v>38</v>
      </c>
      <c r="K1651" s="30">
        <v>0.5</v>
      </c>
      <c r="L1651" s="31">
        <f t="shared" si="1"/>
        <v>5</v>
      </c>
      <c r="M1651" s="31">
        <f t="shared" si="2"/>
        <v>5</v>
      </c>
      <c r="N1651" s="32">
        <f t="shared" si="3"/>
        <v>84.5</v>
      </c>
      <c r="O1651" s="32">
        <f t="shared" si="4"/>
        <v>84.5</v>
      </c>
      <c r="P1651" s="32">
        <f t="shared" si="5"/>
        <v>84.5</v>
      </c>
      <c r="Q1651" s="22">
        <v>0.0</v>
      </c>
      <c r="R1651" s="32">
        <f t="shared" si="6"/>
        <v>16.9</v>
      </c>
      <c r="S1651" s="33" t="s">
        <v>29</v>
      </c>
      <c r="T1651" s="33" t="s">
        <v>30</v>
      </c>
      <c r="U1651" s="38" t="s">
        <v>1770</v>
      </c>
      <c r="V1651" s="35"/>
      <c r="W1651" s="7"/>
      <c r="X1651" s="7"/>
      <c r="Y1651" s="7"/>
      <c r="Z1651" s="7"/>
      <c r="AA1651" s="7"/>
    </row>
    <row r="1652" ht="18.75" customHeight="1">
      <c r="A1652" s="8" t="s">
        <v>1724</v>
      </c>
      <c r="B1652" s="9" t="s">
        <v>23</v>
      </c>
      <c r="C1652" s="9" t="s">
        <v>24</v>
      </c>
      <c r="D1652" s="10">
        <v>579.0</v>
      </c>
      <c r="E1652" s="9" t="s">
        <v>1771</v>
      </c>
      <c r="F1652" s="11" t="s">
        <v>26</v>
      </c>
      <c r="G1652" s="12" t="s">
        <v>27</v>
      </c>
      <c r="H1652" s="13">
        <v>2563.29</v>
      </c>
      <c r="I1652" s="14">
        <v>5.0</v>
      </c>
      <c r="J1652" s="15" t="s">
        <v>154</v>
      </c>
      <c r="K1652" s="16">
        <v>0.8</v>
      </c>
      <c r="L1652" s="17">
        <f t="shared" si="1"/>
        <v>4</v>
      </c>
      <c r="M1652" s="17">
        <f t="shared" si="2"/>
        <v>1</v>
      </c>
      <c r="N1652" s="18">
        <f t="shared" si="3"/>
        <v>2050.632</v>
      </c>
      <c r="O1652" s="18">
        <f t="shared" si="4"/>
        <v>512.658</v>
      </c>
      <c r="P1652" s="18">
        <f t="shared" si="5"/>
        <v>512.658</v>
      </c>
      <c r="Q1652" s="8">
        <v>0.0</v>
      </c>
      <c r="R1652" s="18">
        <f t="shared" si="6"/>
        <v>512.658</v>
      </c>
      <c r="S1652" s="19" t="s">
        <v>29</v>
      </c>
      <c r="T1652" s="19" t="s">
        <v>30</v>
      </c>
      <c r="U1652" s="20" t="s">
        <v>1751</v>
      </c>
      <c r="V1652" s="37"/>
      <c r="W1652" s="7"/>
      <c r="X1652" s="7"/>
      <c r="Y1652" s="7"/>
      <c r="Z1652" s="7"/>
      <c r="AA1652" s="7"/>
    </row>
    <row r="1653" ht="18.75" customHeight="1">
      <c r="A1653" s="22" t="s">
        <v>1724</v>
      </c>
      <c r="B1653" s="23" t="s">
        <v>1757</v>
      </c>
      <c r="C1653" s="23" t="s">
        <v>33</v>
      </c>
      <c r="D1653" s="24">
        <v>581.0</v>
      </c>
      <c r="E1653" s="23" t="s">
        <v>1772</v>
      </c>
      <c r="F1653" s="25" t="s">
        <v>37</v>
      </c>
      <c r="G1653" s="40"/>
      <c r="H1653" s="104">
        <v>314.99</v>
      </c>
      <c r="I1653" s="28">
        <v>10.0</v>
      </c>
      <c r="J1653" s="29" t="s">
        <v>38</v>
      </c>
      <c r="K1653" s="30">
        <v>0.5</v>
      </c>
      <c r="L1653" s="31">
        <f t="shared" si="1"/>
        <v>5</v>
      </c>
      <c r="M1653" s="31">
        <f t="shared" si="2"/>
        <v>5</v>
      </c>
      <c r="N1653" s="32">
        <f t="shared" si="3"/>
        <v>157.495</v>
      </c>
      <c r="O1653" s="32">
        <f t="shared" si="4"/>
        <v>157.495</v>
      </c>
      <c r="P1653" s="32">
        <f t="shared" si="5"/>
        <v>157.495</v>
      </c>
      <c r="Q1653" s="22">
        <v>0.0</v>
      </c>
      <c r="R1653" s="32">
        <f t="shared" si="6"/>
        <v>31.499</v>
      </c>
      <c r="S1653" s="33" t="s">
        <v>29</v>
      </c>
      <c r="T1653" s="33" t="s">
        <v>30</v>
      </c>
      <c r="U1653" s="74" t="s">
        <v>64</v>
      </c>
      <c r="V1653" s="35"/>
      <c r="W1653" s="7"/>
      <c r="X1653" s="7"/>
      <c r="Y1653" s="7"/>
      <c r="Z1653" s="7"/>
      <c r="AA1653" s="7"/>
    </row>
    <row r="1654" ht="18.75" customHeight="1">
      <c r="A1654" s="8" t="s">
        <v>1724</v>
      </c>
      <c r="B1654" s="9" t="s">
        <v>1757</v>
      </c>
      <c r="C1654" s="9" t="s">
        <v>33</v>
      </c>
      <c r="D1654" s="10">
        <v>582.0</v>
      </c>
      <c r="E1654" s="9" t="s">
        <v>1772</v>
      </c>
      <c r="F1654" s="11" t="s">
        <v>37</v>
      </c>
      <c r="G1654" s="39"/>
      <c r="H1654" s="43">
        <v>314.99</v>
      </c>
      <c r="I1654" s="14">
        <v>10.0</v>
      </c>
      <c r="J1654" s="15" t="s">
        <v>154</v>
      </c>
      <c r="K1654" s="16">
        <v>0.8</v>
      </c>
      <c r="L1654" s="17">
        <f t="shared" si="1"/>
        <v>8</v>
      </c>
      <c r="M1654" s="17">
        <f t="shared" si="2"/>
        <v>2</v>
      </c>
      <c r="N1654" s="18">
        <f t="shared" si="3"/>
        <v>251.992</v>
      </c>
      <c r="O1654" s="18">
        <f t="shared" si="4"/>
        <v>62.998</v>
      </c>
      <c r="P1654" s="18">
        <f t="shared" si="5"/>
        <v>62.998</v>
      </c>
      <c r="Q1654" s="8">
        <v>0.0</v>
      </c>
      <c r="R1654" s="18">
        <f t="shared" si="6"/>
        <v>31.499</v>
      </c>
      <c r="S1654" s="19" t="s">
        <v>29</v>
      </c>
      <c r="T1654" s="19" t="s">
        <v>30</v>
      </c>
      <c r="U1654" s="44" t="s">
        <v>64</v>
      </c>
      <c r="V1654" s="37"/>
      <c r="W1654" s="7"/>
      <c r="X1654" s="7"/>
      <c r="Y1654" s="7"/>
      <c r="Z1654" s="7"/>
      <c r="AA1654" s="7"/>
    </row>
    <row r="1655" ht="18.75" customHeight="1">
      <c r="A1655" s="22" t="s">
        <v>1724</v>
      </c>
      <c r="B1655" s="23" t="s">
        <v>1757</v>
      </c>
      <c r="C1655" s="23" t="s">
        <v>33</v>
      </c>
      <c r="D1655" s="24">
        <v>583.0</v>
      </c>
      <c r="E1655" s="23" t="s">
        <v>1773</v>
      </c>
      <c r="F1655" s="25" t="s">
        <v>37</v>
      </c>
      <c r="G1655" s="26" t="s">
        <v>27</v>
      </c>
      <c r="H1655" s="27">
        <v>431.07</v>
      </c>
      <c r="I1655" s="28">
        <v>10.0</v>
      </c>
      <c r="J1655" s="135" t="s">
        <v>54</v>
      </c>
      <c r="K1655" s="30">
        <v>0.3</v>
      </c>
      <c r="L1655" s="31">
        <f t="shared" si="1"/>
        <v>3</v>
      </c>
      <c r="M1655" s="31">
        <f t="shared" si="2"/>
        <v>7</v>
      </c>
      <c r="N1655" s="32">
        <f t="shared" si="3"/>
        <v>129.321</v>
      </c>
      <c r="O1655" s="32">
        <f t="shared" si="4"/>
        <v>301.749</v>
      </c>
      <c r="P1655" s="32">
        <f t="shared" si="5"/>
        <v>301.749</v>
      </c>
      <c r="Q1655" s="22">
        <v>0.0</v>
      </c>
      <c r="R1655" s="32">
        <f t="shared" si="6"/>
        <v>43.107</v>
      </c>
      <c r="S1655" s="33" t="s">
        <v>29</v>
      </c>
      <c r="T1655" s="33" t="s">
        <v>30</v>
      </c>
      <c r="U1655" s="34" t="s">
        <v>912</v>
      </c>
      <c r="V1655" s="35"/>
      <c r="W1655" s="7"/>
      <c r="X1655" s="7"/>
      <c r="Y1655" s="7"/>
      <c r="Z1655" s="7"/>
      <c r="AA1655" s="7"/>
    </row>
    <row r="1656" ht="18.75" customHeight="1">
      <c r="A1656" s="8" t="s">
        <v>1724</v>
      </c>
      <c r="B1656" s="9" t="s">
        <v>1757</v>
      </c>
      <c r="C1656" s="9" t="s">
        <v>33</v>
      </c>
      <c r="D1656" s="10">
        <v>587.0</v>
      </c>
      <c r="E1656" s="9" t="s">
        <v>1774</v>
      </c>
      <c r="F1656" s="11" t="s">
        <v>26</v>
      </c>
      <c r="G1656" s="12" t="s">
        <v>27</v>
      </c>
      <c r="H1656" s="13">
        <v>785.82</v>
      </c>
      <c r="I1656" s="14">
        <v>10.0</v>
      </c>
      <c r="J1656" s="15" t="s">
        <v>38</v>
      </c>
      <c r="K1656" s="16">
        <v>0.5</v>
      </c>
      <c r="L1656" s="17">
        <f t="shared" si="1"/>
        <v>5</v>
      </c>
      <c r="M1656" s="17">
        <f t="shared" si="2"/>
        <v>5</v>
      </c>
      <c r="N1656" s="18">
        <f t="shared" si="3"/>
        <v>392.91</v>
      </c>
      <c r="O1656" s="18">
        <f t="shared" si="4"/>
        <v>392.91</v>
      </c>
      <c r="P1656" s="18">
        <f t="shared" si="5"/>
        <v>392.91</v>
      </c>
      <c r="Q1656" s="8">
        <v>0.0</v>
      </c>
      <c r="R1656" s="18">
        <f t="shared" si="6"/>
        <v>78.582</v>
      </c>
      <c r="S1656" s="19" t="s">
        <v>29</v>
      </c>
      <c r="T1656" s="19" t="s">
        <v>30</v>
      </c>
      <c r="U1656" s="20" t="s">
        <v>220</v>
      </c>
      <c r="V1656" s="37"/>
      <c r="W1656" s="7"/>
      <c r="X1656" s="7"/>
      <c r="Y1656" s="7"/>
      <c r="Z1656" s="7"/>
      <c r="AA1656" s="7"/>
    </row>
    <row r="1657" ht="18.75" customHeight="1">
      <c r="A1657" s="22" t="s">
        <v>1724</v>
      </c>
      <c r="B1657" s="23" t="s">
        <v>1757</v>
      </c>
      <c r="C1657" s="23" t="s">
        <v>145</v>
      </c>
      <c r="D1657" s="24">
        <v>589.0</v>
      </c>
      <c r="E1657" s="23" t="s">
        <v>1775</v>
      </c>
      <c r="F1657" s="25" t="s">
        <v>37</v>
      </c>
      <c r="G1657" s="26" t="s">
        <v>27</v>
      </c>
      <c r="H1657" s="27">
        <v>529.0</v>
      </c>
      <c r="I1657" s="28">
        <v>10.0</v>
      </c>
      <c r="J1657" s="135" t="s">
        <v>54</v>
      </c>
      <c r="K1657" s="30">
        <v>0.3</v>
      </c>
      <c r="L1657" s="31">
        <f t="shared" si="1"/>
        <v>3</v>
      </c>
      <c r="M1657" s="31">
        <f t="shared" si="2"/>
        <v>7</v>
      </c>
      <c r="N1657" s="32">
        <f t="shared" si="3"/>
        <v>158.7</v>
      </c>
      <c r="O1657" s="32">
        <f t="shared" si="4"/>
        <v>370.3</v>
      </c>
      <c r="P1657" s="32">
        <f t="shared" si="5"/>
        <v>370.3</v>
      </c>
      <c r="Q1657" s="22">
        <v>0.0</v>
      </c>
      <c r="R1657" s="32">
        <f t="shared" si="6"/>
        <v>52.9</v>
      </c>
      <c r="S1657" s="33" t="s">
        <v>29</v>
      </c>
      <c r="T1657" s="33" t="s">
        <v>30</v>
      </c>
      <c r="U1657" s="34" t="s">
        <v>275</v>
      </c>
      <c r="V1657" s="35"/>
      <c r="W1657" s="7"/>
      <c r="X1657" s="7"/>
      <c r="Y1657" s="7"/>
      <c r="Z1657" s="7"/>
      <c r="AA1657" s="7"/>
    </row>
    <row r="1658" ht="18.75" customHeight="1">
      <c r="A1658" s="8" t="s">
        <v>1724</v>
      </c>
      <c r="B1658" s="9" t="s">
        <v>1757</v>
      </c>
      <c r="C1658" s="9" t="s">
        <v>1759</v>
      </c>
      <c r="D1658" s="10">
        <v>590.0</v>
      </c>
      <c r="E1658" s="9" t="s">
        <v>1584</v>
      </c>
      <c r="F1658" s="11" t="s">
        <v>26</v>
      </c>
      <c r="G1658" s="12" t="s">
        <v>27</v>
      </c>
      <c r="H1658" s="13">
        <v>1741.5</v>
      </c>
      <c r="I1658" s="14">
        <v>5.0</v>
      </c>
      <c r="J1658" s="15" t="s">
        <v>38</v>
      </c>
      <c r="K1658" s="16">
        <v>0.5</v>
      </c>
      <c r="L1658" s="17">
        <f t="shared" si="1"/>
        <v>2.5</v>
      </c>
      <c r="M1658" s="17">
        <f t="shared" si="2"/>
        <v>2.5</v>
      </c>
      <c r="N1658" s="18">
        <f t="shared" si="3"/>
        <v>870.75</v>
      </c>
      <c r="O1658" s="18">
        <f t="shared" si="4"/>
        <v>870.75</v>
      </c>
      <c r="P1658" s="18">
        <f t="shared" si="5"/>
        <v>870.75</v>
      </c>
      <c r="Q1658" s="8">
        <v>0.0</v>
      </c>
      <c r="R1658" s="18">
        <f t="shared" si="6"/>
        <v>348.3</v>
      </c>
      <c r="S1658" s="19" t="s">
        <v>29</v>
      </c>
      <c r="T1658" s="19" t="s">
        <v>30</v>
      </c>
      <c r="U1658" s="20" t="s">
        <v>700</v>
      </c>
      <c r="V1658" s="37"/>
      <c r="W1658" s="7"/>
      <c r="X1658" s="7"/>
      <c r="Y1658" s="7"/>
      <c r="Z1658" s="7"/>
      <c r="AA1658" s="7"/>
    </row>
    <row r="1659" ht="18.75" customHeight="1">
      <c r="A1659" s="22" t="s">
        <v>1724</v>
      </c>
      <c r="B1659" s="23" t="s">
        <v>1757</v>
      </c>
      <c r="C1659" s="23" t="s">
        <v>145</v>
      </c>
      <c r="D1659" s="24">
        <v>593.0</v>
      </c>
      <c r="E1659" s="23" t="s">
        <v>1776</v>
      </c>
      <c r="F1659" s="25" t="s">
        <v>37</v>
      </c>
      <c r="G1659" s="26" t="s">
        <v>27</v>
      </c>
      <c r="H1659" s="27">
        <v>1647.58</v>
      </c>
      <c r="I1659" s="28">
        <v>15.0</v>
      </c>
      <c r="J1659" s="29" t="s">
        <v>38</v>
      </c>
      <c r="K1659" s="30">
        <v>0.5</v>
      </c>
      <c r="L1659" s="31">
        <f t="shared" si="1"/>
        <v>7.5</v>
      </c>
      <c r="M1659" s="31">
        <f t="shared" si="2"/>
        <v>7.5</v>
      </c>
      <c r="N1659" s="32">
        <f t="shared" si="3"/>
        <v>823.79</v>
      </c>
      <c r="O1659" s="32">
        <f t="shared" si="4"/>
        <v>823.79</v>
      </c>
      <c r="P1659" s="32">
        <f t="shared" si="5"/>
        <v>823.79</v>
      </c>
      <c r="Q1659" s="22">
        <v>0.0</v>
      </c>
      <c r="R1659" s="32">
        <f t="shared" si="6"/>
        <v>109.8386667</v>
      </c>
      <c r="S1659" s="33" t="s">
        <v>29</v>
      </c>
      <c r="T1659" s="33" t="s">
        <v>30</v>
      </c>
      <c r="U1659" s="34" t="s">
        <v>325</v>
      </c>
      <c r="V1659" s="35"/>
      <c r="W1659" s="7"/>
      <c r="X1659" s="7"/>
      <c r="Y1659" s="7"/>
      <c r="Z1659" s="7"/>
      <c r="AA1659" s="7"/>
    </row>
    <row r="1660" ht="18.75" customHeight="1">
      <c r="A1660" s="8" t="s">
        <v>1724</v>
      </c>
      <c r="B1660" s="9" t="s">
        <v>1757</v>
      </c>
      <c r="C1660" s="9" t="s">
        <v>145</v>
      </c>
      <c r="D1660" s="10">
        <v>594.0</v>
      </c>
      <c r="E1660" s="9" t="s">
        <v>1777</v>
      </c>
      <c r="F1660" s="11" t="s">
        <v>26</v>
      </c>
      <c r="G1660" s="12" t="s">
        <v>27</v>
      </c>
      <c r="H1660" s="13">
        <v>1351.57</v>
      </c>
      <c r="I1660" s="14">
        <v>10.0</v>
      </c>
      <c r="J1660" s="15" t="s">
        <v>38</v>
      </c>
      <c r="K1660" s="16">
        <v>0.5</v>
      </c>
      <c r="L1660" s="17">
        <f t="shared" si="1"/>
        <v>5</v>
      </c>
      <c r="M1660" s="17">
        <f t="shared" si="2"/>
        <v>5</v>
      </c>
      <c r="N1660" s="18">
        <f t="shared" si="3"/>
        <v>675.785</v>
      </c>
      <c r="O1660" s="18">
        <f t="shared" si="4"/>
        <v>675.785</v>
      </c>
      <c r="P1660" s="18">
        <f t="shared" si="5"/>
        <v>675.785</v>
      </c>
      <c r="Q1660" s="8">
        <v>0.0</v>
      </c>
      <c r="R1660" s="18">
        <f t="shared" si="6"/>
        <v>135.157</v>
      </c>
      <c r="S1660" s="19" t="s">
        <v>29</v>
      </c>
      <c r="T1660" s="19" t="s">
        <v>30</v>
      </c>
      <c r="U1660" s="20" t="s">
        <v>41</v>
      </c>
      <c r="V1660" s="37"/>
      <c r="W1660" s="7"/>
      <c r="X1660" s="7"/>
      <c r="Y1660" s="7"/>
      <c r="Z1660" s="7"/>
      <c r="AA1660" s="7"/>
    </row>
    <row r="1661" ht="18.75" customHeight="1">
      <c r="A1661" s="22" t="s">
        <v>1724</v>
      </c>
      <c r="B1661" s="23" t="s">
        <v>1757</v>
      </c>
      <c r="C1661" s="23" t="s">
        <v>145</v>
      </c>
      <c r="D1661" s="24">
        <v>595.0</v>
      </c>
      <c r="E1661" s="23" t="s">
        <v>524</v>
      </c>
      <c r="F1661" s="25" t="s">
        <v>26</v>
      </c>
      <c r="G1661" s="26" t="s">
        <v>27</v>
      </c>
      <c r="H1661" s="27">
        <v>1897.0</v>
      </c>
      <c r="I1661" s="28">
        <v>10.0</v>
      </c>
      <c r="J1661" s="29" t="s">
        <v>38</v>
      </c>
      <c r="K1661" s="30">
        <v>0.5</v>
      </c>
      <c r="L1661" s="31">
        <f t="shared" si="1"/>
        <v>5</v>
      </c>
      <c r="M1661" s="31">
        <f t="shared" si="2"/>
        <v>5</v>
      </c>
      <c r="N1661" s="32">
        <f t="shared" si="3"/>
        <v>948.5</v>
      </c>
      <c r="O1661" s="32">
        <f t="shared" si="4"/>
        <v>948.5</v>
      </c>
      <c r="P1661" s="32">
        <f t="shared" si="5"/>
        <v>948.5</v>
      </c>
      <c r="Q1661" s="22">
        <v>0.0</v>
      </c>
      <c r="R1661" s="32">
        <f t="shared" si="6"/>
        <v>189.7</v>
      </c>
      <c r="S1661" s="33" t="s">
        <v>29</v>
      </c>
      <c r="T1661" s="33" t="s">
        <v>30</v>
      </c>
      <c r="U1661" s="34" t="s">
        <v>43</v>
      </c>
      <c r="V1661" s="35"/>
      <c r="W1661" s="7"/>
      <c r="X1661" s="7"/>
      <c r="Y1661" s="7"/>
      <c r="Z1661" s="7"/>
      <c r="AA1661" s="7"/>
    </row>
    <row r="1662" ht="18.75" customHeight="1">
      <c r="A1662" s="8" t="s">
        <v>1724</v>
      </c>
      <c r="B1662" s="9" t="s">
        <v>1757</v>
      </c>
      <c r="C1662" s="9" t="s">
        <v>145</v>
      </c>
      <c r="D1662" s="10">
        <v>596.0</v>
      </c>
      <c r="E1662" s="9" t="s">
        <v>692</v>
      </c>
      <c r="F1662" s="11" t="s">
        <v>26</v>
      </c>
      <c r="G1662" s="12" t="s">
        <v>27</v>
      </c>
      <c r="H1662" s="13">
        <v>2338.0</v>
      </c>
      <c r="I1662" s="14">
        <v>10.0</v>
      </c>
      <c r="J1662" s="15" t="s">
        <v>38</v>
      </c>
      <c r="K1662" s="16">
        <v>0.5</v>
      </c>
      <c r="L1662" s="17">
        <f t="shared" si="1"/>
        <v>5</v>
      </c>
      <c r="M1662" s="17">
        <f t="shared" si="2"/>
        <v>5</v>
      </c>
      <c r="N1662" s="18">
        <f t="shared" si="3"/>
        <v>1169</v>
      </c>
      <c r="O1662" s="18">
        <f t="shared" si="4"/>
        <v>1169</v>
      </c>
      <c r="P1662" s="18">
        <f t="shared" si="5"/>
        <v>1169</v>
      </c>
      <c r="Q1662" s="8">
        <v>0.0</v>
      </c>
      <c r="R1662" s="18">
        <f t="shared" si="6"/>
        <v>233.8</v>
      </c>
      <c r="S1662" s="19" t="s">
        <v>29</v>
      </c>
      <c r="T1662" s="19" t="s">
        <v>30</v>
      </c>
      <c r="U1662" s="36" t="s">
        <v>45</v>
      </c>
      <c r="V1662" s="37"/>
      <c r="W1662" s="7"/>
      <c r="X1662" s="7"/>
      <c r="Y1662" s="7"/>
      <c r="Z1662" s="7"/>
      <c r="AA1662" s="7"/>
    </row>
    <row r="1663" ht="18.75" customHeight="1">
      <c r="A1663" s="22" t="s">
        <v>1724</v>
      </c>
      <c r="B1663" s="23" t="s">
        <v>1757</v>
      </c>
      <c r="C1663" s="23" t="s">
        <v>145</v>
      </c>
      <c r="D1663" s="24">
        <v>597.0</v>
      </c>
      <c r="E1663" s="23" t="s">
        <v>1778</v>
      </c>
      <c r="F1663" s="25" t="s">
        <v>26</v>
      </c>
      <c r="G1663" s="26" t="s">
        <v>27</v>
      </c>
      <c r="H1663" s="27">
        <v>22652.48</v>
      </c>
      <c r="I1663" s="28">
        <v>10.0</v>
      </c>
      <c r="J1663" s="29" t="s">
        <v>38</v>
      </c>
      <c r="K1663" s="30">
        <v>0.5</v>
      </c>
      <c r="L1663" s="31">
        <f t="shared" si="1"/>
        <v>5</v>
      </c>
      <c r="M1663" s="31">
        <f t="shared" si="2"/>
        <v>5</v>
      </c>
      <c r="N1663" s="32">
        <f t="shared" si="3"/>
        <v>11326.24</v>
      </c>
      <c r="O1663" s="32">
        <f t="shared" si="4"/>
        <v>11326.24</v>
      </c>
      <c r="P1663" s="32">
        <f t="shared" si="5"/>
        <v>11326.24</v>
      </c>
      <c r="Q1663" s="22">
        <v>0.0</v>
      </c>
      <c r="R1663" s="32">
        <f t="shared" si="6"/>
        <v>2265.248</v>
      </c>
      <c r="S1663" s="33" t="s">
        <v>29</v>
      </c>
      <c r="T1663" s="33" t="s">
        <v>30</v>
      </c>
      <c r="U1663" s="34" t="s">
        <v>50</v>
      </c>
      <c r="V1663" s="35"/>
      <c r="W1663" s="7"/>
      <c r="X1663" s="7"/>
      <c r="Y1663" s="7"/>
      <c r="Z1663" s="7"/>
      <c r="AA1663" s="7"/>
    </row>
    <row r="1664" ht="18.75" customHeight="1">
      <c r="A1664" s="8" t="s">
        <v>1724</v>
      </c>
      <c r="B1664" s="9" t="s">
        <v>1757</v>
      </c>
      <c r="C1664" s="9" t="s">
        <v>150</v>
      </c>
      <c r="D1664" s="137">
        <v>598.0</v>
      </c>
      <c r="E1664" s="52" t="s">
        <v>523</v>
      </c>
      <c r="F1664" s="11" t="s">
        <v>37</v>
      </c>
      <c r="G1664" s="138" t="s">
        <v>27</v>
      </c>
      <c r="H1664" s="139">
        <v>469.2</v>
      </c>
      <c r="I1664" s="14">
        <v>10.0</v>
      </c>
      <c r="J1664" s="15" t="s">
        <v>38</v>
      </c>
      <c r="K1664" s="16">
        <v>0.5</v>
      </c>
      <c r="L1664" s="140">
        <v>5.0</v>
      </c>
      <c r="M1664" s="17">
        <f t="shared" si="2"/>
        <v>5</v>
      </c>
      <c r="N1664" s="18">
        <f t="shared" si="3"/>
        <v>234.6</v>
      </c>
      <c r="O1664" s="18">
        <f t="shared" si="4"/>
        <v>234.6</v>
      </c>
      <c r="P1664" s="18">
        <f t="shared" si="5"/>
        <v>234.6</v>
      </c>
      <c r="Q1664" s="8">
        <v>0.0</v>
      </c>
      <c r="R1664" s="18">
        <f t="shared" si="6"/>
        <v>46.92</v>
      </c>
      <c r="S1664" s="19" t="s">
        <v>29</v>
      </c>
      <c r="T1664" s="19" t="s">
        <v>30</v>
      </c>
      <c r="U1664" s="141" t="s">
        <v>52</v>
      </c>
      <c r="V1664" s="142"/>
      <c r="W1664" s="143"/>
      <c r="X1664" s="143"/>
      <c r="Y1664" s="143"/>
      <c r="Z1664" s="143"/>
      <c r="AA1664" s="143"/>
    </row>
    <row r="1665" ht="18.75" customHeight="1">
      <c r="A1665" s="22" t="s">
        <v>1724</v>
      </c>
      <c r="B1665" s="23" t="s">
        <v>1757</v>
      </c>
      <c r="C1665" s="23" t="s">
        <v>145</v>
      </c>
      <c r="D1665" s="24">
        <v>600.0</v>
      </c>
      <c r="E1665" s="23" t="s">
        <v>1763</v>
      </c>
      <c r="F1665" s="25" t="s">
        <v>37</v>
      </c>
      <c r="G1665" s="40"/>
      <c r="H1665" s="27">
        <v>429.0</v>
      </c>
      <c r="I1665" s="28">
        <v>10.0</v>
      </c>
      <c r="J1665" s="29" t="s">
        <v>154</v>
      </c>
      <c r="K1665" s="30">
        <v>0.8</v>
      </c>
      <c r="L1665" s="31">
        <f t="shared" ref="L1665:L1989" si="7">SUM(I1665*K1665)</f>
        <v>8</v>
      </c>
      <c r="M1665" s="31">
        <f t="shared" si="2"/>
        <v>2</v>
      </c>
      <c r="N1665" s="32">
        <f t="shared" si="3"/>
        <v>343.2</v>
      </c>
      <c r="O1665" s="32">
        <f t="shared" si="4"/>
        <v>85.8</v>
      </c>
      <c r="P1665" s="32">
        <f t="shared" si="5"/>
        <v>85.8</v>
      </c>
      <c r="Q1665" s="22">
        <v>0.0</v>
      </c>
      <c r="R1665" s="32">
        <f t="shared" si="6"/>
        <v>42.9</v>
      </c>
      <c r="S1665" s="33" t="s">
        <v>29</v>
      </c>
      <c r="T1665" s="33" t="s">
        <v>30</v>
      </c>
      <c r="U1665" s="38" t="s">
        <v>1764</v>
      </c>
      <c r="V1665" s="35"/>
      <c r="W1665" s="7"/>
      <c r="X1665" s="7"/>
      <c r="Y1665" s="7"/>
      <c r="Z1665" s="7"/>
      <c r="AA1665" s="7"/>
    </row>
    <row r="1666" ht="18.75" customHeight="1">
      <c r="A1666" s="8" t="s">
        <v>1724</v>
      </c>
      <c r="B1666" s="9" t="s">
        <v>1757</v>
      </c>
      <c r="C1666" s="9" t="s">
        <v>1759</v>
      </c>
      <c r="D1666" s="10">
        <v>602.0</v>
      </c>
      <c r="E1666" s="9" t="s">
        <v>1779</v>
      </c>
      <c r="F1666" s="11" t="s">
        <v>37</v>
      </c>
      <c r="G1666" s="39"/>
      <c r="H1666" s="43">
        <v>457.83</v>
      </c>
      <c r="I1666" s="14">
        <v>10.0</v>
      </c>
      <c r="J1666" s="15" t="s">
        <v>38</v>
      </c>
      <c r="K1666" s="16">
        <v>0.5</v>
      </c>
      <c r="L1666" s="17">
        <f t="shared" si="7"/>
        <v>5</v>
      </c>
      <c r="M1666" s="17">
        <f t="shared" si="2"/>
        <v>5</v>
      </c>
      <c r="N1666" s="18">
        <f t="shared" si="3"/>
        <v>228.915</v>
      </c>
      <c r="O1666" s="18">
        <f t="shared" si="4"/>
        <v>228.915</v>
      </c>
      <c r="P1666" s="18">
        <f t="shared" si="5"/>
        <v>228.915</v>
      </c>
      <c r="Q1666" s="8">
        <v>0.0</v>
      </c>
      <c r="R1666" s="18">
        <f t="shared" si="6"/>
        <v>45.783</v>
      </c>
      <c r="S1666" s="19" t="s">
        <v>29</v>
      </c>
      <c r="T1666" s="19" t="s">
        <v>30</v>
      </c>
      <c r="U1666" s="47" t="s">
        <v>389</v>
      </c>
      <c r="V1666" s="37"/>
      <c r="W1666" s="7"/>
      <c r="X1666" s="7"/>
      <c r="Y1666" s="7"/>
      <c r="Z1666" s="7"/>
      <c r="AA1666" s="7"/>
    </row>
    <row r="1667" ht="18.75" customHeight="1">
      <c r="A1667" s="22" t="s">
        <v>1724</v>
      </c>
      <c r="B1667" s="23" t="s">
        <v>1757</v>
      </c>
      <c r="C1667" s="23" t="s">
        <v>1759</v>
      </c>
      <c r="D1667" s="24">
        <v>603.0</v>
      </c>
      <c r="E1667" s="23" t="s">
        <v>1780</v>
      </c>
      <c r="F1667" s="25" t="s">
        <v>37</v>
      </c>
      <c r="G1667" s="26" t="s">
        <v>27</v>
      </c>
      <c r="H1667" s="27">
        <v>529.0</v>
      </c>
      <c r="I1667" s="28">
        <v>10.0</v>
      </c>
      <c r="J1667" s="133" t="s">
        <v>54</v>
      </c>
      <c r="K1667" s="30">
        <v>0.3</v>
      </c>
      <c r="L1667" s="31">
        <f t="shared" si="7"/>
        <v>3</v>
      </c>
      <c r="M1667" s="31">
        <f t="shared" si="2"/>
        <v>7</v>
      </c>
      <c r="N1667" s="32">
        <f t="shared" si="3"/>
        <v>158.7</v>
      </c>
      <c r="O1667" s="32">
        <f t="shared" si="4"/>
        <v>370.3</v>
      </c>
      <c r="P1667" s="32">
        <f t="shared" si="5"/>
        <v>370.3</v>
      </c>
      <c r="Q1667" s="22">
        <v>0.0</v>
      </c>
      <c r="R1667" s="32">
        <f t="shared" si="6"/>
        <v>52.9</v>
      </c>
      <c r="S1667" s="33" t="s">
        <v>29</v>
      </c>
      <c r="T1667" s="33" t="s">
        <v>30</v>
      </c>
      <c r="U1667" s="34" t="s">
        <v>275</v>
      </c>
      <c r="V1667" s="35"/>
      <c r="W1667" s="7"/>
      <c r="X1667" s="7"/>
      <c r="Y1667" s="7"/>
      <c r="Z1667" s="7"/>
      <c r="AA1667" s="7"/>
    </row>
    <row r="1668" ht="18.75" customHeight="1">
      <c r="A1668" s="8" t="s">
        <v>1724</v>
      </c>
      <c r="B1668" s="9" t="s">
        <v>1757</v>
      </c>
      <c r="C1668" s="9" t="s">
        <v>1759</v>
      </c>
      <c r="D1668" s="10">
        <v>605.0</v>
      </c>
      <c r="E1668" s="9" t="s">
        <v>1781</v>
      </c>
      <c r="F1668" s="11" t="s">
        <v>26</v>
      </c>
      <c r="G1668" s="39"/>
      <c r="H1668" s="13">
        <v>4899.9</v>
      </c>
      <c r="I1668" s="14">
        <v>5.0</v>
      </c>
      <c r="J1668" s="15" t="s">
        <v>38</v>
      </c>
      <c r="K1668" s="16">
        <v>0.5</v>
      </c>
      <c r="L1668" s="17">
        <f t="shared" si="7"/>
        <v>2.5</v>
      </c>
      <c r="M1668" s="17">
        <f t="shared" si="2"/>
        <v>2.5</v>
      </c>
      <c r="N1668" s="18">
        <f t="shared" si="3"/>
        <v>2449.95</v>
      </c>
      <c r="O1668" s="18">
        <f t="shared" si="4"/>
        <v>2449.95</v>
      </c>
      <c r="P1668" s="18">
        <f t="shared" si="5"/>
        <v>2449.95</v>
      </c>
      <c r="Q1668" s="8">
        <v>0.0</v>
      </c>
      <c r="R1668" s="18">
        <f t="shared" si="6"/>
        <v>979.98</v>
      </c>
      <c r="S1668" s="19" t="s">
        <v>29</v>
      </c>
      <c r="T1668" s="19" t="s">
        <v>30</v>
      </c>
      <c r="U1668" s="20" t="s">
        <v>67</v>
      </c>
      <c r="V1668" s="37"/>
      <c r="W1668" s="7"/>
      <c r="X1668" s="7"/>
      <c r="Y1668" s="7"/>
      <c r="Z1668" s="7"/>
      <c r="AA1668" s="7"/>
    </row>
    <row r="1669" ht="18.75" customHeight="1">
      <c r="A1669" s="22" t="s">
        <v>1724</v>
      </c>
      <c r="B1669" s="23" t="s">
        <v>1757</v>
      </c>
      <c r="C1669" s="23" t="s">
        <v>1759</v>
      </c>
      <c r="D1669" s="24">
        <v>607.0</v>
      </c>
      <c r="E1669" s="23" t="s">
        <v>692</v>
      </c>
      <c r="F1669" s="25" t="s">
        <v>26</v>
      </c>
      <c r="G1669" s="26" t="s">
        <v>27</v>
      </c>
      <c r="H1669" s="27">
        <v>2338.0</v>
      </c>
      <c r="I1669" s="28">
        <v>10.0</v>
      </c>
      <c r="J1669" s="29" t="s">
        <v>38</v>
      </c>
      <c r="K1669" s="30">
        <v>0.5</v>
      </c>
      <c r="L1669" s="31">
        <f t="shared" si="7"/>
        <v>5</v>
      </c>
      <c r="M1669" s="31">
        <f t="shared" si="2"/>
        <v>5</v>
      </c>
      <c r="N1669" s="32">
        <f t="shared" si="3"/>
        <v>1169</v>
      </c>
      <c r="O1669" s="32">
        <f t="shared" si="4"/>
        <v>1169</v>
      </c>
      <c r="P1669" s="32">
        <f t="shared" si="5"/>
        <v>1169</v>
      </c>
      <c r="Q1669" s="22">
        <v>0.0</v>
      </c>
      <c r="R1669" s="32">
        <f t="shared" si="6"/>
        <v>233.8</v>
      </c>
      <c r="S1669" s="33" t="s">
        <v>29</v>
      </c>
      <c r="T1669" s="33" t="s">
        <v>30</v>
      </c>
      <c r="U1669" s="38" t="s">
        <v>45</v>
      </c>
      <c r="V1669" s="35"/>
      <c r="W1669" s="7"/>
      <c r="X1669" s="7"/>
      <c r="Y1669" s="7"/>
      <c r="Z1669" s="7"/>
      <c r="AA1669" s="7"/>
    </row>
    <row r="1670" ht="18.75" customHeight="1">
      <c r="A1670" s="8" t="s">
        <v>1724</v>
      </c>
      <c r="B1670" s="9" t="s">
        <v>1757</v>
      </c>
      <c r="C1670" s="9" t="s">
        <v>1759</v>
      </c>
      <c r="D1670" s="10">
        <v>608.0</v>
      </c>
      <c r="E1670" s="9" t="s">
        <v>524</v>
      </c>
      <c r="F1670" s="11" t="s">
        <v>26</v>
      </c>
      <c r="G1670" s="12" t="s">
        <v>27</v>
      </c>
      <c r="H1670" s="13">
        <v>1897.0</v>
      </c>
      <c r="I1670" s="14">
        <v>10.0</v>
      </c>
      <c r="J1670" s="15" t="s">
        <v>38</v>
      </c>
      <c r="K1670" s="16">
        <v>0.5</v>
      </c>
      <c r="L1670" s="17">
        <f t="shared" si="7"/>
        <v>5</v>
      </c>
      <c r="M1670" s="17">
        <f t="shared" si="2"/>
        <v>5</v>
      </c>
      <c r="N1670" s="18">
        <f t="shared" si="3"/>
        <v>948.5</v>
      </c>
      <c r="O1670" s="18">
        <f t="shared" si="4"/>
        <v>948.5</v>
      </c>
      <c r="P1670" s="18">
        <f t="shared" si="5"/>
        <v>948.5</v>
      </c>
      <c r="Q1670" s="8">
        <v>0.0</v>
      </c>
      <c r="R1670" s="18">
        <f t="shared" si="6"/>
        <v>189.7</v>
      </c>
      <c r="S1670" s="19" t="s">
        <v>29</v>
      </c>
      <c r="T1670" s="19" t="s">
        <v>30</v>
      </c>
      <c r="U1670" s="20" t="s">
        <v>43</v>
      </c>
      <c r="V1670" s="37"/>
      <c r="W1670" s="7"/>
      <c r="X1670" s="7"/>
      <c r="Y1670" s="7"/>
      <c r="Z1670" s="7"/>
      <c r="AA1670" s="7"/>
    </row>
    <row r="1671" ht="18.75" customHeight="1">
      <c r="A1671" s="22" t="s">
        <v>1724</v>
      </c>
      <c r="B1671" s="23" t="s">
        <v>1757</v>
      </c>
      <c r="C1671" s="23" t="s">
        <v>1759</v>
      </c>
      <c r="D1671" s="24">
        <v>609.0</v>
      </c>
      <c r="E1671" s="23" t="s">
        <v>328</v>
      </c>
      <c r="F1671" s="25" t="s">
        <v>26</v>
      </c>
      <c r="G1671" s="26" t="s">
        <v>27</v>
      </c>
      <c r="H1671" s="27">
        <v>22652.48</v>
      </c>
      <c r="I1671" s="28">
        <v>10.0</v>
      </c>
      <c r="J1671" s="29" t="s">
        <v>38</v>
      </c>
      <c r="K1671" s="30">
        <v>0.5</v>
      </c>
      <c r="L1671" s="31">
        <f t="shared" si="7"/>
        <v>5</v>
      </c>
      <c r="M1671" s="31">
        <f t="shared" si="2"/>
        <v>5</v>
      </c>
      <c r="N1671" s="32">
        <f t="shared" si="3"/>
        <v>11326.24</v>
      </c>
      <c r="O1671" s="32">
        <f t="shared" si="4"/>
        <v>11326.24</v>
      </c>
      <c r="P1671" s="32">
        <f t="shared" si="5"/>
        <v>11326.24</v>
      </c>
      <c r="Q1671" s="22">
        <v>0.0</v>
      </c>
      <c r="R1671" s="32">
        <f t="shared" si="6"/>
        <v>2265.248</v>
      </c>
      <c r="S1671" s="33" t="s">
        <v>29</v>
      </c>
      <c r="T1671" s="33" t="s">
        <v>30</v>
      </c>
      <c r="U1671" s="34" t="s">
        <v>50</v>
      </c>
      <c r="V1671" s="35"/>
      <c r="W1671" s="7"/>
      <c r="X1671" s="7"/>
      <c r="Y1671" s="7"/>
      <c r="Z1671" s="7"/>
      <c r="AA1671" s="7"/>
    </row>
    <row r="1672" ht="18.75" customHeight="1">
      <c r="A1672" s="8" t="s">
        <v>1724</v>
      </c>
      <c r="B1672" s="9" t="s">
        <v>1757</v>
      </c>
      <c r="C1672" s="9" t="s">
        <v>1759</v>
      </c>
      <c r="D1672" s="10">
        <v>610.0</v>
      </c>
      <c r="E1672" s="9" t="s">
        <v>694</v>
      </c>
      <c r="F1672" s="11" t="s">
        <v>26</v>
      </c>
      <c r="G1672" s="12" t="s">
        <v>27</v>
      </c>
      <c r="H1672" s="13">
        <v>1351.57</v>
      </c>
      <c r="I1672" s="14">
        <v>10.0</v>
      </c>
      <c r="J1672" s="15" t="s">
        <v>38</v>
      </c>
      <c r="K1672" s="16">
        <v>0.5</v>
      </c>
      <c r="L1672" s="17">
        <f t="shared" si="7"/>
        <v>5</v>
      </c>
      <c r="M1672" s="17">
        <f t="shared" si="2"/>
        <v>5</v>
      </c>
      <c r="N1672" s="18">
        <f t="shared" si="3"/>
        <v>675.785</v>
      </c>
      <c r="O1672" s="18">
        <f t="shared" si="4"/>
        <v>675.785</v>
      </c>
      <c r="P1672" s="18">
        <f t="shared" si="5"/>
        <v>675.785</v>
      </c>
      <c r="Q1672" s="8">
        <v>0.0</v>
      </c>
      <c r="R1672" s="18">
        <f t="shared" si="6"/>
        <v>135.157</v>
      </c>
      <c r="S1672" s="19" t="s">
        <v>29</v>
      </c>
      <c r="T1672" s="19" t="s">
        <v>30</v>
      </c>
      <c r="U1672" s="20" t="s">
        <v>41</v>
      </c>
      <c r="V1672" s="37"/>
      <c r="W1672" s="7"/>
      <c r="X1672" s="7"/>
      <c r="Y1672" s="7"/>
      <c r="Z1672" s="7"/>
      <c r="AA1672" s="7"/>
    </row>
    <row r="1673" ht="18.75" customHeight="1">
      <c r="A1673" s="22" t="s">
        <v>1724</v>
      </c>
      <c r="B1673" s="23" t="s">
        <v>1757</v>
      </c>
      <c r="C1673" s="23" t="s">
        <v>1759</v>
      </c>
      <c r="D1673" s="24">
        <v>611.0</v>
      </c>
      <c r="E1673" s="23" t="s">
        <v>1782</v>
      </c>
      <c r="F1673" s="25" t="s">
        <v>37</v>
      </c>
      <c r="G1673" s="26" t="s">
        <v>27</v>
      </c>
      <c r="H1673" s="27">
        <v>1647.58</v>
      </c>
      <c r="I1673" s="28">
        <v>15.0</v>
      </c>
      <c r="J1673" s="29" t="s">
        <v>38</v>
      </c>
      <c r="K1673" s="30">
        <v>0.5</v>
      </c>
      <c r="L1673" s="31">
        <f t="shared" si="7"/>
        <v>7.5</v>
      </c>
      <c r="M1673" s="31">
        <f t="shared" si="2"/>
        <v>7.5</v>
      </c>
      <c r="N1673" s="32">
        <f t="shared" si="3"/>
        <v>823.79</v>
      </c>
      <c r="O1673" s="32">
        <f t="shared" si="4"/>
        <v>823.79</v>
      </c>
      <c r="P1673" s="32">
        <f t="shared" si="5"/>
        <v>823.79</v>
      </c>
      <c r="Q1673" s="22">
        <v>0.0</v>
      </c>
      <c r="R1673" s="32">
        <f t="shared" si="6"/>
        <v>109.8386667</v>
      </c>
      <c r="S1673" s="33" t="s">
        <v>29</v>
      </c>
      <c r="T1673" s="33" t="s">
        <v>30</v>
      </c>
      <c r="U1673" s="34" t="s">
        <v>325</v>
      </c>
      <c r="V1673" s="35"/>
      <c r="W1673" s="7"/>
      <c r="X1673" s="7"/>
      <c r="Y1673" s="7"/>
      <c r="Z1673" s="7"/>
      <c r="AA1673" s="7"/>
    </row>
    <row r="1674" ht="18.75" customHeight="1">
      <c r="A1674" s="8" t="s">
        <v>1724</v>
      </c>
      <c r="B1674" s="9" t="s">
        <v>1757</v>
      </c>
      <c r="C1674" s="9" t="s">
        <v>145</v>
      </c>
      <c r="D1674" s="10">
        <v>613.0</v>
      </c>
      <c r="E1674" s="9" t="s">
        <v>1783</v>
      </c>
      <c r="F1674" s="11" t="s">
        <v>37</v>
      </c>
      <c r="G1674" s="12" t="s">
        <v>27</v>
      </c>
      <c r="H1674" s="13">
        <v>469.2</v>
      </c>
      <c r="I1674" s="14">
        <v>10.0</v>
      </c>
      <c r="J1674" s="15" t="s">
        <v>28</v>
      </c>
      <c r="K1674" s="16">
        <v>0.4</v>
      </c>
      <c r="L1674" s="17">
        <f t="shared" si="7"/>
        <v>4</v>
      </c>
      <c r="M1674" s="17">
        <f t="shared" si="2"/>
        <v>6</v>
      </c>
      <c r="N1674" s="18">
        <f t="shared" si="3"/>
        <v>187.68</v>
      </c>
      <c r="O1674" s="18">
        <f t="shared" si="4"/>
        <v>281.52</v>
      </c>
      <c r="P1674" s="18">
        <f t="shared" si="5"/>
        <v>281.52</v>
      </c>
      <c r="Q1674" s="8">
        <v>0.0</v>
      </c>
      <c r="R1674" s="18">
        <f t="shared" si="6"/>
        <v>46.92</v>
      </c>
      <c r="S1674" s="19" t="s">
        <v>29</v>
      </c>
      <c r="T1674" s="19" t="s">
        <v>30</v>
      </c>
      <c r="U1674" s="36" t="s">
        <v>52</v>
      </c>
      <c r="V1674" s="37"/>
      <c r="W1674" s="7"/>
      <c r="X1674" s="7"/>
      <c r="Y1674" s="7"/>
      <c r="Z1674" s="7"/>
      <c r="AA1674" s="7"/>
    </row>
    <row r="1675" ht="18.75" customHeight="1">
      <c r="A1675" s="22" t="s">
        <v>1724</v>
      </c>
      <c r="B1675" s="23" t="s">
        <v>642</v>
      </c>
      <c r="C1675" s="23" t="s">
        <v>433</v>
      </c>
      <c r="D1675" s="24">
        <v>735.0</v>
      </c>
      <c r="E1675" s="23" t="s">
        <v>1784</v>
      </c>
      <c r="F1675" s="25" t="s">
        <v>37</v>
      </c>
      <c r="G1675" s="40"/>
      <c r="H1675" s="104">
        <v>499.9</v>
      </c>
      <c r="I1675" s="28">
        <v>10.0</v>
      </c>
      <c r="J1675" s="29" t="s">
        <v>38</v>
      </c>
      <c r="K1675" s="30">
        <v>0.5</v>
      </c>
      <c r="L1675" s="31">
        <f t="shared" si="7"/>
        <v>5</v>
      </c>
      <c r="M1675" s="31">
        <f t="shared" si="2"/>
        <v>5</v>
      </c>
      <c r="N1675" s="32">
        <f t="shared" si="3"/>
        <v>249.95</v>
      </c>
      <c r="O1675" s="32">
        <f t="shared" si="4"/>
        <v>249.95</v>
      </c>
      <c r="P1675" s="32">
        <f t="shared" si="5"/>
        <v>249.95</v>
      </c>
      <c r="Q1675" s="22">
        <v>0.0</v>
      </c>
      <c r="R1675" s="32">
        <f t="shared" si="6"/>
        <v>49.99</v>
      </c>
      <c r="S1675" s="33" t="s">
        <v>29</v>
      </c>
      <c r="T1675" s="33" t="s">
        <v>30</v>
      </c>
      <c r="U1675" s="74" t="s">
        <v>658</v>
      </c>
      <c r="V1675" s="35"/>
      <c r="W1675" s="7"/>
      <c r="X1675" s="7"/>
      <c r="Y1675" s="7"/>
      <c r="Z1675" s="7"/>
      <c r="AA1675" s="7"/>
    </row>
    <row r="1676" ht="18.75" customHeight="1">
      <c r="A1676" s="8" t="s">
        <v>1724</v>
      </c>
      <c r="B1676" s="9" t="s">
        <v>696</v>
      </c>
      <c r="C1676" s="9" t="s">
        <v>33</v>
      </c>
      <c r="D1676" s="10">
        <v>1082.0</v>
      </c>
      <c r="E1676" s="9" t="s">
        <v>413</v>
      </c>
      <c r="F1676" s="11" t="s">
        <v>26</v>
      </c>
      <c r="G1676" s="12" t="s">
        <v>27</v>
      </c>
      <c r="H1676" s="13">
        <v>1897.0</v>
      </c>
      <c r="I1676" s="14">
        <v>10.0</v>
      </c>
      <c r="J1676" s="15" t="s">
        <v>28</v>
      </c>
      <c r="K1676" s="16">
        <v>0.4</v>
      </c>
      <c r="L1676" s="17">
        <f t="shared" si="7"/>
        <v>4</v>
      </c>
      <c r="M1676" s="17">
        <f t="shared" si="2"/>
        <v>6</v>
      </c>
      <c r="N1676" s="18">
        <f t="shared" si="3"/>
        <v>758.8</v>
      </c>
      <c r="O1676" s="18">
        <f t="shared" si="4"/>
        <v>1138.2</v>
      </c>
      <c r="P1676" s="18">
        <f t="shared" si="5"/>
        <v>1138.2</v>
      </c>
      <c r="Q1676" s="8">
        <v>0.0</v>
      </c>
      <c r="R1676" s="18">
        <f t="shared" si="6"/>
        <v>189.7</v>
      </c>
      <c r="S1676" s="19" t="s">
        <v>29</v>
      </c>
      <c r="T1676" s="19" t="s">
        <v>30</v>
      </c>
      <c r="U1676" s="20" t="s">
        <v>43</v>
      </c>
      <c r="V1676" s="37"/>
      <c r="W1676" s="7"/>
      <c r="X1676" s="7"/>
      <c r="Y1676" s="7"/>
      <c r="Z1676" s="7"/>
      <c r="AA1676" s="7"/>
    </row>
    <row r="1677" ht="18.75" customHeight="1">
      <c r="A1677" s="22" t="s">
        <v>1724</v>
      </c>
      <c r="B1677" s="23" t="s">
        <v>1757</v>
      </c>
      <c r="C1677" s="23" t="s">
        <v>1768</v>
      </c>
      <c r="D1677" s="24">
        <v>1126.0</v>
      </c>
      <c r="E1677" s="23" t="s">
        <v>1785</v>
      </c>
      <c r="F1677" s="25" t="s">
        <v>37</v>
      </c>
      <c r="G1677" s="26" t="s">
        <v>27</v>
      </c>
      <c r="H1677" s="27">
        <v>469.2</v>
      </c>
      <c r="I1677" s="28">
        <v>10.0</v>
      </c>
      <c r="J1677" s="29" t="s">
        <v>28</v>
      </c>
      <c r="K1677" s="30">
        <v>0.4</v>
      </c>
      <c r="L1677" s="31">
        <f t="shared" si="7"/>
        <v>4</v>
      </c>
      <c r="M1677" s="31">
        <f t="shared" si="2"/>
        <v>6</v>
      </c>
      <c r="N1677" s="32">
        <f t="shared" si="3"/>
        <v>187.68</v>
      </c>
      <c r="O1677" s="32">
        <f t="shared" si="4"/>
        <v>281.52</v>
      </c>
      <c r="P1677" s="32">
        <f t="shared" si="5"/>
        <v>281.52</v>
      </c>
      <c r="Q1677" s="22">
        <v>0.0</v>
      </c>
      <c r="R1677" s="32">
        <f t="shared" si="6"/>
        <v>46.92</v>
      </c>
      <c r="S1677" s="33" t="s">
        <v>29</v>
      </c>
      <c r="T1677" s="33" t="s">
        <v>30</v>
      </c>
      <c r="U1677" s="38" t="s">
        <v>52</v>
      </c>
      <c r="V1677" s="35"/>
      <c r="W1677" s="7"/>
      <c r="X1677" s="7"/>
      <c r="Y1677" s="7"/>
      <c r="Z1677" s="7"/>
      <c r="AA1677" s="7"/>
    </row>
    <row r="1678" ht="18.75" customHeight="1">
      <c r="A1678" s="8" t="s">
        <v>1724</v>
      </c>
      <c r="B1678" s="9" t="s">
        <v>1757</v>
      </c>
      <c r="C1678" s="9" t="s">
        <v>1759</v>
      </c>
      <c r="D1678" s="10">
        <v>1615.0</v>
      </c>
      <c r="E1678" s="9" t="s">
        <v>1786</v>
      </c>
      <c r="F1678" s="11" t="s">
        <v>26</v>
      </c>
      <c r="G1678" s="12" t="s">
        <v>27</v>
      </c>
      <c r="H1678" s="55">
        <v>840.42</v>
      </c>
      <c r="I1678" s="14">
        <v>10.0</v>
      </c>
      <c r="J1678" s="15" t="s">
        <v>38</v>
      </c>
      <c r="K1678" s="16">
        <v>0.5</v>
      </c>
      <c r="L1678" s="17">
        <f t="shared" si="7"/>
        <v>5</v>
      </c>
      <c r="M1678" s="17">
        <f t="shared" si="2"/>
        <v>5</v>
      </c>
      <c r="N1678" s="18">
        <f t="shared" si="3"/>
        <v>420.21</v>
      </c>
      <c r="O1678" s="18">
        <f t="shared" si="4"/>
        <v>420.21</v>
      </c>
      <c r="P1678" s="18">
        <f t="shared" si="5"/>
        <v>420.21</v>
      </c>
      <c r="Q1678" s="8">
        <v>0.0</v>
      </c>
      <c r="R1678" s="18">
        <f t="shared" si="6"/>
        <v>84.042</v>
      </c>
      <c r="S1678" s="19" t="s">
        <v>29</v>
      </c>
      <c r="T1678" s="19" t="s">
        <v>30</v>
      </c>
      <c r="U1678" s="20" t="s">
        <v>102</v>
      </c>
      <c r="V1678" s="37"/>
      <c r="W1678" s="7"/>
      <c r="X1678" s="7"/>
      <c r="Y1678" s="7"/>
      <c r="Z1678" s="7"/>
      <c r="AA1678" s="7"/>
    </row>
    <row r="1679" ht="18.75" customHeight="1">
      <c r="A1679" s="22" t="s">
        <v>1724</v>
      </c>
      <c r="B1679" s="23" t="s">
        <v>1757</v>
      </c>
      <c r="C1679" s="23" t="s">
        <v>61</v>
      </c>
      <c r="D1679" s="24">
        <v>1635.0</v>
      </c>
      <c r="E1679" s="23" t="s">
        <v>293</v>
      </c>
      <c r="F1679" s="25" t="s">
        <v>37</v>
      </c>
      <c r="G1679" s="26" t="s">
        <v>27</v>
      </c>
      <c r="H1679" s="27">
        <v>1300.12</v>
      </c>
      <c r="I1679" s="28">
        <v>15.0</v>
      </c>
      <c r="J1679" s="29" t="s">
        <v>28</v>
      </c>
      <c r="K1679" s="30">
        <v>0.4</v>
      </c>
      <c r="L1679" s="31">
        <f t="shared" si="7"/>
        <v>6</v>
      </c>
      <c r="M1679" s="31">
        <f t="shared" si="2"/>
        <v>9</v>
      </c>
      <c r="N1679" s="32">
        <f t="shared" si="3"/>
        <v>520.048</v>
      </c>
      <c r="O1679" s="32">
        <f t="shared" si="4"/>
        <v>780.072</v>
      </c>
      <c r="P1679" s="32">
        <f t="shared" si="5"/>
        <v>780.072</v>
      </c>
      <c r="Q1679" s="22">
        <v>0.0</v>
      </c>
      <c r="R1679" s="32">
        <f t="shared" si="6"/>
        <v>86.67466667</v>
      </c>
      <c r="S1679" s="33" t="s">
        <v>29</v>
      </c>
      <c r="T1679" s="33" t="s">
        <v>30</v>
      </c>
      <c r="U1679" s="34" t="s">
        <v>459</v>
      </c>
      <c r="V1679" s="35"/>
      <c r="W1679" s="7"/>
      <c r="X1679" s="7"/>
      <c r="Y1679" s="7"/>
      <c r="Z1679" s="7"/>
      <c r="AA1679" s="7"/>
    </row>
    <row r="1680" ht="18.75" customHeight="1">
      <c r="A1680" s="8" t="s">
        <v>1724</v>
      </c>
      <c r="B1680" s="9" t="s">
        <v>1757</v>
      </c>
      <c r="C1680" s="9" t="s">
        <v>61</v>
      </c>
      <c r="D1680" s="10">
        <v>1636.0</v>
      </c>
      <c r="E1680" s="9" t="s">
        <v>293</v>
      </c>
      <c r="F1680" s="11" t="s">
        <v>37</v>
      </c>
      <c r="G1680" s="12" t="s">
        <v>27</v>
      </c>
      <c r="H1680" s="13">
        <v>1300.12</v>
      </c>
      <c r="I1680" s="14">
        <v>15.0</v>
      </c>
      <c r="J1680" s="15" t="s">
        <v>28</v>
      </c>
      <c r="K1680" s="16">
        <v>0.4</v>
      </c>
      <c r="L1680" s="17">
        <f t="shared" si="7"/>
        <v>6</v>
      </c>
      <c r="M1680" s="17">
        <f t="shared" si="2"/>
        <v>9</v>
      </c>
      <c r="N1680" s="18">
        <f t="shared" si="3"/>
        <v>520.048</v>
      </c>
      <c r="O1680" s="18">
        <f t="shared" si="4"/>
        <v>780.072</v>
      </c>
      <c r="P1680" s="18">
        <f t="shared" si="5"/>
        <v>780.072</v>
      </c>
      <c r="Q1680" s="8">
        <v>0.0</v>
      </c>
      <c r="R1680" s="18">
        <f t="shared" si="6"/>
        <v>86.67466667</v>
      </c>
      <c r="S1680" s="19" t="s">
        <v>29</v>
      </c>
      <c r="T1680" s="19" t="s">
        <v>30</v>
      </c>
      <c r="U1680" s="20" t="s">
        <v>459</v>
      </c>
      <c r="V1680" s="37"/>
      <c r="W1680" s="7"/>
      <c r="X1680" s="7"/>
      <c r="Y1680" s="7"/>
      <c r="Z1680" s="7"/>
      <c r="AA1680" s="7"/>
    </row>
    <row r="1681" ht="18.75" customHeight="1">
      <c r="A1681" s="22" t="s">
        <v>1724</v>
      </c>
      <c r="B1681" s="23" t="s">
        <v>1757</v>
      </c>
      <c r="C1681" s="23" t="s">
        <v>61</v>
      </c>
      <c r="D1681" s="24">
        <v>1637.0</v>
      </c>
      <c r="E1681" s="23" t="s">
        <v>293</v>
      </c>
      <c r="F1681" s="25" t="s">
        <v>37</v>
      </c>
      <c r="G1681" s="26" t="s">
        <v>27</v>
      </c>
      <c r="H1681" s="27">
        <v>1300.12</v>
      </c>
      <c r="I1681" s="28">
        <v>15.0</v>
      </c>
      <c r="J1681" s="29" t="s">
        <v>28</v>
      </c>
      <c r="K1681" s="30">
        <v>0.4</v>
      </c>
      <c r="L1681" s="31">
        <f t="shared" si="7"/>
        <v>6</v>
      </c>
      <c r="M1681" s="31">
        <f t="shared" si="2"/>
        <v>9</v>
      </c>
      <c r="N1681" s="32">
        <f t="shared" si="3"/>
        <v>520.048</v>
      </c>
      <c r="O1681" s="32">
        <f t="shared" si="4"/>
        <v>780.072</v>
      </c>
      <c r="P1681" s="32">
        <f t="shared" si="5"/>
        <v>780.072</v>
      </c>
      <c r="Q1681" s="22">
        <v>0.0</v>
      </c>
      <c r="R1681" s="32">
        <f t="shared" si="6"/>
        <v>86.67466667</v>
      </c>
      <c r="S1681" s="33" t="s">
        <v>29</v>
      </c>
      <c r="T1681" s="33" t="s">
        <v>30</v>
      </c>
      <c r="U1681" s="34" t="s">
        <v>459</v>
      </c>
      <c r="V1681" s="35"/>
      <c r="W1681" s="7"/>
      <c r="X1681" s="7"/>
      <c r="Y1681" s="7"/>
      <c r="Z1681" s="7"/>
      <c r="AA1681" s="7"/>
    </row>
    <row r="1682" ht="18.75" customHeight="1">
      <c r="A1682" s="8" t="s">
        <v>1724</v>
      </c>
      <c r="B1682" s="9" t="s">
        <v>1757</v>
      </c>
      <c r="C1682" s="9" t="s">
        <v>1768</v>
      </c>
      <c r="D1682" s="10">
        <v>1642.0</v>
      </c>
      <c r="E1682" s="9" t="s">
        <v>1787</v>
      </c>
      <c r="F1682" s="11" t="s">
        <v>37</v>
      </c>
      <c r="G1682" s="12" t="s">
        <v>27</v>
      </c>
      <c r="H1682" s="13">
        <v>469.2</v>
      </c>
      <c r="I1682" s="14">
        <v>10.0</v>
      </c>
      <c r="J1682" s="15" t="s">
        <v>28</v>
      </c>
      <c r="K1682" s="16">
        <v>0.4</v>
      </c>
      <c r="L1682" s="17">
        <f t="shared" si="7"/>
        <v>4</v>
      </c>
      <c r="M1682" s="17">
        <f t="shared" si="2"/>
        <v>6</v>
      </c>
      <c r="N1682" s="18">
        <f t="shared" si="3"/>
        <v>187.68</v>
      </c>
      <c r="O1682" s="18">
        <f t="shared" si="4"/>
        <v>281.52</v>
      </c>
      <c r="P1682" s="18">
        <f t="shared" si="5"/>
        <v>281.52</v>
      </c>
      <c r="Q1682" s="8">
        <v>0.0</v>
      </c>
      <c r="R1682" s="18">
        <f t="shared" si="6"/>
        <v>46.92</v>
      </c>
      <c r="S1682" s="19" t="s">
        <v>29</v>
      </c>
      <c r="T1682" s="19" t="s">
        <v>30</v>
      </c>
      <c r="U1682" s="36" t="s">
        <v>52</v>
      </c>
      <c r="V1682" s="37"/>
      <c r="W1682" s="7"/>
      <c r="X1682" s="7"/>
      <c r="Y1682" s="7"/>
      <c r="Z1682" s="7"/>
      <c r="AA1682" s="7"/>
    </row>
    <row r="1683" ht="18.75" customHeight="1">
      <c r="A1683" s="22" t="s">
        <v>1724</v>
      </c>
      <c r="B1683" s="23" t="s">
        <v>1757</v>
      </c>
      <c r="C1683" s="23" t="s">
        <v>1768</v>
      </c>
      <c r="D1683" s="24">
        <v>1644.0</v>
      </c>
      <c r="E1683" s="23" t="s">
        <v>1788</v>
      </c>
      <c r="F1683" s="25" t="s">
        <v>26</v>
      </c>
      <c r="G1683" s="26" t="s">
        <v>27</v>
      </c>
      <c r="H1683" s="27">
        <v>2338.0</v>
      </c>
      <c r="I1683" s="28">
        <v>10.0</v>
      </c>
      <c r="J1683" s="29" t="s">
        <v>38</v>
      </c>
      <c r="K1683" s="30">
        <v>0.5</v>
      </c>
      <c r="L1683" s="31">
        <f t="shared" si="7"/>
        <v>5</v>
      </c>
      <c r="M1683" s="31">
        <f t="shared" si="2"/>
        <v>5</v>
      </c>
      <c r="N1683" s="32">
        <f t="shared" si="3"/>
        <v>1169</v>
      </c>
      <c r="O1683" s="32">
        <f t="shared" si="4"/>
        <v>1169</v>
      </c>
      <c r="P1683" s="32">
        <f t="shared" si="5"/>
        <v>1169</v>
      </c>
      <c r="Q1683" s="22">
        <v>0.0</v>
      </c>
      <c r="R1683" s="32">
        <f t="shared" si="6"/>
        <v>233.8</v>
      </c>
      <c r="S1683" s="33" t="s">
        <v>29</v>
      </c>
      <c r="T1683" s="33" t="s">
        <v>30</v>
      </c>
      <c r="U1683" s="38" t="s">
        <v>45</v>
      </c>
      <c r="V1683" s="35"/>
      <c r="W1683" s="7"/>
      <c r="X1683" s="7"/>
      <c r="Y1683" s="7"/>
      <c r="Z1683" s="7"/>
      <c r="AA1683" s="7"/>
    </row>
    <row r="1684" ht="18.75" customHeight="1">
      <c r="A1684" s="8" t="s">
        <v>1724</v>
      </c>
      <c r="B1684" s="9" t="s">
        <v>1757</v>
      </c>
      <c r="C1684" s="9" t="s">
        <v>1768</v>
      </c>
      <c r="D1684" s="10">
        <v>1645.0</v>
      </c>
      <c r="E1684" s="9" t="s">
        <v>1789</v>
      </c>
      <c r="F1684" s="11" t="s">
        <v>26</v>
      </c>
      <c r="G1684" s="12" t="s">
        <v>27</v>
      </c>
      <c r="H1684" s="13">
        <v>22652.48</v>
      </c>
      <c r="I1684" s="14">
        <v>10.0</v>
      </c>
      <c r="J1684" s="15" t="s">
        <v>38</v>
      </c>
      <c r="K1684" s="16">
        <v>0.5</v>
      </c>
      <c r="L1684" s="17">
        <f t="shared" si="7"/>
        <v>5</v>
      </c>
      <c r="M1684" s="17">
        <f t="shared" si="2"/>
        <v>5</v>
      </c>
      <c r="N1684" s="18">
        <f t="shared" si="3"/>
        <v>11326.24</v>
      </c>
      <c r="O1684" s="18">
        <f t="shared" si="4"/>
        <v>11326.24</v>
      </c>
      <c r="P1684" s="18">
        <f t="shared" si="5"/>
        <v>11326.24</v>
      </c>
      <c r="Q1684" s="8">
        <v>0.0</v>
      </c>
      <c r="R1684" s="18">
        <f t="shared" si="6"/>
        <v>2265.248</v>
      </c>
      <c r="S1684" s="19" t="s">
        <v>29</v>
      </c>
      <c r="T1684" s="19" t="s">
        <v>30</v>
      </c>
      <c r="U1684" s="20" t="s">
        <v>50</v>
      </c>
      <c r="V1684" s="37"/>
      <c r="W1684" s="7"/>
      <c r="X1684" s="7"/>
      <c r="Y1684" s="7"/>
      <c r="Z1684" s="7"/>
      <c r="AA1684" s="7"/>
    </row>
    <row r="1685" ht="18.75" customHeight="1">
      <c r="A1685" s="22" t="s">
        <v>1724</v>
      </c>
      <c r="B1685" s="23" t="s">
        <v>1757</v>
      </c>
      <c r="C1685" s="23" t="s">
        <v>1768</v>
      </c>
      <c r="D1685" s="24">
        <v>1646.0</v>
      </c>
      <c r="E1685" s="23" t="s">
        <v>1790</v>
      </c>
      <c r="F1685" s="25" t="s">
        <v>26</v>
      </c>
      <c r="G1685" s="26" t="s">
        <v>27</v>
      </c>
      <c r="H1685" s="27">
        <v>1897.0</v>
      </c>
      <c r="I1685" s="28">
        <v>10.0</v>
      </c>
      <c r="J1685" s="29" t="s">
        <v>28</v>
      </c>
      <c r="K1685" s="30">
        <v>0.4</v>
      </c>
      <c r="L1685" s="31">
        <f t="shared" si="7"/>
        <v>4</v>
      </c>
      <c r="M1685" s="31">
        <f t="shared" si="2"/>
        <v>6</v>
      </c>
      <c r="N1685" s="32">
        <f t="shared" si="3"/>
        <v>758.8</v>
      </c>
      <c r="O1685" s="32">
        <f t="shared" si="4"/>
        <v>1138.2</v>
      </c>
      <c r="P1685" s="32">
        <f t="shared" si="5"/>
        <v>1138.2</v>
      </c>
      <c r="Q1685" s="22">
        <v>0.0</v>
      </c>
      <c r="R1685" s="32">
        <f t="shared" si="6"/>
        <v>189.7</v>
      </c>
      <c r="S1685" s="33" t="s">
        <v>29</v>
      </c>
      <c r="T1685" s="33" t="s">
        <v>30</v>
      </c>
      <c r="U1685" s="34" t="s">
        <v>43</v>
      </c>
      <c r="V1685" s="35"/>
      <c r="W1685" s="7"/>
      <c r="X1685" s="7"/>
      <c r="Y1685" s="7"/>
      <c r="Z1685" s="7"/>
      <c r="AA1685" s="7"/>
    </row>
    <row r="1686" ht="18.75" customHeight="1">
      <c r="A1686" s="8" t="s">
        <v>1724</v>
      </c>
      <c r="B1686" s="9" t="s">
        <v>1757</v>
      </c>
      <c r="C1686" s="9" t="s">
        <v>1768</v>
      </c>
      <c r="D1686" s="10">
        <v>1647.0</v>
      </c>
      <c r="E1686" s="9" t="s">
        <v>444</v>
      </c>
      <c r="F1686" s="11" t="s">
        <v>26</v>
      </c>
      <c r="G1686" s="12" t="s">
        <v>27</v>
      </c>
      <c r="H1686" s="13">
        <v>1351.57</v>
      </c>
      <c r="I1686" s="14">
        <v>10.0</v>
      </c>
      <c r="J1686" s="15" t="s">
        <v>38</v>
      </c>
      <c r="K1686" s="16">
        <v>0.5</v>
      </c>
      <c r="L1686" s="17">
        <f t="shared" si="7"/>
        <v>5</v>
      </c>
      <c r="M1686" s="17">
        <f t="shared" si="2"/>
        <v>5</v>
      </c>
      <c r="N1686" s="18">
        <f t="shared" si="3"/>
        <v>675.785</v>
      </c>
      <c r="O1686" s="18">
        <f t="shared" si="4"/>
        <v>675.785</v>
      </c>
      <c r="P1686" s="18">
        <f t="shared" si="5"/>
        <v>675.785</v>
      </c>
      <c r="Q1686" s="8">
        <v>0.0</v>
      </c>
      <c r="R1686" s="18">
        <f t="shared" si="6"/>
        <v>135.157</v>
      </c>
      <c r="S1686" s="19" t="s">
        <v>29</v>
      </c>
      <c r="T1686" s="19" t="s">
        <v>30</v>
      </c>
      <c r="U1686" s="20" t="s">
        <v>41</v>
      </c>
      <c r="V1686" s="37"/>
      <c r="W1686" s="7"/>
      <c r="X1686" s="7"/>
      <c r="Y1686" s="7"/>
      <c r="Z1686" s="7"/>
      <c r="AA1686" s="7"/>
    </row>
    <row r="1687" ht="18.75" customHeight="1">
      <c r="A1687" s="22" t="s">
        <v>1724</v>
      </c>
      <c r="B1687" s="23" t="s">
        <v>1757</v>
      </c>
      <c r="C1687" s="23" t="s">
        <v>1768</v>
      </c>
      <c r="D1687" s="24">
        <v>1649.0</v>
      </c>
      <c r="E1687" s="23" t="s">
        <v>1791</v>
      </c>
      <c r="F1687" s="25" t="s">
        <v>26</v>
      </c>
      <c r="G1687" s="26" t="s">
        <v>27</v>
      </c>
      <c r="H1687" s="27">
        <v>15638.9</v>
      </c>
      <c r="I1687" s="28">
        <v>10.0</v>
      </c>
      <c r="J1687" s="29" t="s">
        <v>28</v>
      </c>
      <c r="K1687" s="30">
        <v>0.4</v>
      </c>
      <c r="L1687" s="31">
        <f t="shared" si="7"/>
        <v>4</v>
      </c>
      <c r="M1687" s="31">
        <f t="shared" si="2"/>
        <v>6</v>
      </c>
      <c r="N1687" s="32">
        <f t="shared" si="3"/>
        <v>6255.56</v>
      </c>
      <c r="O1687" s="32">
        <f t="shared" si="4"/>
        <v>9383.34</v>
      </c>
      <c r="P1687" s="32">
        <f t="shared" si="5"/>
        <v>9383.34</v>
      </c>
      <c r="Q1687" s="22">
        <v>0.0</v>
      </c>
      <c r="R1687" s="32">
        <f t="shared" si="6"/>
        <v>1563.89</v>
      </c>
      <c r="S1687" s="33" t="s">
        <v>29</v>
      </c>
      <c r="T1687" s="33" t="s">
        <v>30</v>
      </c>
      <c r="U1687" s="34" t="s">
        <v>35</v>
      </c>
      <c r="V1687" s="35"/>
      <c r="W1687" s="7"/>
      <c r="X1687" s="7"/>
      <c r="Y1687" s="7"/>
      <c r="Z1687" s="7"/>
      <c r="AA1687" s="7"/>
    </row>
    <row r="1688" ht="18.75" customHeight="1">
      <c r="A1688" s="8" t="s">
        <v>1724</v>
      </c>
      <c r="B1688" s="9" t="s">
        <v>23</v>
      </c>
      <c r="C1688" s="9" t="s">
        <v>24</v>
      </c>
      <c r="D1688" s="10">
        <v>1669.0</v>
      </c>
      <c r="E1688" s="9" t="s">
        <v>1792</v>
      </c>
      <c r="F1688" s="11" t="s">
        <v>26</v>
      </c>
      <c r="G1688" s="12" t="s">
        <v>27</v>
      </c>
      <c r="H1688" s="13">
        <v>1946.55</v>
      </c>
      <c r="I1688" s="14">
        <v>10.0</v>
      </c>
      <c r="J1688" s="15" t="s">
        <v>28</v>
      </c>
      <c r="K1688" s="16">
        <v>0.4</v>
      </c>
      <c r="L1688" s="17">
        <f t="shared" si="7"/>
        <v>4</v>
      </c>
      <c r="M1688" s="17">
        <f t="shared" si="2"/>
        <v>6</v>
      </c>
      <c r="N1688" s="18">
        <f t="shared" si="3"/>
        <v>778.62</v>
      </c>
      <c r="O1688" s="18">
        <f t="shared" si="4"/>
        <v>1167.93</v>
      </c>
      <c r="P1688" s="18">
        <f t="shared" si="5"/>
        <v>1167.93</v>
      </c>
      <c r="Q1688" s="8">
        <v>0.0</v>
      </c>
      <c r="R1688" s="18">
        <f t="shared" si="6"/>
        <v>194.655</v>
      </c>
      <c r="S1688" s="19" t="s">
        <v>29</v>
      </c>
      <c r="T1688" s="19" t="s">
        <v>30</v>
      </c>
      <c r="U1688" s="20" t="s">
        <v>249</v>
      </c>
      <c r="V1688" s="37"/>
      <c r="W1688" s="7"/>
      <c r="X1688" s="7"/>
      <c r="Y1688" s="7"/>
      <c r="Z1688" s="7"/>
      <c r="AA1688" s="7"/>
    </row>
    <row r="1689" ht="18.75" customHeight="1">
      <c r="A1689" s="22" t="s">
        <v>1724</v>
      </c>
      <c r="B1689" s="23" t="s">
        <v>1044</v>
      </c>
      <c r="C1689" s="23" t="s">
        <v>1793</v>
      </c>
      <c r="D1689" s="24">
        <v>1676.0</v>
      </c>
      <c r="E1689" s="23" t="s">
        <v>1794</v>
      </c>
      <c r="F1689" s="25" t="s">
        <v>26</v>
      </c>
      <c r="G1689" s="26" t="s">
        <v>27</v>
      </c>
      <c r="H1689" s="27">
        <v>235.03</v>
      </c>
      <c r="I1689" s="28">
        <v>10.0</v>
      </c>
      <c r="J1689" s="45" t="s">
        <v>63</v>
      </c>
      <c r="K1689" s="30">
        <v>0.700000000000008</v>
      </c>
      <c r="L1689" s="31">
        <f t="shared" si="7"/>
        <v>7</v>
      </c>
      <c r="M1689" s="31">
        <f t="shared" si="2"/>
        <v>3</v>
      </c>
      <c r="N1689" s="32">
        <f t="shared" si="3"/>
        <v>164.521</v>
      </c>
      <c r="O1689" s="32">
        <f t="shared" si="4"/>
        <v>70.509</v>
      </c>
      <c r="P1689" s="32">
        <f t="shared" si="5"/>
        <v>70.509</v>
      </c>
      <c r="Q1689" s="22">
        <v>0.0</v>
      </c>
      <c r="R1689" s="32">
        <f t="shared" si="6"/>
        <v>23.503</v>
      </c>
      <c r="S1689" s="33" t="s">
        <v>29</v>
      </c>
      <c r="T1689" s="33" t="s">
        <v>30</v>
      </c>
      <c r="U1689" s="34" t="s">
        <v>96</v>
      </c>
      <c r="V1689" s="35"/>
      <c r="W1689" s="7"/>
      <c r="X1689" s="7"/>
      <c r="Y1689" s="7"/>
      <c r="Z1689" s="7"/>
      <c r="AA1689" s="7"/>
    </row>
    <row r="1690" ht="18.75" customHeight="1">
      <c r="A1690" s="8" t="s">
        <v>1724</v>
      </c>
      <c r="B1690" s="9" t="s">
        <v>1757</v>
      </c>
      <c r="C1690" s="9" t="s">
        <v>150</v>
      </c>
      <c r="D1690" s="10">
        <v>1701.0</v>
      </c>
      <c r="E1690" s="9" t="s">
        <v>1795</v>
      </c>
      <c r="F1690" s="11" t="s">
        <v>26</v>
      </c>
      <c r="G1690" s="12" t="s">
        <v>27</v>
      </c>
      <c r="H1690" s="13">
        <v>4263.9</v>
      </c>
      <c r="I1690" s="14">
        <v>10.0</v>
      </c>
      <c r="J1690" s="15" t="s">
        <v>38</v>
      </c>
      <c r="K1690" s="16">
        <v>0.5</v>
      </c>
      <c r="L1690" s="17">
        <f t="shared" si="7"/>
        <v>5</v>
      </c>
      <c r="M1690" s="17">
        <f t="shared" si="2"/>
        <v>5</v>
      </c>
      <c r="N1690" s="18">
        <f t="shared" si="3"/>
        <v>2131.95</v>
      </c>
      <c r="O1690" s="18">
        <f t="shared" si="4"/>
        <v>2131.95</v>
      </c>
      <c r="P1690" s="18">
        <f t="shared" si="5"/>
        <v>2131.95</v>
      </c>
      <c r="Q1690" s="8">
        <v>0.0</v>
      </c>
      <c r="R1690" s="18">
        <f t="shared" si="6"/>
        <v>426.39</v>
      </c>
      <c r="S1690" s="19" t="s">
        <v>29</v>
      </c>
      <c r="T1690" s="19" t="s">
        <v>30</v>
      </c>
      <c r="U1690" s="20" t="s">
        <v>767</v>
      </c>
      <c r="V1690" s="37"/>
      <c r="W1690" s="7"/>
      <c r="X1690" s="7"/>
      <c r="Y1690" s="7"/>
      <c r="Z1690" s="7"/>
      <c r="AA1690" s="7"/>
    </row>
    <row r="1691" ht="18.75" customHeight="1">
      <c r="A1691" s="22" t="s">
        <v>1724</v>
      </c>
      <c r="B1691" s="23" t="s">
        <v>23</v>
      </c>
      <c r="C1691" s="23" t="s">
        <v>24</v>
      </c>
      <c r="D1691" s="24">
        <v>1764.0</v>
      </c>
      <c r="E1691" s="23" t="s">
        <v>1796</v>
      </c>
      <c r="F1691" s="25" t="s">
        <v>26</v>
      </c>
      <c r="G1691" s="26" t="s">
        <v>27</v>
      </c>
      <c r="H1691" s="27">
        <v>179.97</v>
      </c>
      <c r="I1691" s="28">
        <v>5.0</v>
      </c>
      <c r="J1691" s="29" t="s">
        <v>154</v>
      </c>
      <c r="K1691" s="30">
        <v>0.8</v>
      </c>
      <c r="L1691" s="31">
        <f t="shared" si="7"/>
        <v>4</v>
      </c>
      <c r="M1691" s="31">
        <f t="shared" si="2"/>
        <v>1</v>
      </c>
      <c r="N1691" s="32">
        <f t="shared" si="3"/>
        <v>143.976</v>
      </c>
      <c r="O1691" s="32">
        <f t="shared" si="4"/>
        <v>35.994</v>
      </c>
      <c r="P1691" s="32">
        <f t="shared" si="5"/>
        <v>35.994</v>
      </c>
      <c r="Q1691" s="22">
        <v>0.0</v>
      </c>
      <c r="R1691" s="32">
        <f t="shared" si="6"/>
        <v>35.994</v>
      </c>
      <c r="S1691" s="33" t="s">
        <v>29</v>
      </c>
      <c r="T1691" s="33" t="s">
        <v>30</v>
      </c>
      <c r="U1691" s="38" t="s">
        <v>733</v>
      </c>
      <c r="V1691" s="35"/>
      <c r="W1691" s="7"/>
      <c r="X1691" s="7"/>
      <c r="Y1691" s="7"/>
      <c r="Z1691" s="7"/>
      <c r="AA1691" s="7"/>
    </row>
    <row r="1692" ht="18.75" customHeight="1">
      <c r="A1692" s="8" t="s">
        <v>1724</v>
      </c>
      <c r="B1692" s="9" t="s">
        <v>1757</v>
      </c>
      <c r="C1692" s="9" t="s">
        <v>145</v>
      </c>
      <c r="D1692" s="10">
        <v>1766.0</v>
      </c>
      <c r="E1692" s="9" t="s">
        <v>1797</v>
      </c>
      <c r="F1692" s="11" t="s">
        <v>26</v>
      </c>
      <c r="G1692" s="12" t="s">
        <v>27</v>
      </c>
      <c r="H1692" s="13">
        <v>6246.9</v>
      </c>
      <c r="I1692" s="14">
        <v>5.0</v>
      </c>
      <c r="J1692" s="15" t="s">
        <v>38</v>
      </c>
      <c r="K1692" s="16">
        <v>0.5</v>
      </c>
      <c r="L1692" s="17">
        <f t="shared" si="7"/>
        <v>2.5</v>
      </c>
      <c r="M1692" s="17">
        <f t="shared" si="2"/>
        <v>2.5</v>
      </c>
      <c r="N1692" s="18">
        <f t="shared" si="3"/>
        <v>3123.45</v>
      </c>
      <c r="O1692" s="18">
        <f t="shared" si="4"/>
        <v>3123.45</v>
      </c>
      <c r="P1692" s="18">
        <f t="shared" si="5"/>
        <v>3123.45</v>
      </c>
      <c r="Q1692" s="8">
        <v>0.0</v>
      </c>
      <c r="R1692" s="18">
        <f t="shared" si="6"/>
        <v>1249.38</v>
      </c>
      <c r="S1692" s="19" t="s">
        <v>29</v>
      </c>
      <c r="T1692" s="19" t="s">
        <v>30</v>
      </c>
      <c r="U1692" s="20" t="s">
        <v>333</v>
      </c>
      <c r="V1692" s="37"/>
      <c r="W1692" s="7"/>
      <c r="X1692" s="7"/>
      <c r="Y1692" s="7"/>
      <c r="Z1692" s="7"/>
      <c r="AA1692" s="7"/>
    </row>
    <row r="1693" ht="18.75" customHeight="1">
      <c r="A1693" s="22" t="s">
        <v>1724</v>
      </c>
      <c r="B1693" s="23" t="s">
        <v>23</v>
      </c>
      <c r="C1693" s="23" t="s">
        <v>24</v>
      </c>
      <c r="D1693" s="24">
        <v>1878.0</v>
      </c>
      <c r="E1693" s="23" t="s">
        <v>1798</v>
      </c>
      <c r="F1693" s="25" t="s">
        <v>26</v>
      </c>
      <c r="G1693" s="26" t="s">
        <v>27</v>
      </c>
      <c r="H1693" s="27">
        <v>4899.9</v>
      </c>
      <c r="I1693" s="28">
        <v>5.0</v>
      </c>
      <c r="J1693" s="29" t="s">
        <v>38</v>
      </c>
      <c r="K1693" s="30">
        <v>0.5</v>
      </c>
      <c r="L1693" s="31">
        <f t="shared" si="7"/>
        <v>2.5</v>
      </c>
      <c r="M1693" s="31">
        <f t="shared" si="2"/>
        <v>2.5</v>
      </c>
      <c r="N1693" s="32">
        <f t="shared" si="3"/>
        <v>2449.95</v>
      </c>
      <c r="O1693" s="32">
        <f t="shared" si="4"/>
        <v>2449.95</v>
      </c>
      <c r="P1693" s="32">
        <f t="shared" si="5"/>
        <v>2449.95</v>
      </c>
      <c r="Q1693" s="22">
        <v>0.0</v>
      </c>
      <c r="R1693" s="32">
        <f t="shared" si="6"/>
        <v>979.98</v>
      </c>
      <c r="S1693" s="33" t="s">
        <v>29</v>
      </c>
      <c r="T1693" s="33" t="s">
        <v>30</v>
      </c>
      <c r="U1693" s="34" t="s">
        <v>67</v>
      </c>
      <c r="V1693" s="35"/>
      <c r="W1693" s="7"/>
      <c r="X1693" s="7"/>
      <c r="Y1693" s="7"/>
      <c r="Z1693" s="7"/>
      <c r="AA1693" s="7"/>
    </row>
    <row r="1694" ht="18.75" customHeight="1">
      <c r="A1694" s="8" t="s">
        <v>1724</v>
      </c>
      <c r="B1694" s="9" t="s">
        <v>23</v>
      </c>
      <c r="C1694" s="9" t="s">
        <v>24</v>
      </c>
      <c r="D1694" s="10">
        <v>1899.0</v>
      </c>
      <c r="E1694" s="9" t="s">
        <v>1799</v>
      </c>
      <c r="F1694" s="11" t="s">
        <v>26</v>
      </c>
      <c r="G1694" s="12" t="s">
        <v>27</v>
      </c>
      <c r="H1694" s="13">
        <v>359.9</v>
      </c>
      <c r="I1694" s="14">
        <v>5.0</v>
      </c>
      <c r="J1694" s="15" t="s">
        <v>38</v>
      </c>
      <c r="K1694" s="16">
        <v>0.5</v>
      </c>
      <c r="L1694" s="17">
        <f t="shared" si="7"/>
        <v>2.5</v>
      </c>
      <c r="M1694" s="17">
        <f t="shared" si="2"/>
        <v>2.5</v>
      </c>
      <c r="N1694" s="18">
        <f t="shared" si="3"/>
        <v>179.95</v>
      </c>
      <c r="O1694" s="18">
        <f t="shared" si="4"/>
        <v>179.95</v>
      </c>
      <c r="P1694" s="18">
        <f t="shared" si="5"/>
        <v>179.95</v>
      </c>
      <c r="Q1694" s="8">
        <v>0.0</v>
      </c>
      <c r="R1694" s="18">
        <f t="shared" si="6"/>
        <v>71.98</v>
      </c>
      <c r="S1694" s="19" t="s">
        <v>29</v>
      </c>
      <c r="T1694" s="19" t="s">
        <v>30</v>
      </c>
      <c r="U1694" s="20" t="s">
        <v>104</v>
      </c>
      <c r="V1694" s="37"/>
      <c r="W1694" s="7"/>
      <c r="X1694" s="7"/>
      <c r="Y1694" s="7"/>
      <c r="Z1694" s="7"/>
      <c r="AA1694" s="7"/>
    </row>
    <row r="1695" ht="18.75" customHeight="1">
      <c r="A1695" s="22" t="s">
        <v>1724</v>
      </c>
      <c r="B1695" s="23" t="s">
        <v>1757</v>
      </c>
      <c r="C1695" s="23" t="s">
        <v>150</v>
      </c>
      <c r="D1695" s="24">
        <v>1926.0</v>
      </c>
      <c r="E1695" s="23" t="s">
        <v>1800</v>
      </c>
      <c r="F1695" s="25" t="s">
        <v>26</v>
      </c>
      <c r="G1695" s="26" t="s">
        <v>27</v>
      </c>
      <c r="H1695" s="27">
        <v>651.75</v>
      </c>
      <c r="I1695" s="28">
        <v>5.0</v>
      </c>
      <c r="J1695" s="133" t="s">
        <v>54</v>
      </c>
      <c r="K1695" s="30">
        <v>0.3</v>
      </c>
      <c r="L1695" s="31">
        <f t="shared" si="7"/>
        <v>1.5</v>
      </c>
      <c r="M1695" s="31">
        <f t="shared" si="2"/>
        <v>3.5</v>
      </c>
      <c r="N1695" s="32">
        <f t="shared" si="3"/>
        <v>195.525</v>
      </c>
      <c r="O1695" s="32">
        <f t="shared" si="4"/>
        <v>456.225</v>
      </c>
      <c r="P1695" s="32">
        <f t="shared" si="5"/>
        <v>456.225</v>
      </c>
      <c r="Q1695" s="22">
        <v>0.0</v>
      </c>
      <c r="R1695" s="32">
        <f t="shared" si="6"/>
        <v>130.35</v>
      </c>
      <c r="S1695" s="33" t="s">
        <v>29</v>
      </c>
      <c r="T1695" s="33" t="s">
        <v>30</v>
      </c>
      <c r="U1695" s="34" t="s">
        <v>121</v>
      </c>
      <c r="V1695" s="35"/>
      <c r="W1695" s="7"/>
      <c r="X1695" s="7"/>
      <c r="Y1695" s="7"/>
      <c r="Z1695" s="7"/>
      <c r="AA1695" s="7"/>
    </row>
    <row r="1696" ht="18.75" customHeight="1">
      <c r="A1696" s="8" t="s">
        <v>1724</v>
      </c>
      <c r="B1696" s="9" t="s">
        <v>1757</v>
      </c>
      <c r="C1696" s="9" t="s">
        <v>150</v>
      </c>
      <c r="D1696" s="10">
        <v>1933.0</v>
      </c>
      <c r="E1696" s="9" t="s">
        <v>1801</v>
      </c>
      <c r="F1696" s="11" t="s">
        <v>26</v>
      </c>
      <c r="G1696" s="39"/>
      <c r="H1696" s="13">
        <v>3817.0</v>
      </c>
      <c r="I1696" s="14">
        <v>5.0</v>
      </c>
      <c r="J1696" s="15" t="s">
        <v>38</v>
      </c>
      <c r="K1696" s="16">
        <v>0.5</v>
      </c>
      <c r="L1696" s="17">
        <f t="shared" si="7"/>
        <v>2.5</v>
      </c>
      <c r="M1696" s="17">
        <f t="shared" si="2"/>
        <v>2.5</v>
      </c>
      <c r="N1696" s="18">
        <f t="shared" si="3"/>
        <v>1908.5</v>
      </c>
      <c r="O1696" s="18">
        <f t="shared" si="4"/>
        <v>1908.5</v>
      </c>
      <c r="P1696" s="18">
        <f t="shared" si="5"/>
        <v>1908.5</v>
      </c>
      <c r="Q1696" s="8">
        <v>0.0</v>
      </c>
      <c r="R1696" s="18">
        <f t="shared" si="6"/>
        <v>763.4</v>
      </c>
      <c r="S1696" s="19" t="s">
        <v>29</v>
      </c>
      <c r="T1696" s="19" t="s">
        <v>30</v>
      </c>
      <c r="U1696" s="36" t="s">
        <v>1802</v>
      </c>
      <c r="V1696" s="37"/>
      <c r="W1696" s="7"/>
      <c r="X1696" s="7"/>
      <c r="Y1696" s="7"/>
      <c r="Z1696" s="7"/>
      <c r="AA1696" s="7"/>
    </row>
    <row r="1697" ht="18.75" customHeight="1">
      <c r="A1697" s="22" t="s">
        <v>1724</v>
      </c>
      <c r="B1697" s="23" t="s">
        <v>1757</v>
      </c>
      <c r="C1697" s="23" t="s">
        <v>150</v>
      </c>
      <c r="D1697" s="24">
        <v>1934.0</v>
      </c>
      <c r="E1697" s="23" t="s">
        <v>692</v>
      </c>
      <c r="F1697" s="25" t="s">
        <v>26</v>
      </c>
      <c r="G1697" s="26" t="s">
        <v>27</v>
      </c>
      <c r="H1697" s="27">
        <v>2338.0</v>
      </c>
      <c r="I1697" s="28">
        <v>10.0</v>
      </c>
      <c r="J1697" s="29" t="s">
        <v>38</v>
      </c>
      <c r="K1697" s="30">
        <v>0.5</v>
      </c>
      <c r="L1697" s="31">
        <f t="shared" si="7"/>
        <v>5</v>
      </c>
      <c r="M1697" s="31">
        <f t="shared" si="2"/>
        <v>5</v>
      </c>
      <c r="N1697" s="32">
        <f t="shared" si="3"/>
        <v>1169</v>
      </c>
      <c r="O1697" s="32">
        <f t="shared" si="4"/>
        <v>1169</v>
      </c>
      <c r="P1697" s="32">
        <f t="shared" si="5"/>
        <v>1169</v>
      </c>
      <c r="Q1697" s="22">
        <v>0.0</v>
      </c>
      <c r="R1697" s="32">
        <f t="shared" si="6"/>
        <v>233.8</v>
      </c>
      <c r="S1697" s="33" t="s">
        <v>29</v>
      </c>
      <c r="T1697" s="33" t="s">
        <v>30</v>
      </c>
      <c r="U1697" s="38" t="s">
        <v>45</v>
      </c>
      <c r="V1697" s="35"/>
      <c r="W1697" s="7"/>
      <c r="X1697" s="7"/>
      <c r="Y1697" s="7"/>
      <c r="Z1697" s="7"/>
      <c r="AA1697" s="7"/>
    </row>
    <row r="1698" ht="18.75" customHeight="1">
      <c r="A1698" s="8" t="s">
        <v>1724</v>
      </c>
      <c r="B1698" s="9" t="s">
        <v>1757</v>
      </c>
      <c r="C1698" s="9" t="s">
        <v>1768</v>
      </c>
      <c r="D1698" s="10">
        <v>1936.0</v>
      </c>
      <c r="E1698" s="9" t="s">
        <v>1803</v>
      </c>
      <c r="F1698" s="11" t="s">
        <v>37</v>
      </c>
      <c r="G1698" s="12" t="s">
        <v>27</v>
      </c>
      <c r="H1698" s="13">
        <v>1044.42</v>
      </c>
      <c r="I1698" s="14">
        <v>10.0</v>
      </c>
      <c r="J1698" s="133" t="s">
        <v>54</v>
      </c>
      <c r="K1698" s="16">
        <v>0.3</v>
      </c>
      <c r="L1698" s="17">
        <f t="shared" si="7"/>
        <v>3</v>
      </c>
      <c r="M1698" s="17">
        <f t="shared" si="2"/>
        <v>7</v>
      </c>
      <c r="N1698" s="18">
        <f t="shared" si="3"/>
        <v>313.326</v>
      </c>
      <c r="O1698" s="18">
        <f t="shared" si="4"/>
        <v>731.094</v>
      </c>
      <c r="P1698" s="18">
        <f t="shared" si="5"/>
        <v>731.094</v>
      </c>
      <c r="Q1698" s="8">
        <v>0.0</v>
      </c>
      <c r="R1698" s="18">
        <f t="shared" si="6"/>
        <v>104.442</v>
      </c>
      <c r="S1698" s="19" t="s">
        <v>29</v>
      </c>
      <c r="T1698" s="19" t="s">
        <v>30</v>
      </c>
      <c r="U1698" s="20" t="s">
        <v>346</v>
      </c>
      <c r="V1698" s="37"/>
      <c r="W1698" s="7"/>
      <c r="X1698" s="7"/>
      <c r="Y1698" s="7"/>
      <c r="Z1698" s="7"/>
      <c r="AA1698" s="7"/>
    </row>
    <row r="1699" ht="18.75" customHeight="1">
      <c r="A1699" s="22" t="s">
        <v>1724</v>
      </c>
      <c r="B1699" s="23" t="s">
        <v>1757</v>
      </c>
      <c r="C1699" s="23" t="s">
        <v>1768</v>
      </c>
      <c r="D1699" s="24">
        <v>1937.0</v>
      </c>
      <c r="E1699" s="23" t="s">
        <v>1804</v>
      </c>
      <c r="F1699" s="25" t="s">
        <v>37</v>
      </c>
      <c r="G1699" s="26" t="s">
        <v>27</v>
      </c>
      <c r="H1699" s="27">
        <v>478.4</v>
      </c>
      <c r="I1699" s="28">
        <v>10.0</v>
      </c>
      <c r="J1699" s="135" t="s">
        <v>54</v>
      </c>
      <c r="K1699" s="30">
        <v>0.3</v>
      </c>
      <c r="L1699" s="31">
        <f t="shared" si="7"/>
        <v>3</v>
      </c>
      <c r="M1699" s="31">
        <f t="shared" si="2"/>
        <v>7</v>
      </c>
      <c r="N1699" s="32">
        <f t="shared" si="3"/>
        <v>143.52</v>
      </c>
      <c r="O1699" s="32">
        <f t="shared" si="4"/>
        <v>334.88</v>
      </c>
      <c r="P1699" s="32">
        <f t="shared" si="5"/>
        <v>334.88</v>
      </c>
      <c r="Q1699" s="22">
        <v>0.0</v>
      </c>
      <c r="R1699" s="32">
        <f t="shared" si="6"/>
        <v>47.84</v>
      </c>
      <c r="S1699" s="33" t="s">
        <v>29</v>
      </c>
      <c r="T1699" s="33" t="s">
        <v>30</v>
      </c>
      <c r="U1699" s="38" t="s">
        <v>1070</v>
      </c>
      <c r="V1699" s="35"/>
      <c r="W1699" s="7"/>
      <c r="X1699" s="7"/>
      <c r="Y1699" s="7"/>
      <c r="Z1699" s="7"/>
      <c r="AA1699" s="7"/>
    </row>
    <row r="1700" ht="18.75" customHeight="1">
      <c r="A1700" s="8" t="s">
        <v>1724</v>
      </c>
      <c r="B1700" s="9" t="s">
        <v>1757</v>
      </c>
      <c r="C1700" s="9" t="s">
        <v>1768</v>
      </c>
      <c r="D1700" s="10">
        <v>1938.0</v>
      </c>
      <c r="E1700" s="9" t="s">
        <v>1805</v>
      </c>
      <c r="F1700" s="11" t="s">
        <v>37</v>
      </c>
      <c r="G1700" s="12" t="s">
        <v>27</v>
      </c>
      <c r="H1700" s="13">
        <v>626.99</v>
      </c>
      <c r="I1700" s="14">
        <v>10.0</v>
      </c>
      <c r="J1700" s="133" t="s">
        <v>54</v>
      </c>
      <c r="K1700" s="16">
        <v>0.3</v>
      </c>
      <c r="L1700" s="17">
        <f t="shared" si="7"/>
        <v>3</v>
      </c>
      <c r="M1700" s="17">
        <f t="shared" si="2"/>
        <v>7</v>
      </c>
      <c r="N1700" s="18">
        <f t="shared" si="3"/>
        <v>188.097</v>
      </c>
      <c r="O1700" s="18">
        <f t="shared" si="4"/>
        <v>438.893</v>
      </c>
      <c r="P1700" s="18">
        <f t="shared" si="5"/>
        <v>438.893</v>
      </c>
      <c r="Q1700" s="8">
        <v>0.0</v>
      </c>
      <c r="R1700" s="18">
        <f t="shared" si="6"/>
        <v>62.699</v>
      </c>
      <c r="S1700" s="19" t="s">
        <v>29</v>
      </c>
      <c r="T1700" s="19" t="s">
        <v>30</v>
      </c>
      <c r="U1700" s="20" t="s">
        <v>284</v>
      </c>
      <c r="V1700" s="37"/>
      <c r="W1700" s="7"/>
      <c r="X1700" s="7"/>
      <c r="Y1700" s="7"/>
      <c r="Z1700" s="7"/>
      <c r="AA1700" s="7"/>
    </row>
    <row r="1701" ht="18.75" customHeight="1">
      <c r="A1701" s="22" t="s">
        <v>1724</v>
      </c>
      <c r="B1701" s="23" t="s">
        <v>1757</v>
      </c>
      <c r="C1701" s="23" t="s">
        <v>61</v>
      </c>
      <c r="D1701" s="24">
        <v>1939.0</v>
      </c>
      <c r="E1701" s="23" t="s">
        <v>1806</v>
      </c>
      <c r="F1701" s="25" t="s">
        <v>26</v>
      </c>
      <c r="G1701" s="40"/>
      <c r="H1701" s="27">
        <v>295.36</v>
      </c>
      <c r="I1701" s="28">
        <v>10.0</v>
      </c>
      <c r="J1701" s="29" t="s">
        <v>38</v>
      </c>
      <c r="K1701" s="30">
        <v>0.5</v>
      </c>
      <c r="L1701" s="31">
        <f t="shared" si="7"/>
        <v>5</v>
      </c>
      <c r="M1701" s="31">
        <f t="shared" si="2"/>
        <v>5</v>
      </c>
      <c r="N1701" s="32">
        <f t="shared" si="3"/>
        <v>147.68</v>
      </c>
      <c r="O1701" s="32">
        <f t="shared" si="4"/>
        <v>147.68</v>
      </c>
      <c r="P1701" s="32">
        <f t="shared" si="5"/>
        <v>147.68</v>
      </c>
      <c r="Q1701" s="22">
        <v>0.0</v>
      </c>
      <c r="R1701" s="32">
        <f t="shared" si="6"/>
        <v>29.536</v>
      </c>
      <c r="S1701" s="33" t="s">
        <v>29</v>
      </c>
      <c r="T1701" s="33" t="s">
        <v>30</v>
      </c>
      <c r="U1701" s="38" t="s">
        <v>1807</v>
      </c>
      <c r="V1701" s="35"/>
      <c r="W1701" s="7"/>
      <c r="X1701" s="7"/>
      <c r="Y1701" s="7"/>
      <c r="Z1701" s="7"/>
      <c r="AA1701" s="7"/>
    </row>
    <row r="1702" ht="18.75" customHeight="1">
      <c r="A1702" s="8" t="s">
        <v>1724</v>
      </c>
      <c r="B1702" s="9" t="s">
        <v>1044</v>
      </c>
      <c r="C1702" s="9" t="s">
        <v>534</v>
      </c>
      <c r="D1702" s="10">
        <v>1941.0</v>
      </c>
      <c r="E1702" s="9" t="s">
        <v>1808</v>
      </c>
      <c r="F1702" s="11" t="s">
        <v>26</v>
      </c>
      <c r="G1702" s="12" t="s">
        <v>27</v>
      </c>
      <c r="H1702" s="13">
        <v>235.03</v>
      </c>
      <c r="I1702" s="14">
        <v>10.0</v>
      </c>
      <c r="J1702" s="48" t="s">
        <v>63</v>
      </c>
      <c r="K1702" s="16">
        <v>0.700000000000008</v>
      </c>
      <c r="L1702" s="17">
        <f t="shared" si="7"/>
        <v>7</v>
      </c>
      <c r="M1702" s="17">
        <f t="shared" si="2"/>
        <v>3</v>
      </c>
      <c r="N1702" s="18">
        <f t="shared" si="3"/>
        <v>164.521</v>
      </c>
      <c r="O1702" s="18">
        <f t="shared" si="4"/>
        <v>70.509</v>
      </c>
      <c r="P1702" s="18">
        <f t="shared" si="5"/>
        <v>70.509</v>
      </c>
      <c r="Q1702" s="8">
        <v>0.0</v>
      </c>
      <c r="R1702" s="18">
        <f t="shared" si="6"/>
        <v>23.503</v>
      </c>
      <c r="S1702" s="19" t="s">
        <v>29</v>
      </c>
      <c r="T1702" s="19" t="s">
        <v>30</v>
      </c>
      <c r="U1702" s="20" t="s">
        <v>96</v>
      </c>
      <c r="V1702" s="37"/>
      <c r="W1702" s="7"/>
      <c r="X1702" s="7"/>
      <c r="Y1702" s="7"/>
      <c r="Z1702" s="7"/>
      <c r="AA1702" s="7"/>
    </row>
    <row r="1703" ht="18.75" customHeight="1">
      <c r="A1703" s="22" t="s">
        <v>1724</v>
      </c>
      <c r="B1703" s="23" t="s">
        <v>23</v>
      </c>
      <c r="C1703" s="23" t="s">
        <v>24</v>
      </c>
      <c r="D1703" s="24">
        <v>1943.0</v>
      </c>
      <c r="E1703" s="23" t="s">
        <v>1809</v>
      </c>
      <c r="F1703" s="25" t="s">
        <v>26</v>
      </c>
      <c r="G1703" s="26" t="s">
        <v>27</v>
      </c>
      <c r="H1703" s="27">
        <v>131.58</v>
      </c>
      <c r="I1703" s="28">
        <v>5.0</v>
      </c>
      <c r="J1703" s="29" t="s">
        <v>38</v>
      </c>
      <c r="K1703" s="30">
        <v>0.5</v>
      </c>
      <c r="L1703" s="31">
        <f t="shared" si="7"/>
        <v>2.5</v>
      </c>
      <c r="M1703" s="31">
        <f t="shared" si="2"/>
        <v>2.5</v>
      </c>
      <c r="N1703" s="32">
        <f t="shared" si="3"/>
        <v>65.79</v>
      </c>
      <c r="O1703" s="32">
        <f t="shared" si="4"/>
        <v>65.79</v>
      </c>
      <c r="P1703" s="32">
        <f t="shared" si="5"/>
        <v>65.79</v>
      </c>
      <c r="Q1703" s="22">
        <v>0.0</v>
      </c>
      <c r="R1703" s="32">
        <f t="shared" si="6"/>
        <v>26.316</v>
      </c>
      <c r="S1703" s="33" t="s">
        <v>29</v>
      </c>
      <c r="T1703" s="33" t="s">
        <v>30</v>
      </c>
      <c r="U1703" s="34" t="s">
        <v>268</v>
      </c>
      <c r="V1703" s="35"/>
      <c r="W1703" s="7"/>
      <c r="X1703" s="7"/>
      <c r="Y1703" s="7"/>
      <c r="Z1703" s="7"/>
      <c r="AA1703" s="7"/>
    </row>
    <row r="1704" ht="18.75" customHeight="1">
      <c r="A1704" s="8" t="s">
        <v>1724</v>
      </c>
      <c r="B1704" s="9" t="s">
        <v>23</v>
      </c>
      <c r="C1704" s="9" t="s">
        <v>24</v>
      </c>
      <c r="D1704" s="10">
        <v>1944.0</v>
      </c>
      <c r="E1704" s="9" t="s">
        <v>1809</v>
      </c>
      <c r="F1704" s="11" t="s">
        <v>26</v>
      </c>
      <c r="G1704" s="12" t="s">
        <v>27</v>
      </c>
      <c r="H1704" s="13">
        <v>131.58</v>
      </c>
      <c r="I1704" s="14">
        <v>5.0</v>
      </c>
      <c r="J1704" s="15" t="s">
        <v>38</v>
      </c>
      <c r="K1704" s="16">
        <v>0.5</v>
      </c>
      <c r="L1704" s="17">
        <f t="shared" si="7"/>
        <v>2.5</v>
      </c>
      <c r="M1704" s="17">
        <f t="shared" si="2"/>
        <v>2.5</v>
      </c>
      <c r="N1704" s="18">
        <f t="shared" si="3"/>
        <v>65.79</v>
      </c>
      <c r="O1704" s="18">
        <f t="shared" si="4"/>
        <v>65.79</v>
      </c>
      <c r="P1704" s="18">
        <f t="shared" si="5"/>
        <v>65.79</v>
      </c>
      <c r="Q1704" s="8">
        <v>0.0</v>
      </c>
      <c r="R1704" s="18">
        <f t="shared" si="6"/>
        <v>26.316</v>
      </c>
      <c r="S1704" s="19" t="s">
        <v>29</v>
      </c>
      <c r="T1704" s="19" t="s">
        <v>30</v>
      </c>
      <c r="U1704" s="20" t="s">
        <v>268</v>
      </c>
      <c r="V1704" s="37"/>
      <c r="W1704" s="7"/>
      <c r="X1704" s="7"/>
      <c r="Y1704" s="7"/>
      <c r="Z1704" s="7"/>
      <c r="AA1704" s="7"/>
    </row>
    <row r="1705" ht="18.75" customHeight="1">
      <c r="A1705" s="22" t="s">
        <v>1724</v>
      </c>
      <c r="B1705" s="23" t="s">
        <v>1725</v>
      </c>
      <c r="C1705" s="23" t="s">
        <v>24</v>
      </c>
      <c r="D1705" s="24">
        <v>1947.0</v>
      </c>
      <c r="E1705" s="23" t="s">
        <v>1810</v>
      </c>
      <c r="F1705" s="25" t="s">
        <v>26</v>
      </c>
      <c r="G1705" s="26" t="s">
        <v>27</v>
      </c>
      <c r="H1705" s="27">
        <v>1586.97</v>
      </c>
      <c r="I1705" s="28">
        <v>10.0</v>
      </c>
      <c r="J1705" s="135" t="s">
        <v>54</v>
      </c>
      <c r="K1705" s="30">
        <v>0.3</v>
      </c>
      <c r="L1705" s="31">
        <f t="shared" si="7"/>
        <v>3</v>
      </c>
      <c r="M1705" s="31">
        <f t="shared" si="2"/>
        <v>7</v>
      </c>
      <c r="N1705" s="32">
        <f t="shared" si="3"/>
        <v>476.091</v>
      </c>
      <c r="O1705" s="32">
        <f t="shared" si="4"/>
        <v>1110.879</v>
      </c>
      <c r="P1705" s="32">
        <f t="shared" si="5"/>
        <v>1110.879</v>
      </c>
      <c r="Q1705" s="22">
        <v>0.0</v>
      </c>
      <c r="R1705" s="32">
        <f t="shared" si="6"/>
        <v>158.697</v>
      </c>
      <c r="S1705" s="33" t="s">
        <v>29</v>
      </c>
      <c r="T1705" s="33" t="s">
        <v>30</v>
      </c>
      <c r="U1705" s="34" t="s">
        <v>575</v>
      </c>
      <c r="V1705" s="35"/>
      <c r="W1705" s="7"/>
      <c r="X1705" s="7"/>
      <c r="Y1705" s="7"/>
      <c r="Z1705" s="7"/>
      <c r="AA1705" s="7"/>
    </row>
    <row r="1706" ht="18.75" customHeight="1">
      <c r="A1706" s="8" t="s">
        <v>1724</v>
      </c>
      <c r="B1706" s="9" t="s">
        <v>1757</v>
      </c>
      <c r="C1706" s="9" t="s">
        <v>1768</v>
      </c>
      <c r="D1706" s="10">
        <v>1973.0</v>
      </c>
      <c r="E1706" s="9" t="s">
        <v>1811</v>
      </c>
      <c r="F1706" s="11" t="s">
        <v>26</v>
      </c>
      <c r="G1706" s="12" t="s">
        <v>27</v>
      </c>
      <c r="H1706" s="13">
        <v>2101.05</v>
      </c>
      <c r="I1706" s="14">
        <v>5.0</v>
      </c>
      <c r="J1706" s="15" t="s">
        <v>28</v>
      </c>
      <c r="K1706" s="16">
        <v>0.4</v>
      </c>
      <c r="L1706" s="17">
        <f t="shared" si="7"/>
        <v>2</v>
      </c>
      <c r="M1706" s="17">
        <f t="shared" si="2"/>
        <v>3</v>
      </c>
      <c r="N1706" s="18">
        <f t="shared" si="3"/>
        <v>840.42</v>
      </c>
      <c r="O1706" s="18">
        <f t="shared" si="4"/>
        <v>1260.63</v>
      </c>
      <c r="P1706" s="18">
        <f t="shared" si="5"/>
        <v>1260.63</v>
      </c>
      <c r="Q1706" s="8">
        <v>0.0</v>
      </c>
      <c r="R1706" s="18">
        <f t="shared" si="6"/>
        <v>420.21</v>
      </c>
      <c r="S1706" s="19" t="s">
        <v>29</v>
      </c>
      <c r="T1706" s="19" t="s">
        <v>30</v>
      </c>
      <c r="U1706" s="20" t="s">
        <v>102</v>
      </c>
      <c r="V1706" s="37"/>
      <c r="W1706" s="7"/>
      <c r="X1706" s="7"/>
      <c r="Y1706" s="7"/>
      <c r="Z1706" s="7"/>
      <c r="AA1706" s="7"/>
    </row>
    <row r="1707" ht="18.75" customHeight="1">
      <c r="A1707" s="22" t="s">
        <v>1724</v>
      </c>
      <c r="B1707" s="23" t="s">
        <v>1757</v>
      </c>
      <c r="C1707" s="23" t="s">
        <v>145</v>
      </c>
      <c r="D1707" s="24">
        <v>2033.0</v>
      </c>
      <c r="E1707" s="23" t="s">
        <v>1812</v>
      </c>
      <c r="F1707" s="25" t="s">
        <v>26</v>
      </c>
      <c r="G1707" s="26" t="s">
        <v>27</v>
      </c>
      <c r="H1707" s="27">
        <v>4899.9</v>
      </c>
      <c r="I1707" s="28">
        <v>5.0</v>
      </c>
      <c r="J1707" s="133" t="s">
        <v>54</v>
      </c>
      <c r="K1707" s="30">
        <v>0.3</v>
      </c>
      <c r="L1707" s="31">
        <f t="shared" si="7"/>
        <v>1.5</v>
      </c>
      <c r="M1707" s="31">
        <f t="shared" si="2"/>
        <v>3.5</v>
      </c>
      <c r="N1707" s="32">
        <f t="shared" si="3"/>
        <v>1469.97</v>
      </c>
      <c r="O1707" s="32">
        <f t="shared" si="4"/>
        <v>3429.93</v>
      </c>
      <c r="P1707" s="32">
        <f t="shared" si="5"/>
        <v>3429.93</v>
      </c>
      <c r="Q1707" s="22">
        <v>0.0</v>
      </c>
      <c r="R1707" s="32">
        <f t="shared" si="6"/>
        <v>979.98</v>
      </c>
      <c r="S1707" s="33" t="s">
        <v>29</v>
      </c>
      <c r="T1707" s="33" t="s">
        <v>30</v>
      </c>
      <c r="U1707" s="34" t="s">
        <v>67</v>
      </c>
      <c r="V1707" s="35"/>
      <c r="W1707" s="7"/>
      <c r="X1707" s="7"/>
      <c r="Y1707" s="7"/>
      <c r="Z1707" s="7"/>
      <c r="AA1707" s="7"/>
    </row>
    <row r="1708" ht="18.75" customHeight="1">
      <c r="A1708" s="8" t="s">
        <v>1724</v>
      </c>
      <c r="B1708" s="9" t="s">
        <v>1757</v>
      </c>
      <c r="C1708" s="9" t="s">
        <v>1768</v>
      </c>
      <c r="D1708" s="10">
        <v>2053.0</v>
      </c>
      <c r="E1708" s="9" t="s">
        <v>1813</v>
      </c>
      <c r="F1708" s="11" t="s">
        <v>26</v>
      </c>
      <c r="G1708" s="12" t="s">
        <v>27</v>
      </c>
      <c r="H1708" s="13">
        <v>1478.0</v>
      </c>
      <c r="I1708" s="14">
        <v>5.0</v>
      </c>
      <c r="J1708" s="15" t="s">
        <v>28</v>
      </c>
      <c r="K1708" s="16">
        <v>0.4</v>
      </c>
      <c r="L1708" s="17">
        <f t="shared" si="7"/>
        <v>2</v>
      </c>
      <c r="M1708" s="17">
        <f t="shared" si="2"/>
        <v>3</v>
      </c>
      <c r="N1708" s="18">
        <f t="shared" si="3"/>
        <v>591.2</v>
      </c>
      <c r="O1708" s="18">
        <f t="shared" si="4"/>
        <v>886.8</v>
      </c>
      <c r="P1708" s="18">
        <f t="shared" si="5"/>
        <v>886.8</v>
      </c>
      <c r="Q1708" s="8">
        <v>0.0</v>
      </c>
      <c r="R1708" s="18">
        <f t="shared" si="6"/>
        <v>295.6</v>
      </c>
      <c r="S1708" s="19" t="s">
        <v>29</v>
      </c>
      <c r="T1708" s="19" t="s">
        <v>30</v>
      </c>
      <c r="U1708" s="20" t="s">
        <v>264</v>
      </c>
      <c r="V1708" s="37"/>
      <c r="W1708" s="7"/>
      <c r="X1708" s="7"/>
      <c r="Y1708" s="7"/>
      <c r="Z1708" s="7"/>
      <c r="AA1708" s="7"/>
    </row>
    <row r="1709" ht="18.75" customHeight="1">
      <c r="A1709" s="22" t="s">
        <v>1724</v>
      </c>
      <c r="B1709" s="23" t="s">
        <v>23</v>
      </c>
      <c r="C1709" s="23" t="s">
        <v>24</v>
      </c>
      <c r="D1709" s="24">
        <v>2115.0</v>
      </c>
      <c r="E1709" s="23" t="s">
        <v>1814</v>
      </c>
      <c r="F1709" s="25" t="s">
        <v>26</v>
      </c>
      <c r="G1709" s="26" t="s">
        <v>27</v>
      </c>
      <c r="H1709" s="27">
        <v>37.9</v>
      </c>
      <c r="I1709" s="28">
        <v>5.0</v>
      </c>
      <c r="J1709" s="29" t="s">
        <v>38</v>
      </c>
      <c r="K1709" s="30">
        <v>0.5</v>
      </c>
      <c r="L1709" s="31">
        <f t="shared" si="7"/>
        <v>2.5</v>
      </c>
      <c r="M1709" s="31">
        <f t="shared" si="2"/>
        <v>2.5</v>
      </c>
      <c r="N1709" s="32">
        <f t="shared" si="3"/>
        <v>18.95</v>
      </c>
      <c r="O1709" s="32">
        <f t="shared" si="4"/>
        <v>18.95</v>
      </c>
      <c r="P1709" s="32">
        <f t="shared" si="5"/>
        <v>18.95</v>
      </c>
      <c r="Q1709" s="22">
        <v>0.0</v>
      </c>
      <c r="R1709" s="32">
        <f t="shared" si="6"/>
        <v>7.58</v>
      </c>
      <c r="S1709" s="33" t="s">
        <v>29</v>
      </c>
      <c r="T1709" s="33" t="s">
        <v>30</v>
      </c>
      <c r="U1709" s="34" t="s">
        <v>302</v>
      </c>
      <c r="V1709" s="35"/>
      <c r="W1709" s="7"/>
      <c r="X1709" s="7"/>
      <c r="Y1709" s="7"/>
      <c r="Z1709" s="7"/>
      <c r="AA1709" s="7"/>
    </row>
    <row r="1710" ht="18.75" customHeight="1">
      <c r="A1710" s="8" t="s">
        <v>1724</v>
      </c>
      <c r="B1710" s="9" t="s">
        <v>23</v>
      </c>
      <c r="C1710" s="9" t="s">
        <v>24</v>
      </c>
      <c r="D1710" s="10">
        <v>2145.0</v>
      </c>
      <c r="E1710" s="9" t="s">
        <v>1815</v>
      </c>
      <c r="F1710" s="11" t="s">
        <v>26</v>
      </c>
      <c r="G1710" s="12" t="s">
        <v>27</v>
      </c>
      <c r="H1710" s="13">
        <v>976.03</v>
      </c>
      <c r="I1710" s="14">
        <v>5.0</v>
      </c>
      <c r="J1710" s="15" t="s">
        <v>38</v>
      </c>
      <c r="K1710" s="16">
        <v>0.5</v>
      </c>
      <c r="L1710" s="17">
        <f t="shared" si="7"/>
        <v>2.5</v>
      </c>
      <c r="M1710" s="17">
        <f t="shared" si="2"/>
        <v>2.5</v>
      </c>
      <c r="N1710" s="18">
        <f t="shared" si="3"/>
        <v>488.015</v>
      </c>
      <c r="O1710" s="18">
        <f t="shared" si="4"/>
        <v>488.015</v>
      </c>
      <c r="P1710" s="18">
        <f t="shared" si="5"/>
        <v>488.015</v>
      </c>
      <c r="Q1710" s="8">
        <v>0.0</v>
      </c>
      <c r="R1710" s="18">
        <f t="shared" si="6"/>
        <v>195.206</v>
      </c>
      <c r="S1710" s="19" t="s">
        <v>29</v>
      </c>
      <c r="T1710" s="19" t="s">
        <v>30</v>
      </c>
      <c r="U1710" s="36" t="s">
        <v>620</v>
      </c>
      <c r="V1710" s="37"/>
      <c r="W1710" s="7"/>
      <c r="X1710" s="7"/>
      <c r="Y1710" s="7"/>
      <c r="Z1710" s="7"/>
      <c r="AA1710" s="7"/>
    </row>
    <row r="1711" ht="18.75" customHeight="1">
      <c r="A1711" s="22" t="s">
        <v>1724</v>
      </c>
      <c r="B1711" s="23" t="s">
        <v>23</v>
      </c>
      <c r="C1711" s="23" t="s">
        <v>24</v>
      </c>
      <c r="D1711" s="24">
        <v>2163.0</v>
      </c>
      <c r="E1711" s="23" t="s">
        <v>1816</v>
      </c>
      <c r="F1711" s="25" t="s">
        <v>37</v>
      </c>
      <c r="G1711" s="40"/>
      <c r="H1711" s="27">
        <v>249.0</v>
      </c>
      <c r="I1711" s="28">
        <v>10.0</v>
      </c>
      <c r="J1711" s="29" t="s">
        <v>38</v>
      </c>
      <c r="K1711" s="30">
        <v>0.5</v>
      </c>
      <c r="L1711" s="31">
        <f t="shared" si="7"/>
        <v>5</v>
      </c>
      <c r="M1711" s="31">
        <f t="shared" si="2"/>
        <v>5</v>
      </c>
      <c r="N1711" s="32">
        <f t="shared" si="3"/>
        <v>124.5</v>
      </c>
      <c r="O1711" s="32">
        <f t="shared" si="4"/>
        <v>124.5</v>
      </c>
      <c r="P1711" s="32">
        <f t="shared" si="5"/>
        <v>124.5</v>
      </c>
      <c r="Q1711" s="22">
        <v>0.0</v>
      </c>
      <c r="R1711" s="32">
        <f t="shared" si="6"/>
        <v>24.9</v>
      </c>
      <c r="S1711" s="33" t="s">
        <v>29</v>
      </c>
      <c r="T1711" s="33" t="s">
        <v>30</v>
      </c>
      <c r="U1711" s="38" t="s">
        <v>1817</v>
      </c>
      <c r="V1711" s="107"/>
      <c r="W1711" s="7"/>
      <c r="X1711" s="7"/>
      <c r="Y1711" s="7"/>
      <c r="Z1711" s="7"/>
      <c r="AA1711" s="7"/>
    </row>
    <row r="1712" ht="18.75" customHeight="1">
      <c r="A1712" s="8" t="s">
        <v>1724</v>
      </c>
      <c r="B1712" s="9" t="s">
        <v>23</v>
      </c>
      <c r="C1712" s="9" t="s">
        <v>24</v>
      </c>
      <c r="D1712" s="10">
        <v>2167.0</v>
      </c>
      <c r="E1712" s="9" t="s">
        <v>1818</v>
      </c>
      <c r="F1712" s="11" t="s">
        <v>26</v>
      </c>
      <c r="G1712" s="12" t="s">
        <v>27</v>
      </c>
      <c r="H1712" s="13">
        <v>976.03</v>
      </c>
      <c r="I1712" s="14">
        <v>5.0</v>
      </c>
      <c r="J1712" s="15" t="s">
        <v>38</v>
      </c>
      <c r="K1712" s="16">
        <v>0.5</v>
      </c>
      <c r="L1712" s="17">
        <f t="shared" si="7"/>
        <v>2.5</v>
      </c>
      <c r="M1712" s="17">
        <f t="shared" si="2"/>
        <v>2.5</v>
      </c>
      <c r="N1712" s="18">
        <f t="shared" si="3"/>
        <v>488.015</v>
      </c>
      <c r="O1712" s="18">
        <f t="shared" si="4"/>
        <v>488.015</v>
      </c>
      <c r="P1712" s="18">
        <f t="shared" si="5"/>
        <v>488.015</v>
      </c>
      <c r="Q1712" s="8">
        <v>0.0</v>
      </c>
      <c r="R1712" s="18">
        <f t="shared" si="6"/>
        <v>195.206</v>
      </c>
      <c r="S1712" s="19" t="s">
        <v>29</v>
      </c>
      <c r="T1712" s="19" t="s">
        <v>30</v>
      </c>
      <c r="U1712" s="36" t="s">
        <v>620</v>
      </c>
      <c r="V1712" s="144"/>
      <c r="W1712" s="7"/>
      <c r="X1712" s="7"/>
      <c r="Y1712" s="7"/>
      <c r="Z1712" s="7"/>
      <c r="AA1712" s="7"/>
    </row>
    <row r="1713" ht="18.75" customHeight="1">
      <c r="A1713" s="22" t="s">
        <v>1724</v>
      </c>
      <c r="B1713" s="23" t="s">
        <v>23</v>
      </c>
      <c r="C1713" s="23" t="s">
        <v>24</v>
      </c>
      <c r="D1713" s="24">
        <v>2231.0</v>
      </c>
      <c r="E1713" s="23" t="s">
        <v>1819</v>
      </c>
      <c r="F1713" s="25" t="s">
        <v>26</v>
      </c>
      <c r="G1713" s="40"/>
      <c r="H1713" s="27">
        <v>1478.0</v>
      </c>
      <c r="I1713" s="28">
        <v>5.0</v>
      </c>
      <c r="J1713" s="45" t="s">
        <v>63</v>
      </c>
      <c r="K1713" s="30">
        <v>0.700000000000008</v>
      </c>
      <c r="L1713" s="31">
        <f t="shared" si="7"/>
        <v>3.5</v>
      </c>
      <c r="M1713" s="31">
        <f t="shared" si="2"/>
        <v>1.5</v>
      </c>
      <c r="N1713" s="32">
        <f t="shared" si="3"/>
        <v>1034.6</v>
      </c>
      <c r="O1713" s="32">
        <f t="shared" si="4"/>
        <v>443.4</v>
      </c>
      <c r="P1713" s="32">
        <f t="shared" si="5"/>
        <v>443.4</v>
      </c>
      <c r="Q1713" s="22">
        <v>0.0</v>
      </c>
      <c r="R1713" s="32">
        <f t="shared" si="6"/>
        <v>295.6</v>
      </c>
      <c r="S1713" s="33" t="s">
        <v>29</v>
      </c>
      <c r="T1713" s="33" t="s">
        <v>30</v>
      </c>
      <c r="U1713" s="34" t="s">
        <v>264</v>
      </c>
      <c r="V1713" s="107"/>
      <c r="W1713" s="7"/>
      <c r="X1713" s="7"/>
      <c r="Y1713" s="7"/>
      <c r="Z1713" s="7"/>
      <c r="AA1713" s="7"/>
    </row>
    <row r="1714" ht="18.75" customHeight="1">
      <c r="A1714" s="8" t="s">
        <v>1724</v>
      </c>
      <c r="B1714" s="9" t="s">
        <v>1757</v>
      </c>
      <c r="C1714" s="9" t="s">
        <v>1759</v>
      </c>
      <c r="D1714" s="10">
        <v>2352.0</v>
      </c>
      <c r="E1714" s="9" t="s">
        <v>1820</v>
      </c>
      <c r="F1714" s="11" t="s">
        <v>26</v>
      </c>
      <c r="G1714" s="39"/>
      <c r="H1714" s="13">
        <v>3859.0</v>
      </c>
      <c r="I1714" s="14">
        <v>10.0</v>
      </c>
      <c r="J1714" s="15" t="s">
        <v>38</v>
      </c>
      <c r="K1714" s="16">
        <v>0.5</v>
      </c>
      <c r="L1714" s="17">
        <f t="shared" si="7"/>
        <v>5</v>
      </c>
      <c r="M1714" s="17">
        <f t="shared" si="2"/>
        <v>5</v>
      </c>
      <c r="N1714" s="18">
        <f t="shared" si="3"/>
        <v>1929.5</v>
      </c>
      <c r="O1714" s="18">
        <f t="shared" si="4"/>
        <v>1929.5</v>
      </c>
      <c r="P1714" s="18">
        <f t="shared" si="5"/>
        <v>1929.5</v>
      </c>
      <c r="Q1714" s="8">
        <v>0.0</v>
      </c>
      <c r="R1714" s="18">
        <f t="shared" si="6"/>
        <v>385.9</v>
      </c>
      <c r="S1714" s="19" t="s">
        <v>29</v>
      </c>
      <c r="T1714" s="19" t="s">
        <v>30</v>
      </c>
      <c r="U1714" s="36" t="s">
        <v>77</v>
      </c>
      <c r="V1714" s="144"/>
      <c r="W1714" s="7"/>
      <c r="X1714" s="7"/>
      <c r="Y1714" s="7"/>
      <c r="Z1714" s="7"/>
      <c r="AA1714" s="7"/>
    </row>
    <row r="1715" ht="18.75" customHeight="1">
      <c r="A1715" s="22" t="s">
        <v>1724</v>
      </c>
      <c r="B1715" s="23" t="s">
        <v>696</v>
      </c>
      <c r="C1715" s="23" t="s">
        <v>433</v>
      </c>
      <c r="D1715" s="24">
        <v>2354.0</v>
      </c>
      <c r="E1715" s="23" t="s">
        <v>1821</v>
      </c>
      <c r="F1715" s="25" t="s">
        <v>26</v>
      </c>
      <c r="G1715" s="40"/>
      <c r="H1715" s="27">
        <v>3817.0</v>
      </c>
      <c r="I1715" s="28">
        <v>5.0</v>
      </c>
      <c r="J1715" s="29" t="s">
        <v>154</v>
      </c>
      <c r="K1715" s="30">
        <v>0.8</v>
      </c>
      <c r="L1715" s="31">
        <f t="shared" si="7"/>
        <v>4</v>
      </c>
      <c r="M1715" s="31">
        <f t="shared" si="2"/>
        <v>1</v>
      </c>
      <c r="N1715" s="32">
        <f t="shared" si="3"/>
        <v>3053.6</v>
      </c>
      <c r="O1715" s="32">
        <f t="shared" si="4"/>
        <v>763.4</v>
      </c>
      <c r="P1715" s="32">
        <f t="shared" si="5"/>
        <v>763.4</v>
      </c>
      <c r="Q1715" s="22">
        <v>0.0</v>
      </c>
      <c r="R1715" s="32">
        <f t="shared" si="6"/>
        <v>763.4</v>
      </c>
      <c r="S1715" s="33" t="s">
        <v>29</v>
      </c>
      <c r="T1715" s="33" t="s">
        <v>30</v>
      </c>
      <c r="U1715" s="38" t="s">
        <v>1802</v>
      </c>
      <c r="V1715" s="107"/>
      <c r="W1715" s="7"/>
      <c r="X1715" s="7"/>
      <c r="Y1715" s="7"/>
      <c r="Z1715" s="7"/>
      <c r="AA1715" s="7"/>
    </row>
    <row r="1716" ht="18.75" customHeight="1">
      <c r="A1716" s="8" t="s">
        <v>1724</v>
      </c>
      <c r="B1716" s="9" t="s">
        <v>1757</v>
      </c>
      <c r="C1716" s="9" t="s">
        <v>1759</v>
      </c>
      <c r="D1716" s="10">
        <v>2369.0</v>
      </c>
      <c r="E1716" s="9" t="s">
        <v>1822</v>
      </c>
      <c r="F1716" s="11" t="s">
        <v>26</v>
      </c>
      <c r="G1716" s="39"/>
      <c r="H1716" s="13">
        <v>5355.0</v>
      </c>
      <c r="I1716" s="14">
        <v>5.0</v>
      </c>
      <c r="J1716" s="48" t="s">
        <v>63</v>
      </c>
      <c r="K1716" s="16">
        <v>0.700000000000008</v>
      </c>
      <c r="L1716" s="17">
        <f t="shared" si="7"/>
        <v>3.5</v>
      </c>
      <c r="M1716" s="17">
        <f t="shared" si="2"/>
        <v>1.5</v>
      </c>
      <c r="N1716" s="18">
        <f t="shared" si="3"/>
        <v>3748.5</v>
      </c>
      <c r="O1716" s="18">
        <f t="shared" si="4"/>
        <v>1606.5</v>
      </c>
      <c r="P1716" s="18">
        <f t="shared" si="5"/>
        <v>1606.5</v>
      </c>
      <c r="Q1716" s="8">
        <v>0.0</v>
      </c>
      <c r="R1716" s="18">
        <f t="shared" si="6"/>
        <v>1071</v>
      </c>
      <c r="S1716" s="19" t="s">
        <v>29</v>
      </c>
      <c r="T1716" s="19" t="s">
        <v>30</v>
      </c>
      <c r="U1716" s="36" t="s">
        <v>1823</v>
      </c>
      <c r="V1716" s="37"/>
      <c r="W1716" s="7"/>
      <c r="X1716" s="7"/>
      <c r="Y1716" s="7"/>
      <c r="Z1716" s="7"/>
      <c r="AA1716" s="7"/>
    </row>
    <row r="1717" ht="18.75" customHeight="1">
      <c r="A1717" s="22" t="s">
        <v>1724</v>
      </c>
      <c r="B1717" s="23" t="s">
        <v>23</v>
      </c>
      <c r="C1717" s="23" t="s">
        <v>24</v>
      </c>
      <c r="D1717" s="24">
        <v>2378.0</v>
      </c>
      <c r="E1717" s="23" t="s">
        <v>1824</v>
      </c>
      <c r="F1717" s="25" t="s">
        <v>26</v>
      </c>
      <c r="G1717" s="26" t="s">
        <v>27</v>
      </c>
      <c r="H1717" s="27">
        <v>359.9</v>
      </c>
      <c r="I1717" s="28">
        <v>5.0</v>
      </c>
      <c r="J1717" s="29" t="s">
        <v>38</v>
      </c>
      <c r="K1717" s="30">
        <v>0.5</v>
      </c>
      <c r="L1717" s="31">
        <f t="shared" si="7"/>
        <v>2.5</v>
      </c>
      <c r="M1717" s="31">
        <f t="shared" si="2"/>
        <v>2.5</v>
      </c>
      <c r="N1717" s="32">
        <f t="shared" si="3"/>
        <v>179.95</v>
      </c>
      <c r="O1717" s="32">
        <f t="shared" si="4"/>
        <v>179.95</v>
      </c>
      <c r="P1717" s="32">
        <f t="shared" si="5"/>
        <v>179.95</v>
      </c>
      <c r="Q1717" s="22">
        <v>0.0</v>
      </c>
      <c r="R1717" s="32">
        <f t="shared" si="6"/>
        <v>71.98</v>
      </c>
      <c r="S1717" s="33" t="s">
        <v>29</v>
      </c>
      <c r="T1717" s="33" t="s">
        <v>30</v>
      </c>
      <c r="U1717" s="34" t="s">
        <v>104</v>
      </c>
      <c r="V1717" s="35"/>
      <c r="W1717" s="7"/>
      <c r="X1717" s="7"/>
      <c r="Y1717" s="7"/>
      <c r="Z1717" s="7"/>
      <c r="AA1717" s="7"/>
    </row>
    <row r="1718" ht="18.75" customHeight="1">
      <c r="A1718" s="8" t="s">
        <v>1724</v>
      </c>
      <c r="B1718" s="9" t="s">
        <v>1044</v>
      </c>
      <c r="C1718" s="9" t="s">
        <v>1793</v>
      </c>
      <c r="D1718" s="10">
        <v>2420.0</v>
      </c>
      <c r="E1718" s="9" t="s">
        <v>1825</v>
      </c>
      <c r="F1718" s="11" t="s">
        <v>26</v>
      </c>
      <c r="G1718" s="12" t="s">
        <v>27</v>
      </c>
      <c r="H1718" s="13">
        <v>37.9</v>
      </c>
      <c r="I1718" s="14">
        <v>5.0</v>
      </c>
      <c r="J1718" s="15" t="s">
        <v>38</v>
      </c>
      <c r="K1718" s="16">
        <v>0.5</v>
      </c>
      <c r="L1718" s="17">
        <f t="shared" si="7"/>
        <v>2.5</v>
      </c>
      <c r="M1718" s="17">
        <f t="shared" si="2"/>
        <v>2.5</v>
      </c>
      <c r="N1718" s="18">
        <f t="shared" si="3"/>
        <v>18.95</v>
      </c>
      <c r="O1718" s="18">
        <f t="shared" si="4"/>
        <v>18.95</v>
      </c>
      <c r="P1718" s="18">
        <f t="shared" si="5"/>
        <v>18.95</v>
      </c>
      <c r="Q1718" s="8">
        <v>0.0</v>
      </c>
      <c r="R1718" s="18">
        <f t="shared" si="6"/>
        <v>7.58</v>
      </c>
      <c r="S1718" s="19" t="s">
        <v>29</v>
      </c>
      <c r="T1718" s="19" t="s">
        <v>30</v>
      </c>
      <c r="U1718" s="20" t="s">
        <v>302</v>
      </c>
      <c r="V1718" s="145"/>
      <c r="W1718" s="7"/>
      <c r="X1718" s="7"/>
      <c r="Y1718" s="7"/>
      <c r="Z1718" s="7"/>
      <c r="AA1718" s="7"/>
    </row>
    <row r="1719" ht="18.75" customHeight="1">
      <c r="A1719" s="22" t="s">
        <v>1724</v>
      </c>
      <c r="B1719" s="23" t="s">
        <v>1757</v>
      </c>
      <c r="C1719" s="23" t="s">
        <v>145</v>
      </c>
      <c r="D1719" s="24">
        <v>2474.0</v>
      </c>
      <c r="E1719" s="23" t="s">
        <v>1826</v>
      </c>
      <c r="F1719" s="25" t="s">
        <v>26</v>
      </c>
      <c r="G1719" s="26" t="s">
        <v>27</v>
      </c>
      <c r="H1719" s="56">
        <v>840.42</v>
      </c>
      <c r="I1719" s="28">
        <v>10.0</v>
      </c>
      <c r="J1719" s="29" t="s">
        <v>38</v>
      </c>
      <c r="K1719" s="30">
        <v>0.5</v>
      </c>
      <c r="L1719" s="31">
        <f t="shared" si="7"/>
        <v>5</v>
      </c>
      <c r="M1719" s="31">
        <f t="shared" si="2"/>
        <v>5</v>
      </c>
      <c r="N1719" s="32">
        <f t="shared" si="3"/>
        <v>420.21</v>
      </c>
      <c r="O1719" s="32">
        <f t="shared" si="4"/>
        <v>420.21</v>
      </c>
      <c r="P1719" s="32">
        <f t="shared" si="5"/>
        <v>420.21</v>
      </c>
      <c r="Q1719" s="22">
        <v>0.0</v>
      </c>
      <c r="R1719" s="32">
        <f t="shared" si="6"/>
        <v>84.042</v>
      </c>
      <c r="S1719" s="33" t="s">
        <v>29</v>
      </c>
      <c r="T1719" s="33" t="s">
        <v>30</v>
      </c>
      <c r="U1719" s="34" t="s">
        <v>102</v>
      </c>
      <c r="V1719" s="57"/>
      <c r="W1719" s="7"/>
      <c r="X1719" s="7"/>
      <c r="Y1719" s="7"/>
      <c r="Z1719" s="7"/>
      <c r="AA1719" s="7"/>
    </row>
    <row r="1720" ht="18.75" customHeight="1">
      <c r="A1720" s="8" t="s">
        <v>1724</v>
      </c>
      <c r="B1720" s="9" t="s">
        <v>23</v>
      </c>
      <c r="C1720" s="9" t="s">
        <v>24</v>
      </c>
      <c r="D1720" s="10">
        <v>2477.0</v>
      </c>
      <c r="E1720" s="9" t="s">
        <v>1827</v>
      </c>
      <c r="F1720" s="11" t="s">
        <v>26</v>
      </c>
      <c r="G1720" s="39"/>
      <c r="H1720" s="13">
        <v>2588.844</v>
      </c>
      <c r="I1720" s="14">
        <v>5.0</v>
      </c>
      <c r="J1720" s="15" t="s">
        <v>38</v>
      </c>
      <c r="K1720" s="16">
        <v>0.5</v>
      </c>
      <c r="L1720" s="17">
        <f t="shared" si="7"/>
        <v>2.5</v>
      </c>
      <c r="M1720" s="17">
        <f t="shared" si="2"/>
        <v>2.5</v>
      </c>
      <c r="N1720" s="18">
        <f t="shared" si="3"/>
        <v>1294.422</v>
      </c>
      <c r="O1720" s="18">
        <f t="shared" si="4"/>
        <v>1294.422</v>
      </c>
      <c r="P1720" s="18">
        <f t="shared" si="5"/>
        <v>1294.422</v>
      </c>
      <c r="Q1720" s="8">
        <v>0.0</v>
      </c>
      <c r="R1720" s="18">
        <f t="shared" si="6"/>
        <v>517.7688</v>
      </c>
      <c r="S1720" s="19" t="s">
        <v>29</v>
      </c>
      <c r="T1720" s="19" t="s">
        <v>30</v>
      </c>
      <c r="U1720" s="36" t="s">
        <v>1030</v>
      </c>
      <c r="V1720" s="145"/>
      <c r="W1720" s="7"/>
      <c r="X1720" s="7"/>
      <c r="Y1720" s="7"/>
      <c r="Z1720" s="7"/>
      <c r="AA1720" s="7"/>
    </row>
    <row r="1721" ht="18.75" customHeight="1">
      <c r="A1721" s="22" t="s">
        <v>1724</v>
      </c>
      <c r="B1721" s="23" t="s">
        <v>23</v>
      </c>
      <c r="C1721" s="23" t="s">
        <v>24</v>
      </c>
      <c r="D1721" s="24">
        <v>2480.0</v>
      </c>
      <c r="E1721" s="23" t="s">
        <v>1827</v>
      </c>
      <c r="F1721" s="25" t="s">
        <v>26</v>
      </c>
      <c r="G1721" s="40"/>
      <c r="H1721" s="27">
        <v>2588.844</v>
      </c>
      <c r="I1721" s="28">
        <v>5.0</v>
      </c>
      <c r="J1721" s="29" t="s">
        <v>38</v>
      </c>
      <c r="K1721" s="30">
        <v>0.5</v>
      </c>
      <c r="L1721" s="31">
        <f t="shared" si="7"/>
        <v>2.5</v>
      </c>
      <c r="M1721" s="31">
        <f t="shared" si="2"/>
        <v>2.5</v>
      </c>
      <c r="N1721" s="32">
        <f t="shared" si="3"/>
        <v>1294.422</v>
      </c>
      <c r="O1721" s="32">
        <f t="shared" si="4"/>
        <v>1294.422</v>
      </c>
      <c r="P1721" s="32">
        <f t="shared" si="5"/>
        <v>1294.422</v>
      </c>
      <c r="Q1721" s="22">
        <v>0.0</v>
      </c>
      <c r="R1721" s="32">
        <f t="shared" si="6"/>
        <v>517.7688</v>
      </c>
      <c r="S1721" s="33" t="s">
        <v>29</v>
      </c>
      <c r="T1721" s="33" t="s">
        <v>30</v>
      </c>
      <c r="U1721" s="38" t="s">
        <v>1030</v>
      </c>
      <c r="V1721" s="57"/>
      <c r="W1721" s="7"/>
      <c r="X1721" s="7"/>
      <c r="Y1721" s="7"/>
      <c r="Z1721" s="7"/>
      <c r="AA1721" s="7"/>
    </row>
    <row r="1722" ht="18.75" customHeight="1">
      <c r="A1722" s="8" t="s">
        <v>1724</v>
      </c>
      <c r="B1722" s="9" t="s">
        <v>1757</v>
      </c>
      <c r="C1722" s="9" t="s">
        <v>1768</v>
      </c>
      <c r="D1722" s="10">
        <v>2554.0</v>
      </c>
      <c r="E1722" s="9" t="s">
        <v>1828</v>
      </c>
      <c r="F1722" s="11" t="s">
        <v>26</v>
      </c>
      <c r="G1722" s="12" t="s">
        <v>27</v>
      </c>
      <c r="H1722" s="13">
        <v>6246.9</v>
      </c>
      <c r="I1722" s="14">
        <v>5.0</v>
      </c>
      <c r="J1722" s="15" t="s">
        <v>38</v>
      </c>
      <c r="K1722" s="16">
        <v>0.5</v>
      </c>
      <c r="L1722" s="17">
        <f t="shared" si="7"/>
        <v>2.5</v>
      </c>
      <c r="M1722" s="17">
        <f t="shared" si="2"/>
        <v>2.5</v>
      </c>
      <c r="N1722" s="18">
        <f t="shared" si="3"/>
        <v>3123.45</v>
      </c>
      <c r="O1722" s="18">
        <f t="shared" si="4"/>
        <v>3123.45</v>
      </c>
      <c r="P1722" s="18">
        <f t="shared" si="5"/>
        <v>3123.45</v>
      </c>
      <c r="Q1722" s="8">
        <v>0.0</v>
      </c>
      <c r="R1722" s="18">
        <f t="shared" si="6"/>
        <v>1249.38</v>
      </c>
      <c r="S1722" s="19" t="s">
        <v>29</v>
      </c>
      <c r="T1722" s="19" t="s">
        <v>30</v>
      </c>
      <c r="U1722" s="20" t="s">
        <v>333</v>
      </c>
      <c r="V1722" s="145"/>
      <c r="W1722" s="7"/>
      <c r="X1722" s="7"/>
      <c r="Y1722" s="7"/>
      <c r="Z1722" s="7"/>
      <c r="AA1722" s="7"/>
    </row>
    <row r="1723" ht="18.75" customHeight="1">
      <c r="A1723" s="22" t="s">
        <v>1724</v>
      </c>
      <c r="B1723" s="23" t="s">
        <v>1829</v>
      </c>
      <c r="C1723" s="23" t="s">
        <v>145</v>
      </c>
      <c r="D1723" s="24">
        <v>2601.0</v>
      </c>
      <c r="E1723" s="23" t="s">
        <v>1830</v>
      </c>
      <c r="F1723" s="25" t="s">
        <v>26</v>
      </c>
      <c r="G1723" s="40"/>
      <c r="H1723" s="27">
        <v>260.0</v>
      </c>
      <c r="I1723" s="28">
        <v>5.0</v>
      </c>
      <c r="J1723" s="146" t="s">
        <v>54</v>
      </c>
      <c r="K1723" s="30">
        <v>0.3</v>
      </c>
      <c r="L1723" s="31">
        <f t="shared" si="7"/>
        <v>1.5</v>
      </c>
      <c r="M1723" s="31">
        <f t="shared" si="2"/>
        <v>3.5</v>
      </c>
      <c r="N1723" s="32">
        <f t="shared" si="3"/>
        <v>78</v>
      </c>
      <c r="O1723" s="32">
        <f t="shared" si="4"/>
        <v>182</v>
      </c>
      <c r="P1723" s="32">
        <f t="shared" si="5"/>
        <v>182</v>
      </c>
      <c r="Q1723" s="22">
        <v>0.0</v>
      </c>
      <c r="R1723" s="32">
        <f t="shared" si="6"/>
        <v>52</v>
      </c>
      <c r="S1723" s="33" t="s">
        <v>29</v>
      </c>
      <c r="T1723" s="33" t="s">
        <v>30</v>
      </c>
      <c r="U1723" s="38" t="s">
        <v>521</v>
      </c>
      <c r="V1723" s="57"/>
      <c r="W1723" s="7"/>
      <c r="X1723" s="7"/>
      <c r="Y1723" s="7"/>
      <c r="Z1723" s="7"/>
      <c r="AA1723" s="7"/>
    </row>
    <row r="1724" ht="18.75" customHeight="1">
      <c r="A1724" s="8" t="s">
        <v>1724</v>
      </c>
      <c r="B1724" s="9" t="s">
        <v>23</v>
      </c>
      <c r="C1724" s="9" t="s">
        <v>24</v>
      </c>
      <c r="D1724" s="10">
        <v>2658.0</v>
      </c>
      <c r="E1724" s="9" t="s">
        <v>378</v>
      </c>
      <c r="F1724" s="11" t="s">
        <v>26</v>
      </c>
      <c r="G1724" s="12" t="s">
        <v>27</v>
      </c>
      <c r="H1724" s="13">
        <v>1268.25</v>
      </c>
      <c r="I1724" s="147">
        <v>10.0</v>
      </c>
      <c r="J1724" s="15" t="s">
        <v>28</v>
      </c>
      <c r="K1724" s="16">
        <v>0.4</v>
      </c>
      <c r="L1724" s="17">
        <f t="shared" si="7"/>
        <v>4</v>
      </c>
      <c r="M1724" s="17">
        <f t="shared" si="2"/>
        <v>6</v>
      </c>
      <c r="N1724" s="18">
        <f t="shared" si="3"/>
        <v>507.3</v>
      </c>
      <c r="O1724" s="18">
        <f t="shared" si="4"/>
        <v>760.95</v>
      </c>
      <c r="P1724" s="18">
        <f t="shared" si="5"/>
        <v>760.95</v>
      </c>
      <c r="Q1724" s="8">
        <v>0.0</v>
      </c>
      <c r="R1724" s="18">
        <f t="shared" si="6"/>
        <v>126.825</v>
      </c>
      <c r="S1724" s="19" t="s">
        <v>29</v>
      </c>
      <c r="T1724" s="19" t="s">
        <v>30</v>
      </c>
      <c r="U1724" s="36" t="s">
        <v>379</v>
      </c>
      <c r="V1724" s="145"/>
      <c r="W1724" s="7"/>
      <c r="X1724" s="7"/>
      <c r="Y1724" s="7"/>
      <c r="Z1724" s="7"/>
      <c r="AA1724" s="7"/>
    </row>
    <row r="1725" ht="18.75" customHeight="1">
      <c r="A1725" s="22" t="s">
        <v>1724</v>
      </c>
      <c r="B1725" s="23" t="s">
        <v>23</v>
      </c>
      <c r="C1725" s="23" t="s">
        <v>24</v>
      </c>
      <c r="D1725" s="24">
        <v>2692.0</v>
      </c>
      <c r="E1725" s="23" t="s">
        <v>1831</v>
      </c>
      <c r="F1725" s="25" t="s">
        <v>26</v>
      </c>
      <c r="G1725" s="40"/>
      <c r="H1725" s="27">
        <v>1151.0</v>
      </c>
      <c r="I1725" s="148">
        <v>10.0</v>
      </c>
      <c r="J1725" s="29" t="s">
        <v>38</v>
      </c>
      <c r="K1725" s="30">
        <v>0.5</v>
      </c>
      <c r="L1725" s="31">
        <f t="shared" si="7"/>
        <v>5</v>
      </c>
      <c r="M1725" s="31">
        <f t="shared" si="2"/>
        <v>5</v>
      </c>
      <c r="N1725" s="32">
        <f t="shared" si="3"/>
        <v>575.5</v>
      </c>
      <c r="O1725" s="32">
        <f t="shared" si="4"/>
        <v>575.5</v>
      </c>
      <c r="P1725" s="32">
        <f t="shared" si="5"/>
        <v>575.5</v>
      </c>
      <c r="Q1725" s="22">
        <v>0.0</v>
      </c>
      <c r="R1725" s="32">
        <f t="shared" si="6"/>
        <v>115.1</v>
      </c>
      <c r="S1725" s="33" t="s">
        <v>29</v>
      </c>
      <c r="T1725" s="33" t="s">
        <v>30</v>
      </c>
      <c r="U1725" s="38" t="s">
        <v>1832</v>
      </c>
      <c r="V1725" s="57"/>
      <c r="W1725" s="7"/>
      <c r="X1725" s="7"/>
      <c r="Y1725" s="7"/>
      <c r="Z1725" s="7"/>
      <c r="AA1725" s="7"/>
    </row>
    <row r="1726" ht="18.75" customHeight="1">
      <c r="A1726" s="8" t="s">
        <v>1724</v>
      </c>
      <c r="B1726" s="9" t="s">
        <v>23</v>
      </c>
      <c r="C1726" s="9" t="s">
        <v>24</v>
      </c>
      <c r="D1726" s="10">
        <v>2693.0</v>
      </c>
      <c r="E1726" s="9" t="s">
        <v>1833</v>
      </c>
      <c r="F1726" s="11" t="s">
        <v>26</v>
      </c>
      <c r="G1726" s="39"/>
      <c r="H1726" s="13">
        <v>829.05</v>
      </c>
      <c r="I1726" s="147">
        <v>10.0</v>
      </c>
      <c r="J1726" s="15" t="s">
        <v>38</v>
      </c>
      <c r="K1726" s="16">
        <v>0.5</v>
      </c>
      <c r="L1726" s="17">
        <f t="shared" si="7"/>
        <v>5</v>
      </c>
      <c r="M1726" s="17">
        <f t="shared" si="2"/>
        <v>5</v>
      </c>
      <c r="N1726" s="18">
        <f t="shared" si="3"/>
        <v>414.525</v>
      </c>
      <c r="O1726" s="18">
        <f t="shared" si="4"/>
        <v>414.525</v>
      </c>
      <c r="P1726" s="18">
        <f t="shared" si="5"/>
        <v>414.525</v>
      </c>
      <c r="Q1726" s="8">
        <v>0.0</v>
      </c>
      <c r="R1726" s="18">
        <f t="shared" si="6"/>
        <v>82.905</v>
      </c>
      <c r="S1726" s="19" t="s">
        <v>29</v>
      </c>
      <c r="T1726" s="19" t="s">
        <v>30</v>
      </c>
      <c r="U1726" s="36" t="s">
        <v>106</v>
      </c>
      <c r="V1726" s="145"/>
      <c r="W1726" s="7"/>
      <c r="X1726" s="7"/>
      <c r="Y1726" s="7"/>
      <c r="Z1726" s="7"/>
      <c r="AA1726" s="7"/>
    </row>
    <row r="1727" ht="18.75" customHeight="1">
      <c r="A1727" s="22" t="s">
        <v>1724</v>
      </c>
      <c r="B1727" s="23" t="s">
        <v>23</v>
      </c>
      <c r="C1727" s="23" t="s">
        <v>24</v>
      </c>
      <c r="D1727" s="24">
        <v>2694.0</v>
      </c>
      <c r="E1727" s="23" t="s">
        <v>1834</v>
      </c>
      <c r="F1727" s="25" t="s">
        <v>26</v>
      </c>
      <c r="G1727" s="40"/>
      <c r="H1727" s="27">
        <v>490.98</v>
      </c>
      <c r="I1727" s="148">
        <v>10.0</v>
      </c>
      <c r="J1727" s="29" t="s">
        <v>38</v>
      </c>
      <c r="K1727" s="30">
        <v>0.5</v>
      </c>
      <c r="L1727" s="31">
        <f t="shared" si="7"/>
        <v>5</v>
      </c>
      <c r="M1727" s="31">
        <f t="shared" si="2"/>
        <v>5</v>
      </c>
      <c r="N1727" s="32">
        <f t="shared" si="3"/>
        <v>245.49</v>
      </c>
      <c r="O1727" s="32">
        <f t="shared" si="4"/>
        <v>245.49</v>
      </c>
      <c r="P1727" s="32">
        <f t="shared" si="5"/>
        <v>245.49</v>
      </c>
      <c r="Q1727" s="22">
        <v>0.0</v>
      </c>
      <c r="R1727" s="32">
        <f t="shared" si="6"/>
        <v>49.098</v>
      </c>
      <c r="S1727" s="33" t="s">
        <v>29</v>
      </c>
      <c r="T1727" s="33" t="s">
        <v>30</v>
      </c>
      <c r="U1727" s="38" t="s">
        <v>1835</v>
      </c>
      <c r="V1727" s="57"/>
      <c r="W1727" s="7"/>
      <c r="X1727" s="7"/>
      <c r="Y1727" s="7"/>
      <c r="Z1727" s="7"/>
      <c r="AA1727" s="7"/>
    </row>
    <row r="1728" ht="18.75" customHeight="1">
      <c r="A1728" s="8" t="s">
        <v>1724</v>
      </c>
      <c r="B1728" s="9" t="s">
        <v>23</v>
      </c>
      <c r="C1728" s="9" t="s">
        <v>24</v>
      </c>
      <c r="D1728" s="10">
        <v>2695.0</v>
      </c>
      <c r="E1728" s="9" t="s">
        <v>1836</v>
      </c>
      <c r="F1728" s="11" t="s">
        <v>26</v>
      </c>
      <c r="G1728" s="12" t="s">
        <v>27</v>
      </c>
      <c r="H1728" s="13">
        <v>238.95</v>
      </c>
      <c r="I1728" s="147">
        <v>5.0</v>
      </c>
      <c r="J1728" s="15" t="s">
        <v>38</v>
      </c>
      <c r="K1728" s="16">
        <v>0.5</v>
      </c>
      <c r="L1728" s="17">
        <f t="shared" si="7"/>
        <v>2.5</v>
      </c>
      <c r="M1728" s="17">
        <f t="shared" si="2"/>
        <v>2.5</v>
      </c>
      <c r="N1728" s="18">
        <f t="shared" si="3"/>
        <v>119.475</v>
      </c>
      <c r="O1728" s="18">
        <f t="shared" si="4"/>
        <v>119.475</v>
      </c>
      <c r="P1728" s="18">
        <f t="shared" si="5"/>
        <v>119.475</v>
      </c>
      <c r="Q1728" s="8">
        <v>0.0</v>
      </c>
      <c r="R1728" s="18">
        <f t="shared" si="6"/>
        <v>47.79</v>
      </c>
      <c r="S1728" s="19" t="s">
        <v>29</v>
      </c>
      <c r="T1728" s="19" t="s">
        <v>30</v>
      </c>
      <c r="U1728" s="20" t="s">
        <v>108</v>
      </c>
      <c r="V1728" s="145"/>
      <c r="W1728" s="7"/>
      <c r="X1728" s="7"/>
      <c r="Y1728" s="7"/>
      <c r="Z1728" s="7"/>
      <c r="AA1728" s="7"/>
    </row>
    <row r="1729" ht="18.75" customHeight="1">
      <c r="A1729" s="22" t="s">
        <v>1724</v>
      </c>
      <c r="B1729" s="23" t="s">
        <v>1837</v>
      </c>
      <c r="C1729" s="23" t="s">
        <v>1838</v>
      </c>
      <c r="D1729" s="24">
        <v>2820.0</v>
      </c>
      <c r="E1729" s="23" t="s">
        <v>1839</v>
      </c>
      <c r="F1729" s="25" t="s">
        <v>26</v>
      </c>
      <c r="G1729" s="40"/>
      <c r="H1729" s="27">
        <v>180.14</v>
      </c>
      <c r="I1729" s="148">
        <v>5.0</v>
      </c>
      <c r="J1729" s="29" t="s">
        <v>38</v>
      </c>
      <c r="K1729" s="30">
        <v>0.5</v>
      </c>
      <c r="L1729" s="31">
        <f t="shared" si="7"/>
        <v>2.5</v>
      </c>
      <c r="M1729" s="31">
        <f t="shared" si="2"/>
        <v>2.5</v>
      </c>
      <c r="N1729" s="32">
        <f t="shared" si="3"/>
        <v>90.07</v>
      </c>
      <c r="O1729" s="32">
        <f t="shared" si="4"/>
        <v>90.07</v>
      </c>
      <c r="P1729" s="32">
        <f t="shared" si="5"/>
        <v>90.07</v>
      </c>
      <c r="Q1729" s="22">
        <v>0.0</v>
      </c>
      <c r="R1729" s="32">
        <f t="shared" si="6"/>
        <v>36.028</v>
      </c>
      <c r="S1729" s="33" t="s">
        <v>29</v>
      </c>
      <c r="T1729" s="33" t="s">
        <v>30</v>
      </c>
      <c r="U1729" s="38" t="s">
        <v>1840</v>
      </c>
      <c r="V1729" s="57"/>
      <c r="W1729" s="7"/>
      <c r="X1729" s="7"/>
      <c r="Y1729" s="7"/>
      <c r="Z1729" s="7"/>
      <c r="AA1729" s="7"/>
    </row>
    <row r="1730" ht="18.75" customHeight="1">
      <c r="A1730" s="8" t="s">
        <v>1724</v>
      </c>
      <c r="B1730" s="9" t="s">
        <v>1829</v>
      </c>
      <c r="C1730" s="19" t="s">
        <v>33</v>
      </c>
      <c r="D1730" s="10">
        <v>2903.0</v>
      </c>
      <c r="E1730" s="9" t="s">
        <v>1841</v>
      </c>
      <c r="F1730" s="11" t="s">
        <v>26</v>
      </c>
      <c r="G1730" s="39"/>
      <c r="H1730" s="13">
        <v>7749.9</v>
      </c>
      <c r="I1730" s="147">
        <v>10.0</v>
      </c>
      <c r="J1730" s="149" t="s">
        <v>54</v>
      </c>
      <c r="K1730" s="16">
        <v>0.3</v>
      </c>
      <c r="L1730" s="17">
        <f t="shared" si="7"/>
        <v>3</v>
      </c>
      <c r="M1730" s="17">
        <f t="shared" si="2"/>
        <v>7</v>
      </c>
      <c r="N1730" s="18">
        <f t="shared" si="3"/>
        <v>2324.97</v>
      </c>
      <c r="O1730" s="18">
        <f t="shared" si="4"/>
        <v>5424.93</v>
      </c>
      <c r="P1730" s="18">
        <f t="shared" si="5"/>
        <v>5424.93</v>
      </c>
      <c r="Q1730" s="8">
        <v>0.0</v>
      </c>
      <c r="R1730" s="18">
        <f t="shared" si="6"/>
        <v>774.99</v>
      </c>
      <c r="S1730" s="19" t="s">
        <v>29</v>
      </c>
      <c r="T1730" s="19" t="s">
        <v>30</v>
      </c>
      <c r="U1730" s="36" t="s">
        <v>1842</v>
      </c>
      <c r="V1730" s="145"/>
      <c r="W1730" s="7"/>
      <c r="X1730" s="7"/>
      <c r="Y1730" s="7"/>
      <c r="Z1730" s="7"/>
      <c r="AA1730" s="7"/>
    </row>
    <row r="1731" ht="18.75" customHeight="1">
      <c r="A1731" s="150" t="s">
        <v>22</v>
      </c>
      <c r="B1731" s="33" t="s">
        <v>72</v>
      </c>
      <c r="C1731" s="41" t="s">
        <v>24</v>
      </c>
      <c r="D1731" s="151">
        <v>283.0</v>
      </c>
      <c r="E1731" s="33" t="s">
        <v>127</v>
      </c>
      <c r="F1731" s="25" t="s">
        <v>128</v>
      </c>
      <c r="G1731" s="152" t="s">
        <v>27</v>
      </c>
      <c r="H1731" s="153">
        <v>1669.0</v>
      </c>
      <c r="I1731" s="154">
        <v>5.0</v>
      </c>
      <c r="J1731" s="29" t="s">
        <v>38</v>
      </c>
      <c r="K1731" s="30">
        <v>0.5</v>
      </c>
      <c r="L1731" s="155">
        <f t="shared" si="7"/>
        <v>2.5</v>
      </c>
      <c r="M1731" s="31">
        <f t="shared" si="2"/>
        <v>2.5</v>
      </c>
      <c r="N1731" s="32">
        <f t="shared" si="3"/>
        <v>834.5</v>
      </c>
      <c r="O1731" s="32">
        <f t="shared" si="4"/>
        <v>834.5</v>
      </c>
      <c r="P1731" s="32">
        <f t="shared" si="5"/>
        <v>834.5</v>
      </c>
      <c r="Q1731" s="22">
        <v>0.0</v>
      </c>
      <c r="R1731" s="32">
        <f t="shared" si="6"/>
        <v>333.8</v>
      </c>
      <c r="S1731" s="33" t="s">
        <v>29</v>
      </c>
      <c r="T1731" s="33" t="s">
        <v>30</v>
      </c>
      <c r="U1731" s="156" t="s">
        <v>129</v>
      </c>
      <c r="V1731" s="57"/>
      <c r="W1731" s="7"/>
      <c r="X1731" s="7"/>
      <c r="Y1731" s="7"/>
      <c r="Z1731" s="7"/>
      <c r="AA1731" s="7"/>
    </row>
    <row r="1732" ht="18.75" customHeight="1">
      <c r="A1732" s="157" t="s">
        <v>22</v>
      </c>
      <c r="B1732" s="158" t="s">
        <v>72</v>
      </c>
      <c r="C1732" s="113" t="s">
        <v>24</v>
      </c>
      <c r="D1732" s="159">
        <v>514.0</v>
      </c>
      <c r="E1732" s="160" t="s">
        <v>1843</v>
      </c>
      <c r="F1732" s="11" t="s">
        <v>26</v>
      </c>
      <c r="G1732" s="161"/>
      <c r="H1732" s="162">
        <v>3104.1</v>
      </c>
      <c r="I1732" s="163">
        <v>10.0</v>
      </c>
      <c r="J1732" s="15" t="s">
        <v>38</v>
      </c>
      <c r="K1732" s="16">
        <v>0.5</v>
      </c>
      <c r="L1732" s="164">
        <f t="shared" si="7"/>
        <v>5</v>
      </c>
      <c r="M1732" s="17">
        <f t="shared" si="2"/>
        <v>5</v>
      </c>
      <c r="N1732" s="18">
        <f t="shared" si="3"/>
        <v>1552.05</v>
      </c>
      <c r="O1732" s="18">
        <f t="shared" si="4"/>
        <v>1552.05</v>
      </c>
      <c r="P1732" s="18">
        <f t="shared" si="5"/>
        <v>1552.05</v>
      </c>
      <c r="Q1732" s="8">
        <v>0.0</v>
      </c>
      <c r="R1732" s="18">
        <f t="shared" si="6"/>
        <v>310.41</v>
      </c>
      <c r="S1732" s="19" t="s">
        <v>29</v>
      </c>
      <c r="T1732" s="19" t="s">
        <v>30</v>
      </c>
      <c r="U1732" s="165" t="s">
        <v>31</v>
      </c>
      <c r="V1732" s="145"/>
      <c r="W1732" s="7"/>
      <c r="X1732" s="7"/>
      <c r="Y1732" s="7"/>
      <c r="Z1732" s="7"/>
      <c r="AA1732" s="7"/>
    </row>
    <row r="1733" ht="18.75" customHeight="1">
      <c r="A1733" s="157" t="s">
        <v>22</v>
      </c>
      <c r="B1733" s="158" t="s">
        <v>72</v>
      </c>
      <c r="C1733" s="166" t="s">
        <v>24</v>
      </c>
      <c r="D1733" s="167">
        <v>678.0</v>
      </c>
      <c r="E1733" s="160" t="s">
        <v>1844</v>
      </c>
      <c r="F1733" s="25" t="s">
        <v>37</v>
      </c>
      <c r="G1733" s="168"/>
      <c r="H1733" s="169">
        <v>500.0</v>
      </c>
      <c r="I1733" s="170">
        <v>10.0</v>
      </c>
      <c r="J1733" s="171" t="s">
        <v>289</v>
      </c>
      <c r="K1733" s="30">
        <v>0.95</v>
      </c>
      <c r="L1733" s="155">
        <f t="shared" si="7"/>
        <v>9.5</v>
      </c>
      <c r="M1733" s="31">
        <f t="shared" si="2"/>
        <v>0.5</v>
      </c>
      <c r="N1733" s="32">
        <f t="shared" si="3"/>
        <v>475</v>
      </c>
      <c r="O1733" s="32">
        <f t="shared" si="4"/>
        <v>25</v>
      </c>
      <c r="P1733" s="32">
        <f t="shared" si="5"/>
        <v>25</v>
      </c>
      <c r="Q1733" s="22">
        <v>0.0</v>
      </c>
      <c r="R1733" s="32">
        <f t="shared" si="6"/>
        <v>50</v>
      </c>
      <c r="S1733" s="33" t="s">
        <v>29</v>
      </c>
      <c r="T1733" s="33" t="s">
        <v>30</v>
      </c>
      <c r="U1733" s="172" t="s">
        <v>257</v>
      </c>
      <c r="V1733" s="57"/>
      <c r="W1733" s="7"/>
      <c r="X1733" s="7"/>
      <c r="Y1733" s="7"/>
      <c r="Z1733" s="7"/>
      <c r="AA1733" s="7"/>
    </row>
    <row r="1734" ht="18.75" customHeight="1">
      <c r="A1734" s="157" t="s">
        <v>22</v>
      </c>
      <c r="B1734" s="158" t="s">
        <v>72</v>
      </c>
      <c r="C1734" s="113" t="s">
        <v>24</v>
      </c>
      <c r="D1734" s="159">
        <v>2776.0</v>
      </c>
      <c r="E1734" s="160" t="s">
        <v>1220</v>
      </c>
      <c r="F1734" s="11" t="s">
        <v>37</v>
      </c>
      <c r="G1734" s="161"/>
      <c r="H1734" s="162">
        <v>255.7</v>
      </c>
      <c r="I1734" s="163">
        <v>15.0</v>
      </c>
      <c r="J1734" s="173" t="s">
        <v>54</v>
      </c>
      <c r="K1734" s="16">
        <v>0.3</v>
      </c>
      <c r="L1734" s="164">
        <f t="shared" si="7"/>
        <v>4.5</v>
      </c>
      <c r="M1734" s="17">
        <f t="shared" si="2"/>
        <v>10.5</v>
      </c>
      <c r="N1734" s="18">
        <f t="shared" si="3"/>
        <v>76.71</v>
      </c>
      <c r="O1734" s="18">
        <f t="shared" si="4"/>
        <v>178.99</v>
      </c>
      <c r="P1734" s="18">
        <f t="shared" si="5"/>
        <v>178.99</v>
      </c>
      <c r="Q1734" s="8">
        <v>0.0</v>
      </c>
      <c r="R1734" s="18">
        <f t="shared" si="6"/>
        <v>17.04666667</v>
      </c>
      <c r="S1734" s="19" t="s">
        <v>29</v>
      </c>
      <c r="T1734" s="19" t="s">
        <v>30</v>
      </c>
      <c r="U1734" s="165" t="s">
        <v>300</v>
      </c>
      <c r="V1734" s="145"/>
      <c r="W1734" s="7"/>
      <c r="X1734" s="7"/>
      <c r="Y1734" s="7"/>
      <c r="Z1734" s="7"/>
      <c r="AA1734" s="7"/>
    </row>
    <row r="1735" ht="18.75" customHeight="1">
      <c r="A1735" s="157" t="s">
        <v>22</v>
      </c>
      <c r="B1735" s="158" t="s">
        <v>72</v>
      </c>
      <c r="C1735" s="166" t="s">
        <v>24</v>
      </c>
      <c r="D1735" s="167">
        <v>2777.0</v>
      </c>
      <c r="E1735" s="160" t="s">
        <v>1220</v>
      </c>
      <c r="F1735" s="25" t="s">
        <v>37</v>
      </c>
      <c r="G1735" s="168"/>
      <c r="H1735" s="169">
        <v>255.7</v>
      </c>
      <c r="I1735" s="170">
        <v>15.0</v>
      </c>
      <c r="J1735" s="171" t="s">
        <v>54</v>
      </c>
      <c r="K1735" s="30">
        <v>0.3</v>
      </c>
      <c r="L1735" s="155">
        <f t="shared" si="7"/>
        <v>4.5</v>
      </c>
      <c r="M1735" s="31">
        <f t="shared" si="2"/>
        <v>10.5</v>
      </c>
      <c r="N1735" s="32">
        <f t="shared" si="3"/>
        <v>76.71</v>
      </c>
      <c r="O1735" s="32">
        <f t="shared" si="4"/>
        <v>178.99</v>
      </c>
      <c r="P1735" s="32">
        <f t="shared" si="5"/>
        <v>178.99</v>
      </c>
      <c r="Q1735" s="22">
        <v>0.0</v>
      </c>
      <c r="R1735" s="32">
        <f t="shared" si="6"/>
        <v>17.04666667</v>
      </c>
      <c r="S1735" s="33" t="s">
        <v>29</v>
      </c>
      <c r="T1735" s="33" t="s">
        <v>30</v>
      </c>
      <c r="U1735" s="172" t="s">
        <v>300</v>
      </c>
      <c r="V1735" s="57"/>
      <c r="W1735" s="7"/>
      <c r="X1735" s="7"/>
      <c r="Y1735" s="7"/>
      <c r="Z1735" s="7"/>
      <c r="AA1735" s="7"/>
    </row>
    <row r="1736" ht="18.75" customHeight="1">
      <c r="A1736" s="157" t="s">
        <v>22</v>
      </c>
      <c r="B1736" s="158" t="s">
        <v>72</v>
      </c>
      <c r="C1736" s="113" t="s">
        <v>24</v>
      </c>
      <c r="D1736" s="159">
        <v>2778.0</v>
      </c>
      <c r="E1736" s="160" t="s">
        <v>1845</v>
      </c>
      <c r="F1736" s="11" t="s">
        <v>26</v>
      </c>
      <c r="G1736" s="161"/>
      <c r="H1736" s="162">
        <v>236.72</v>
      </c>
      <c r="I1736" s="163">
        <v>5.0</v>
      </c>
      <c r="J1736" s="173" t="s">
        <v>54</v>
      </c>
      <c r="K1736" s="16">
        <v>0.3</v>
      </c>
      <c r="L1736" s="164">
        <f t="shared" si="7"/>
        <v>1.5</v>
      </c>
      <c r="M1736" s="17">
        <f t="shared" si="2"/>
        <v>3.5</v>
      </c>
      <c r="N1736" s="18">
        <f t="shared" si="3"/>
        <v>71.016</v>
      </c>
      <c r="O1736" s="18">
        <f t="shared" si="4"/>
        <v>165.704</v>
      </c>
      <c r="P1736" s="18">
        <f t="shared" si="5"/>
        <v>165.704</v>
      </c>
      <c r="Q1736" s="8">
        <v>0.0</v>
      </c>
      <c r="R1736" s="18">
        <f t="shared" si="6"/>
        <v>47.344</v>
      </c>
      <c r="S1736" s="19" t="s">
        <v>29</v>
      </c>
      <c r="T1736" s="19" t="s">
        <v>30</v>
      </c>
      <c r="U1736" s="165" t="s">
        <v>247</v>
      </c>
      <c r="V1736" s="145"/>
      <c r="W1736" s="7"/>
      <c r="X1736" s="7"/>
      <c r="Y1736" s="7"/>
      <c r="Z1736" s="7"/>
      <c r="AA1736" s="7"/>
    </row>
    <row r="1737" ht="18.75" customHeight="1">
      <c r="A1737" s="157" t="s">
        <v>22</v>
      </c>
      <c r="B1737" s="158" t="s">
        <v>72</v>
      </c>
      <c r="C1737" s="166" t="s">
        <v>24</v>
      </c>
      <c r="D1737" s="167">
        <v>2779.0</v>
      </c>
      <c r="E1737" s="160" t="s">
        <v>1846</v>
      </c>
      <c r="F1737" s="25" t="s">
        <v>26</v>
      </c>
      <c r="G1737" s="168"/>
      <c r="H1737" s="169">
        <v>235.03</v>
      </c>
      <c r="I1737" s="170">
        <v>10.0</v>
      </c>
      <c r="J1737" s="171" t="s">
        <v>54</v>
      </c>
      <c r="K1737" s="30">
        <v>0.3</v>
      </c>
      <c r="L1737" s="155">
        <f t="shared" si="7"/>
        <v>3</v>
      </c>
      <c r="M1737" s="31">
        <f t="shared" si="2"/>
        <v>7</v>
      </c>
      <c r="N1737" s="32">
        <f t="shared" si="3"/>
        <v>70.509</v>
      </c>
      <c r="O1737" s="32">
        <f t="shared" si="4"/>
        <v>164.521</v>
      </c>
      <c r="P1737" s="32">
        <f t="shared" si="5"/>
        <v>164.521</v>
      </c>
      <c r="Q1737" s="22">
        <v>0.0</v>
      </c>
      <c r="R1737" s="32">
        <f t="shared" si="6"/>
        <v>23.503</v>
      </c>
      <c r="S1737" s="33" t="s">
        <v>29</v>
      </c>
      <c r="T1737" s="33" t="s">
        <v>30</v>
      </c>
      <c r="U1737" s="172" t="s">
        <v>96</v>
      </c>
      <c r="V1737" s="57"/>
      <c r="W1737" s="7"/>
      <c r="X1737" s="7"/>
      <c r="Y1737" s="7"/>
      <c r="Z1737" s="7"/>
      <c r="AA1737" s="7"/>
    </row>
    <row r="1738" ht="18.75" customHeight="1">
      <c r="A1738" s="157" t="s">
        <v>22</v>
      </c>
      <c r="B1738" s="158" t="s">
        <v>72</v>
      </c>
      <c r="C1738" s="113" t="s">
        <v>24</v>
      </c>
      <c r="D1738" s="159">
        <v>2780.0</v>
      </c>
      <c r="E1738" s="160" t="s">
        <v>1846</v>
      </c>
      <c r="F1738" s="11" t="s">
        <v>26</v>
      </c>
      <c r="G1738" s="161"/>
      <c r="H1738" s="162">
        <v>235.03</v>
      </c>
      <c r="I1738" s="163">
        <v>10.0</v>
      </c>
      <c r="J1738" s="173" t="s">
        <v>54</v>
      </c>
      <c r="K1738" s="16">
        <v>0.3</v>
      </c>
      <c r="L1738" s="164">
        <f t="shared" si="7"/>
        <v>3</v>
      </c>
      <c r="M1738" s="17">
        <f t="shared" si="2"/>
        <v>7</v>
      </c>
      <c r="N1738" s="18">
        <f t="shared" si="3"/>
        <v>70.509</v>
      </c>
      <c r="O1738" s="18">
        <f t="shared" si="4"/>
        <v>164.521</v>
      </c>
      <c r="P1738" s="18">
        <f t="shared" si="5"/>
        <v>164.521</v>
      </c>
      <c r="Q1738" s="8">
        <v>0.0</v>
      </c>
      <c r="R1738" s="18">
        <f t="shared" si="6"/>
        <v>23.503</v>
      </c>
      <c r="S1738" s="19" t="s">
        <v>29</v>
      </c>
      <c r="T1738" s="19" t="s">
        <v>30</v>
      </c>
      <c r="U1738" s="165" t="s">
        <v>96</v>
      </c>
      <c r="V1738" s="145"/>
      <c r="W1738" s="7"/>
      <c r="X1738" s="7"/>
      <c r="Y1738" s="7"/>
      <c r="Z1738" s="7"/>
      <c r="AA1738" s="7"/>
    </row>
    <row r="1739" ht="18.75" customHeight="1">
      <c r="A1739" s="157" t="s">
        <v>22</v>
      </c>
      <c r="B1739" s="158" t="s">
        <v>72</v>
      </c>
      <c r="C1739" s="166" t="s">
        <v>24</v>
      </c>
      <c r="D1739" s="167">
        <v>2783.0</v>
      </c>
      <c r="E1739" s="160" t="s">
        <v>1847</v>
      </c>
      <c r="F1739" s="25" t="s">
        <v>26</v>
      </c>
      <c r="G1739" s="168"/>
      <c r="H1739" s="169">
        <v>1260.63</v>
      </c>
      <c r="I1739" s="170">
        <v>5.0</v>
      </c>
      <c r="J1739" s="171" t="s">
        <v>54</v>
      </c>
      <c r="K1739" s="30">
        <v>0.3</v>
      </c>
      <c r="L1739" s="155">
        <f t="shared" si="7"/>
        <v>1.5</v>
      </c>
      <c r="M1739" s="31">
        <f t="shared" si="2"/>
        <v>3.5</v>
      </c>
      <c r="N1739" s="32">
        <f t="shared" si="3"/>
        <v>378.189</v>
      </c>
      <c r="O1739" s="32">
        <f t="shared" si="4"/>
        <v>882.441</v>
      </c>
      <c r="P1739" s="32">
        <f t="shared" si="5"/>
        <v>882.441</v>
      </c>
      <c r="Q1739" s="22">
        <v>0.0</v>
      </c>
      <c r="R1739" s="32">
        <f t="shared" si="6"/>
        <v>252.126</v>
      </c>
      <c r="S1739" s="33" t="s">
        <v>29</v>
      </c>
      <c r="T1739" s="33" t="s">
        <v>30</v>
      </c>
      <c r="U1739" s="172" t="s">
        <v>102</v>
      </c>
      <c r="V1739" s="57"/>
      <c r="W1739" s="7"/>
      <c r="X1739" s="7"/>
      <c r="Y1739" s="7"/>
      <c r="Z1739" s="7"/>
      <c r="AA1739" s="7"/>
    </row>
    <row r="1740" ht="18.75" customHeight="1">
      <c r="A1740" s="157" t="s">
        <v>22</v>
      </c>
      <c r="B1740" s="158" t="s">
        <v>72</v>
      </c>
      <c r="C1740" s="113" t="s">
        <v>24</v>
      </c>
      <c r="D1740" s="159">
        <v>2799.0</v>
      </c>
      <c r="E1740" s="157" t="s">
        <v>903</v>
      </c>
      <c r="F1740" s="11" t="s">
        <v>26</v>
      </c>
      <c r="G1740" s="161"/>
      <c r="H1740" s="162">
        <v>285.0</v>
      </c>
      <c r="I1740" s="163">
        <v>5.0</v>
      </c>
      <c r="J1740" s="173" t="s">
        <v>1848</v>
      </c>
      <c r="K1740" s="16">
        <v>0.3</v>
      </c>
      <c r="L1740" s="164">
        <f t="shared" si="7"/>
        <v>1.5</v>
      </c>
      <c r="M1740" s="17">
        <f t="shared" si="2"/>
        <v>3.5</v>
      </c>
      <c r="N1740" s="18">
        <f t="shared" si="3"/>
        <v>85.5</v>
      </c>
      <c r="O1740" s="18">
        <f t="shared" si="4"/>
        <v>199.5</v>
      </c>
      <c r="P1740" s="18">
        <f t="shared" si="5"/>
        <v>199.5</v>
      </c>
      <c r="Q1740" s="8">
        <v>0.0</v>
      </c>
      <c r="R1740" s="18">
        <f t="shared" si="6"/>
        <v>57</v>
      </c>
      <c r="S1740" s="19" t="s">
        <v>29</v>
      </c>
      <c r="T1740" s="19" t="s">
        <v>30</v>
      </c>
      <c r="U1740" s="174" t="s">
        <v>251</v>
      </c>
      <c r="V1740" s="145"/>
      <c r="W1740" s="7"/>
      <c r="X1740" s="7"/>
      <c r="Y1740" s="7"/>
      <c r="Z1740" s="7"/>
      <c r="AA1740" s="7"/>
    </row>
    <row r="1741" ht="18.75" customHeight="1">
      <c r="A1741" s="157" t="s">
        <v>22</v>
      </c>
      <c r="B1741" s="158" t="s">
        <v>72</v>
      </c>
      <c r="C1741" s="166" t="s">
        <v>24</v>
      </c>
      <c r="D1741" s="167">
        <v>2801.0</v>
      </c>
      <c r="E1741" s="157" t="s">
        <v>1849</v>
      </c>
      <c r="F1741" s="25" t="s">
        <v>26</v>
      </c>
      <c r="G1741" s="168"/>
      <c r="H1741" s="169">
        <v>976.03</v>
      </c>
      <c r="I1741" s="170">
        <v>5.0</v>
      </c>
      <c r="J1741" s="171" t="s">
        <v>54</v>
      </c>
      <c r="K1741" s="30">
        <v>0.3</v>
      </c>
      <c r="L1741" s="155">
        <f t="shared" si="7"/>
        <v>1.5</v>
      </c>
      <c r="M1741" s="31">
        <f t="shared" si="2"/>
        <v>3.5</v>
      </c>
      <c r="N1741" s="32">
        <f t="shared" si="3"/>
        <v>292.809</v>
      </c>
      <c r="O1741" s="32">
        <f t="shared" si="4"/>
        <v>683.221</v>
      </c>
      <c r="P1741" s="32">
        <f t="shared" si="5"/>
        <v>683.221</v>
      </c>
      <c r="Q1741" s="22">
        <v>0.0</v>
      </c>
      <c r="R1741" s="32">
        <f t="shared" si="6"/>
        <v>195.206</v>
      </c>
      <c r="S1741" s="33" t="s">
        <v>29</v>
      </c>
      <c r="T1741" s="33" t="s">
        <v>30</v>
      </c>
      <c r="U1741" s="175" t="s">
        <v>620</v>
      </c>
      <c r="V1741" s="57"/>
      <c r="W1741" s="7"/>
      <c r="X1741" s="7"/>
      <c r="Y1741" s="7"/>
      <c r="Z1741" s="7"/>
      <c r="AA1741" s="7"/>
    </row>
    <row r="1742" ht="18.75" customHeight="1">
      <c r="A1742" s="157" t="s">
        <v>22</v>
      </c>
      <c r="B1742" s="158" t="s">
        <v>72</v>
      </c>
      <c r="C1742" s="113" t="s">
        <v>24</v>
      </c>
      <c r="D1742" s="159">
        <v>2802.0</v>
      </c>
      <c r="E1742" s="157" t="s">
        <v>1850</v>
      </c>
      <c r="F1742" s="11" t="s">
        <v>26</v>
      </c>
      <c r="G1742" s="161"/>
      <c r="H1742" s="169">
        <v>798.0</v>
      </c>
      <c r="I1742" s="163">
        <v>5.0</v>
      </c>
      <c r="J1742" s="173" t="s">
        <v>54</v>
      </c>
      <c r="K1742" s="16">
        <v>0.3</v>
      </c>
      <c r="L1742" s="164">
        <f t="shared" si="7"/>
        <v>1.5</v>
      </c>
      <c r="M1742" s="17">
        <f t="shared" si="2"/>
        <v>3.5</v>
      </c>
      <c r="N1742" s="18">
        <f t="shared" si="3"/>
        <v>239.4</v>
      </c>
      <c r="O1742" s="18">
        <f t="shared" si="4"/>
        <v>558.6</v>
      </c>
      <c r="P1742" s="18">
        <f t="shared" si="5"/>
        <v>558.6</v>
      </c>
      <c r="Q1742" s="8">
        <v>0.0</v>
      </c>
      <c r="R1742" s="18">
        <f t="shared" si="6"/>
        <v>159.6</v>
      </c>
      <c r="S1742" s="19" t="s">
        <v>29</v>
      </c>
      <c r="T1742" s="19" t="s">
        <v>30</v>
      </c>
      <c r="U1742" s="174" t="s">
        <v>622</v>
      </c>
      <c r="V1742" s="145"/>
      <c r="W1742" s="7"/>
      <c r="X1742" s="7"/>
      <c r="Y1742" s="7"/>
      <c r="Z1742" s="7"/>
      <c r="AA1742" s="7"/>
    </row>
    <row r="1743" ht="18.75" customHeight="1">
      <c r="A1743" s="157" t="s">
        <v>22</v>
      </c>
      <c r="B1743" s="158" t="s">
        <v>72</v>
      </c>
      <c r="C1743" s="166" t="s">
        <v>24</v>
      </c>
      <c r="D1743" s="167">
        <v>2816.0</v>
      </c>
      <c r="E1743" s="160" t="s">
        <v>1851</v>
      </c>
      <c r="F1743" s="25" t="s">
        <v>26</v>
      </c>
      <c r="G1743" s="168"/>
      <c r="I1743" s="170">
        <v>5.0</v>
      </c>
      <c r="J1743" s="29" t="s">
        <v>81</v>
      </c>
      <c r="K1743" s="30">
        <v>0.150000000000002</v>
      </c>
      <c r="L1743" s="155">
        <f t="shared" si="7"/>
        <v>0.75</v>
      </c>
      <c r="M1743" s="31">
        <f t="shared" si="2"/>
        <v>4.25</v>
      </c>
      <c r="N1743" s="32">
        <f>SUM(H1742*K1743)</f>
        <v>119.7</v>
      </c>
      <c r="O1743" s="32">
        <f>SUM(H1742-N1743)</f>
        <v>678.3</v>
      </c>
      <c r="P1743" s="32">
        <f t="shared" si="5"/>
        <v>678.3</v>
      </c>
      <c r="Q1743" s="22">
        <v>0.0</v>
      </c>
      <c r="R1743" s="32">
        <f t="shared" si="6"/>
        <v>159.6</v>
      </c>
      <c r="S1743" s="33" t="s">
        <v>29</v>
      </c>
      <c r="T1743" s="33" t="s">
        <v>30</v>
      </c>
      <c r="U1743" s="172" t="s">
        <v>111</v>
      </c>
      <c r="V1743" s="57"/>
      <c r="W1743" s="7"/>
      <c r="X1743" s="7"/>
      <c r="Y1743" s="7"/>
      <c r="Z1743" s="7"/>
      <c r="AA1743" s="7"/>
    </row>
    <row r="1744" ht="18.75" customHeight="1">
      <c r="A1744" s="157" t="s">
        <v>22</v>
      </c>
      <c r="B1744" s="158" t="s">
        <v>72</v>
      </c>
      <c r="C1744" s="113" t="s">
        <v>24</v>
      </c>
      <c r="D1744" s="159">
        <v>2833.0</v>
      </c>
      <c r="E1744" s="157" t="s">
        <v>1852</v>
      </c>
      <c r="F1744" s="11" t="s">
        <v>26</v>
      </c>
      <c r="G1744" s="161"/>
      <c r="H1744" s="162">
        <v>529.0</v>
      </c>
      <c r="I1744" s="163">
        <v>10.0</v>
      </c>
      <c r="J1744" s="173" t="s">
        <v>54</v>
      </c>
      <c r="K1744" s="16">
        <v>0.3</v>
      </c>
      <c r="L1744" s="164">
        <f t="shared" si="7"/>
        <v>3</v>
      </c>
      <c r="M1744" s="17">
        <f t="shared" si="2"/>
        <v>7</v>
      </c>
      <c r="N1744" s="18">
        <f t="shared" ref="N1744:N1989" si="8">SUM(H1744*K1744)</f>
        <v>158.7</v>
      </c>
      <c r="O1744" s="18">
        <f t="shared" ref="O1744:O1989" si="9">SUM(H1744-N1744)</f>
        <v>370.3</v>
      </c>
      <c r="P1744" s="18">
        <f t="shared" si="5"/>
        <v>370.3</v>
      </c>
      <c r="Q1744" s="8">
        <v>0.0</v>
      </c>
      <c r="R1744" s="18">
        <f t="shared" si="6"/>
        <v>52.9</v>
      </c>
      <c r="S1744" s="19" t="s">
        <v>29</v>
      </c>
      <c r="T1744" s="19" t="s">
        <v>30</v>
      </c>
      <c r="U1744" s="165" t="s">
        <v>275</v>
      </c>
      <c r="V1744" s="145"/>
      <c r="W1744" s="7"/>
      <c r="X1744" s="7"/>
      <c r="Y1744" s="7"/>
      <c r="Z1744" s="7"/>
      <c r="AA1744" s="7"/>
    </row>
    <row r="1745" ht="18.75" customHeight="1">
      <c r="A1745" s="157" t="s">
        <v>22</v>
      </c>
      <c r="B1745" s="158" t="s">
        <v>72</v>
      </c>
      <c r="C1745" s="166" t="s">
        <v>24</v>
      </c>
      <c r="D1745" s="167">
        <v>2844.0</v>
      </c>
      <c r="E1745" s="160" t="s">
        <v>1853</v>
      </c>
      <c r="F1745" s="25" t="s">
        <v>26</v>
      </c>
      <c r="G1745" s="168"/>
      <c r="H1745" s="169">
        <v>531.9</v>
      </c>
      <c r="I1745" s="170">
        <v>10.0</v>
      </c>
      <c r="J1745" s="171" t="s">
        <v>54</v>
      </c>
      <c r="K1745" s="30">
        <v>0.3</v>
      </c>
      <c r="L1745" s="155">
        <f t="shared" si="7"/>
        <v>3</v>
      </c>
      <c r="M1745" s="31">
        <f t="shared" si="2"/>
        <v>7</v>
      </c>
      <c r="N1745" s="32">
        <f t="shared" si="8"/>
        <v>159.57</v>
      </c>
      <c r="O1745" s="32">
        <f t="shared" si="9"/>
        <v>372.33</v>
      </c>
      <c r="P1745" s="32">
        <f t="shared" si="5"/>
        <v>372.33</v>
      </c>
      <c r="Q1745" s="22">
        <v>0.0</v>
      </c>
      <c r="R1745" s="32">
        <f t="shared" si="6"/>
        <v>53.19</v>
      </c>
      <c r="S1745" s="33" t="s">
        <v>29</v>
      </c>
      <c r="T1745" s="33" t="s">
        <v>30</v>
      </c>
      <c r="U1745" s="175" t="s">
        <v>191</v>
      </c>
      <c r="V1745" s="57"/>
      <c r="W1745" s="7"/>
      <c r="X1745" s="7"/>
      <c r="Y1745" s="7"/>
      <c r="Z1745" s="7"/>
      <c r="AA1745" s="7"/>
    </row>
    <row r="1746" ht="18.75" customHeight="1">
      <c r="A1746" s="157" t="s">
        <v>22</v>
      </c>
      <c r="B1746" s="158" t="s">
        <v>72</v>
      </c>
      <c r="C1746" s="113" t="s">
        <v>24</v>
      </c>
      <c r="D1746" s="159">
        <v>2860.0</v>
      </c>
      <c r="E1746" s="157" t="s">
        <v>1849</v>
      </c>
      <c r="F1746" s="11" t="s">
        <v>26</v>
      </c>
      <c r="G1746" s="161"/>
      <c r="H1746" s="162">
        <v>976.03</v>
      </c>
      <c r="I1746" s="163">
        <v>5.0</v>
      </c>
      <c r="J1746" s="173" t="s">
        <v>54</v>
      </c>
      <c r="K1746" s="16">
        <v>0.3</v>
      </c>
      <c r="L1746" s="164">
        <f t="shared" si="7"/>
        <v>1.5</v>
      </c>
      <c r="M1746" s="17">
        <f t="shared" si="2"/>
        <v>3.5</v>
      </c>
      <c r="N1746" s="18">
        <f t="shared" si="8"/>
        <v>292.809</v>
      </c>
      <c r="O1746" s="18">
        <f t="shared" si="9"/>
        <v>683.221</v>
      </c>
      <c r="P1746" s="18">
        <f t="shared" si="5"/>
        <v>683.221</v>
      </c>
      <c r="Q1746" s="8">
        <v>0.0</v>
      </c>
      <c r="R1746" s="18">
        <f t="shared" si="6"/>
        <v>195.206</v>
      </c>
      <c r="S1746" s="19" t="s">
        <v>29</v>
      </c>
      <c r="T1746" s="19" t="s">
        <v>30</v>
      </c>
      <c r="U1746" s="174" t="s">
        <v>620</v>
      </c>
      <c r="V1746" s="145"/>
      <c r="W1746" s="7"/>
      <c r="X1746" s="7"/>
      <c r="Y1746" s="7"/>
      <c r="Z1746" s="7"/>
      <c r="AA1746" s="7"/>
    </row>
    <row r="1747" ht="18.75" customHeight="1">
      <c r="A1747" s="157" t="s">
        <v>22</v>
      </c>
      <c r="B1747" s="158" t="s">
        <v>72</v>
      </c>
      <c r="C1747" s="158" t="s">
        <v>33</v>
      </c>
      <c r="D1747" s="167">
        <v>2881.0</v>
      </c>
      <c r="E1747" s="157" t="s">
        <v>1761</v>
      </c>
      <c r="F1747" s="25" t="s">
        <v>37</v>
      </c>
      <c r="G1747" s="168"/>
      <c r="H1747" s="169">
        <v>1647.58</v>
      </c>
      <c r="I1747" s="170">
        <v>15.0</v>
      </c>
      <c r="J1747" s="171" t="s">
        <v>54</v>
      </c>
      <c r="K1747" s="30">
        <v>0.3</v>
      </c>
      <c r="L1747" s="155">
        <f t="shared" si="7"/>
        <v>4.5</v>
      </c>
      <c r="M1747" s="31">
        <f t="shared" si="2"/>
        <v>10.5</v>
      </c>
      <c r="N1747" s="32">
        <f t="shared" si="8"/>
        <v>494.274</v>
      </c>
      <c r="O1747" s="32">
        <f t="shared" si="9"/>
        <v>1153.306</v>
      </c>
      <c r="P1747" s="32">
        <f t="shared" si="5"/>
        <v>1153.306</v>
      </c>
      <c r="Q1747" s="22">
        <v>0.0</v>
      </c>
      <c r="R1747" s="32">
        <f t="shared" si="6"/>
        <v>109.8386667</v>
      </c>
      <c r="S1747" s="33" t="s">
        <v>29</v>
      </c>
      <c r="T1747" s="33" t="s">
        <v>30</v>
      </c>
      <c r="U1747" s="172" t="s">
        <v>325</v>
      </c>
      <c r="V1747" s="57"/>
      <c r="W1747" s="7"/>
      <c r="X1747" s="7"/>
      <c r="Y1747" s="7"/>
      <c r="Z1747" s="7"/>
      <c r="AA1747" s="7"/>
    </row>
    <row r="1748" ht="18.75" customHeight="1">
      <c r="A1748" s="157" t="s">
        <v>22</v>
      </c>
      <c r="B1748" s="158" t="s">
        <v>72</v>
      </c>
      <c r="C1748" s="113" t="s">
        <v>24</v>
      </c>
      <c r="D1748" s="159">
        <v>3125.0</v>
      </c>
      <c r="E1748" s="160" t="s">
        <v>1854</v>
      </c>
      <c r="F1748" s="11" t="s">
        <v>26</v>
      </c>
      <c r="G1748" s="161"/>
      <c r="H1748" s="162">
        <v>1478.0</v>
      </c>
      <c r="I1748" s="163">
        <v>5.0</v>
      </c>
      <c r="J1748" s="173" t="s">
        <v>54</v>
      </c>
      <c r="K1748" s="16">
        <v>0.3</v>
      </c>
      <c r="L1748" s="164">
        <f t="shared" si="7"/>
        <v>1.5</v>
      </c>
      <c r="M1748" s="17">
        <f t="shared" si="2"/>
        <v>3.5</v>
      </c>
      <c r="N1748" s="18">
        <f t="shared" si="8"/>
        <v>443.4</v>
      </c>
      <c r="O1748" s="18">
        <f t="shared" si="9"/>
        <v>1034.6</v>
      </c>
      <c r="P1748" s="18">
        <f t="shared" si="5"/>
        <v>1034.6</v>
      </c>
      <c r="Q1748" s="8">
        <v>0.0</v>
      </c>
      <c r="R1748" s="18">
        <f t="shared" si="6"/>
        <v>295.6</v>
      </c>
      <c r="S1748" s="19" t="s">
        <v>29</v>
      </c>
      <c r="T1748" s="19" t="s">
        <v>30</v>
      </c>
      <c r="U1748" s="165" t="s">
        <v>264</v>
      </c>
      <c r="V1748" s="145"/>
      <c r="W1748" s="7"/>
      <c r="X1748" s="7"/>
      <c r="Y1748" s="7"/>
      <c r="Z1748" s="7"/>
      <c r="AA1748" s="7"/>
    </row>
    <row r="1749" ht="18.75" customHeight="1">
      <c r="A1749" s="157" t="s">
        <v>22</v>
      </c>
      <c r="B1749" s="158" t="s">
        <v>72</v>
      </c>
      <c r="C1749" s="166" t="s">
        <v>24</v>
      </c>
      <c r="D1749" s="167">
        <v>3206.0</v>
      </c>
      <c r="E1749" s="160" t="s">
        <v>1855</v>
      </c>
      <c r="F1749" s="25" t="s">
        <v>26</v>
      </c>
      <c r="G1749" s="168"/>
      <c r="H1749" s="169">
        <v>285.0</v>
      </c>
      <c r="I1749" s="170">
        <v>5.0</v>
      </c>
      <c r="J1749" s="29" t="s">
        <v>81</v>
      </c>
      <c r="K1749" s="30">
        <v>0.150000000000003</v>
      </c>
      <c r="L1749" s="155">
        <f t="shared" si="7"/>
        <v>0.75</v>
      </c>
      <c r="M1749" s="31">
        <f t="shared" si="2"/>
        <v>4.25</v>
      </c>
      <c r="N1749" s="32">
        <f t="shared" si="8"/>
        <v>42.75</v>
      </c>
      <c r="O1749" s="32">
        <f t="shared" si="9"/>
        <v>242.25</v>
      </c>
      <c r="P1749" s="32">
        <f t="shared" si="5"/>
        <v>242.25</v>
      </c>
      <c r="Q1749" s="22">
        <v>0.0</v>
      </c>
      <c r="R1749" s="32">
        <f t="shared" si="6"/>
        <v>57</v>
      </c>
      <c r="S1749" s="33" t="s">
        <v>29</v>
      </c>
      <c r="T1749" s="33" t="s">
        <v>30</v>
      </c>
      <c r="U1749" s="175" t="s">
        <v>251</v>
      </c>
      <c r="V1749" s="57"/>
      <c r="W1749" s="7"/>
      <c r="X1749" s="7"/>
      <c r="Y1749" s="7"/>
      <c r="Z1749" s="7"/>
      <c r="AA1749" s="7"/>
    </row>
    <row r="1750" ht="18.75" customHeight="1">
      <c r="A1750" s="157" t="s">
        <v>22</v>
      </c>
      <c r="B1750" s="158" t="s">
        <v>72</v>
      </c>
      <c r="C1750" s="113" t="s">
        <v>24</v>
      </c>
      <c r="D1750" s="159">
        <v>3207.0</v>
      </c>
      <c r="E1750" s="157" t="s">
        <v>1856</v>
      </c>
      <c r="F1750" s="11" t="s">
        <v>26</v>
      </c>
      <c r="G1750" s="161"/>
      <c r="H1750" s="162">
        <v>338.58</v>
      </c>
      <c r="I1750" s="163">
        <v>10.0</v>
      </c>
      <c r="J1750" s="15" t="s">
        <v>81</v>
      </c>
      <c r="K1750" s="16">
        <v>0.150000000000003</v>
      </c>
      <c r="L1750" s="164">
        <f t="shared" si="7"/>
        <v>1.5</v>
      </c>
      <c r="M1750" s="17">
        <f t="shared" si="2"/>
        <v>8.5</v>
      </c>
      <c r="N1750" s="18">
        <f t="shared" si="8"/>
        <v>50.787</v>
      </c>
      <c r="O1750" s="18">
        <f t="shared" si="9"/>
        <v>287.793</v>
      </c>
      <c r="P1750" s="18">
        <f t="shared" si="5"/>
        <v>287.793</v>
      </c>
      <c r="Q1750" s="8">
        <v>0.0</v>
      </c>
      <c r="R1750" s="18">
        <f t="shared" si="6"/>
        <v>33.858</v>
      </c>
      <c r="S1750" s="19" t="s">
        <v>29</v>
      </c>
      <c r="T1750" s="19" t="s">
        <v>30</v>
      </c>
      <c r="U1750" s="165" t="s">
        <v>715</v>
      </c>
      <c r="V1750" s="145"/>
      <c r="W1750" s="7"/>
      <c r="X1750" s="7"/>
      <c r="Y1750" s="7"/>
      <c r="Z1750" s="7"/>
      <c r="AA1750" s="7"/>
    </row>
    <row r="1751" ht="18.75" customHeight="1">
      <c r="A1751" s="157" t="s">
        <v>22</v>
      </c>
      <c r="B1751" s="158" t="s">
        <v>72</v>
      </c>
      <c r="C1751" s="166" t="s">
        <v>24</v>
      </c>
      <c r="D1751" s="167">
        <v>3209.0</v>
      </c>
      <c r="E1751" s="160" t="s">
        <v>1857</v>
      </c>
      <c r="F1751" s="25" t="s">
        <v>26</v>
      </c>
      <c r="G1751" s="168"/>
      <c r="H1751" s="169">
        <v>531.9</v>
      </c>
      <c r="I1751" s="170">
        <v>10.0</v>
      </c>
      <c r="J1751" s="29" t="s">
        <v>154</v>
      </c>
      <c r="K1751" s="30">
        <v>0.8</v>
      </c>
      <c r="L1751" s="155">
        <f t="shared" si="7"/>
        <v>8</v>
      </c>
      <c r="M1751" s="31">
        <f t="shared" si="2"/>
        <v>2</v>
      </c>
      <c r="N1751" s="32">
        <f t="shared" si="8"/>
        <v>425.52</v>
      </c>
      <c r="O1751" s="32">
        <f t="shared" si="9"/>
        <v>106.38</v>
      </c>
      <c r="P1751" s="32">
        <f t="shared" si="5"/>
        <v>106.38</v>
      </c>
      <c r="Q1751" s="22">
        <v>0.0</v>
      </c>
      <c r="R1751" s="32">
        <f t="shared" si="6"/>
        <v>53.19</v>
      </c>
      <c r="S1751" s="33" t="s">
        <v>29</v>
      </c>
      <c r="T1751" s="33" t="s">
        <v>30</v>
      </c>
      <c r="U1751" s="175" t="s">
        <v>191</v>
      </c>
      <c r="V1751" s="57"/>
      <c r="W1751" s="7"/>
      <c r="X1751" s="7"/>
      <c r="Y1751" s="7"/>
      <c r="Z1751" s="7"/>
      <c r="AA1751" s="7"/>
    </row>
    <row r="1752" ht="18.75" customHeight="1">
      <c r="A1752" s="157" t="s">
        <v>22</v>
      </c>
      <c r="B1752" s="158" t="s">
        <v>72</v>
      </c>
      <c r="C1752" s="158" t="s">
        <v>33</v>
      </c>
      <c r="D1752" s="159">
        <v>3210.0</v>
      </c>
      <c r="E1752" s="160" t="s">
        <v>1220</v>
      </c>
      <c r="F1752" s="11" t="s">
        <v>37</v>
      </c>
      <c r="G1752" s="161"/>
      <c r="H1752" s="162">
        <v>255.7</v>
      </c>
      <c r="I1752" s="163">
        <v>15.0</v>
      </c>
      <c r="J1752" s="15" t="s">
        <v>38</v>
      </c>
      <c r="K1752" s="16">
        <v>0.5</v>
      </c>
      <c r="L1752" s="164">
        <f t="shared" si="7"/>
        <v>7.5</v>
      </c>
      <c r="M1752" s="17">
        <f t="shared" si="2"/>
        <v>7.5</v>
      </c>
      <c r="N1752" s="18">
        <f t="shared" si="8"/>
        <v>127.85</v>
      </c>
      <c r="O1752" s="18">
        <f t="shared" si="9"/>
        <v>127.85</v>
      </c>
      <c r="P1752" s="18">
        <f t="shared" si="5"/>
        <v>127.85</v>
      </c>
      <c r="Q1752" s="8">
        <v>0.0</v>
      </c>
      <c r="R1752" s="18">
        <f t="shared" si="6"/>
        <v>17.04666667</v>
      </c>
      <c r="S1752" s="19" t="s">
        <v>29</v>
      </c>
      <c r="T1752" s="19" t="s">
        <v>30</v>
      </c>
      <c r="U1752" s="165" t="s">
        <v>300</v>
      </c>
      <c r="V1752" s="145"/>
      <c r="W1752" s="7"/>
      <c r="X1752" s="7"/>
      <c r="Y1752" s="7"/>
      <c r="Z1752" s="7"/>
      <c r="AA1752" s="7"/>
    </row>
    <row r="1753" ht="18.75" customHeight="1">
      <c r="A1753" s="113" t="s">
        <v>1858</v>
      </c>
      <c r="B1753" s="113" t="s">
        <v>1859</v>
      </c>
      <c r="C1753" s="113" t="s">
        <v>24</v>
      </c>
      <c r="D1753" s="176">
        <v>0.0</v>
      </c>
      <c r="E1753" s="113" t="s">
        <v>1860</v>
      </c>
      <c r="F1753" s="25" t="s">
        <v>26</v>
      </c>
      <c r="G1753" s="161"/>
      <c r="H1753" s="177">
        <v>13.9</v>
      </c>
      <c r="I1753" s="163">
        <v>5.0</v>
      </c>
      <c r="J1753" s="173" t="s">
        <v>54</v>
      </c>
      <c r="K1753" s="30">
        <v>0.3</v>
      </c>
      <c r="L1753" s="155">
        <f t="shared" si="7"/>
        <v>1.5</v>
      </c>
      <c r="M1753" s="31">
        <f t="shared" si="2"/>
        <v>3.5</v>
      </c>
      <c r="N1753" s="32">
        <f t="shared" si="8"/>
        <v>4.17</v>
      </c>
      <c r="O1753" s="32">
        <f t="shared" si="9"/>
        <v>9.73</v>
      </c>
      <c r="P1753" s="32">
        <f t="shared" si="5"/>
        <v>9.73</v>
      </c>
      <c r="Q1753" s="22">
        <v>0.0</v>
      </c>
      <c r="R1753" s="32">
        <f t="shared" si="6"/>
        <v>2.78</v>
      </c>
      <c r="S1753" s="33" t="s">
        <v>29</v>
      </c>
      <c r="T1753" s="33" t="s">
        <v>30</v>
      </c>
      <c r="U1753" s="173" t="s">
        <v>886</v>
      </c>
      <c r="V1753" s="57"/>
      <c r="W1753" s="7"/>
      <c r="X1753" s="7"/>
      <c r="Y1753" s="7"/>
      <c r="Z1753" s="7"/>
      <c r="AA1753" s="7"/>
    </row>
    <row r="1754" ht="18.75" customHeight="1">
      <c r="A1754" s="166" t="s">
        <v>1858</v>
      </c>
      <c r="B1754" s="166" t="s">
        <v>1859</v>
      </c>
      <c r="C1754" s="166" t="s">
        <v>24</v>
      </c>
      <c r="D1754" s="176">
        <v>0.0</v>
      </c>
      <c r="E1754" s="166" t="s">
        <v>1861</v>
      </c>
      <c r="F1754" s="11" t="s">
        <v>26</v>
      </c>
      <c r="G1754" s="168"/>
      <c r="H1754" s="178">
        <v>30.99</v>
      </c>
      <c r="I1754" s="170">
        <v>5.0</v>
      </c>
      <c r="J1754" s="171" t="s">
        <v>54</v>
      </c>
      <c r="K1754" s="16">
        <v>0.3</v>
      </c>
      <c r="L1754" s="164">
        <f t="shared" si="7"/>
        <v>1.5</v>
      </c>
      <c r="M1754" s="17">
        <f t="shared" si="2"/>
        <v>3.5</v>
      </c>
      <c r="N1754" s="18">
        <f t="shared" si="8"/>
        <v>9.297</v>
      </c>
      <c r="O1754" s="18">
        <f t="shared" si="9"/>
        <v>21.693</v>
      </c>
      <c r="P1754" s="18">
        <f t="shared" si="5"/>
        <v>21.693</v>
      </c>
      <c r="Q1754" s="8">
        <v>0.0</v>
      </c>
      <c r="R1754" s="18">
        <f t="shared" si="6"/>
        <v>6.198</v>
      </c>
      <c r="S1754" s="19" t="s">
        <v>29</v>
      </c>
      <c r="T1754" s="19" t="s">
        <v>30</v>
      </c>
      <c r="U1754" s="179" t="s">
        <v>177</v>
      </c>
      <c r="V1754" s="145"/>
      <c r="W1754" s="7"/>
      <c r="X1754" s="7"/>
      <c r="Y1754" s="7"/>
      <c r="Z1754" s="7"/>
      <c r="AA1754" s="7"/>
    </row>
    <row r="1755" ht="18.75" customHeight="1">
      <c r="A1755" s="113" t="s">
        <v>1858</v>
      </c>
      <c r="B1755" s="113" t="s">
        <v>1859</v>
      </c>
      <c r="C1755" s="113" t="s">
        <v>24</v>
      </c>
      <c r="D1755" s="176">
        <v>0.0</v>
      </c>
      <c r="E1755" s="113" t="s">
        <v>1862</v>
      </c>
      <c r="F1755" s="25" t="s">
        <v>26</v>
      </c>
      <c r="G1755" s="161"/>
      <c r="H1755" s="177">
        <v>54.15</v>
      </c>
      <c r="I1755" s="163">
        <v>5.0</v>
      </c>
      <c r="J1755" s="29" t="s">
        <v>38</v>
      </c>
      <c r="K1755" s="30">
        <v>0.5</v>
      </c>
      <c r="L1755" s="155">
        <f t="shared" si="7"/>
        <v>2.5</v>
      </c>
      <c r="M1755" s="31">
        <f t="shared" si="2"/>
        <v>2.5</v>
      </c>
      <c r="N1755" s="32">
        <f t="shared" si="8"/>
        <v>27.075</v>
      </c>
      <c r="O1755" s="32">
        <f t="shared" si="9"/>
        <v>27.075</v>
      </c>
      <c r="P1755" s="32">
        <f t="shared" si="5"/>
        <v>27.075</v>
      </c>
      <c r="Q1755" s="22">
        <v>0.0</v>
      </c>
      <c r="R1755" s="32">
        <f t="shared" si="6"/>
        <v>10.83</v>
      </c>
      <c r="S1755" s="33" t="s">
        <v>29</v>
      </c>
      <c r="T1755" s="33" t="s">
        <v>30</v>
      </c>
      <c r="U1755" s="173" t="s">
        <v>513</v>
      </c>
      <c r="V1755" s="57"/>
      <c r="W1755" s="7"/>
      <c r="X1755" s="7"/>
      <c r="Y1755" s="7"/>
      <c r="Z1755" s="7"/>
      <c r="AA1755" s="7"/>
    </row>
    <row r="1756" ht="18.75" customHeight="1">
      <c r="A1756" s="166" t="s">
        <v>1858</v>
      </c>
      <c r="B1756" s="166" t="s">
        <v>1859</v>
      </c>
      <c r="C1756" s="166" t="s">
        <v>24</v>
      </c>
      <c r="D1756" s="176">
        <v>0.0</v>
      </c>
      <c r="E1756" s="166" t="s">
        <v>1863</v>
      </c>
      <c r="F1756" s="11" t="s">
        <v>26</v>
      </c>
      <c r="G1756" s="168"/>
      <c r="H1756" s="178">
        <v>54.15</v>
      </c>
      <c r="I1756" s="170">
        <v>5.0</v>
      </c>
      <c r="J1756" s="15" t="s">
        <v>38</v>
      </c>
      <c r="K1756" s="16">
        <v>0.5</v>
      </c>
      <c r="L1756" s="164">
        <f t="shared" si="7"/>
        <v>2.5</v>
      </c>
      <c r="M1756" s="17">
        <f t="shared" si="2"/>
        <v>2.5</v>
      </c>
      <c r="N1756" s="18">
        <f t="shared" si="8"/>
        <v>27.075</v>
      </c>
      <c r="O1756" s="18">
        <f t="shared" si="9"/>
        <v>27.075</v>
      </c>
      <c r="P1756" s="18">
        <f t="shared" si="5"/>
        <v>27.075</v>
      </c>
      <c r="Q1756" s="8">
        <v>0.0</v>
      </c>
      <c r="R1756" s="18">
        <f t="shared" si="6"/>
        <v>10.83</v>
      </c>
      <c r="S1756" s="19" t="s">
        <v>29</v>
      </c>
      <c r="T1756" s="19" t="s">
        <v>30</v>
      </c>
      <c r="U1756" s="171" t="s">
        <v>513</v>
      </c>
      <c r="V1756" s="145"/>
      <c r="W1756" s="7"/>
      <c r="X1756" s="7"/>
      <c r="Y1756" s="7"/>
      <c r="Z1756" s="7"/>
      <c r="AA1756" s="7"/>
    </row>
    <row r="1757" ht="18.75" customHeight="1">
      <c r="A1757" s="113" t="s">
        <v>1858</v>
      </c>
      <c r="B1757" s="113" t="s">
        <v>1859</v>
      </c>
      <c r="C1757" s="113" t="s">
        <v>24</v>
      </c>
      <c r="D1757" s="176">
        <v>0.0</v>
      </c>
      <c r="E1757" s="113" t="s">
        <v>1864</v>
      </c>
      <c r="F1757" s="25" t="s">
        <v>26</v>
      </c>
      <c r="G1757" s="161"/>
      <c r="H1757" s="177">
        <v>80.59</v>
      </c>
      <c r="I1757" s="163">
        <v>5.0</v>
      </c>
      <c r="J1757" s="29" t="s">
        <v>38</v>
      </c>
      <c r="K1757" s="30">
        <v>0.5</v>
      </c>
      <c r="L1757" s="155">
        <f t="shared" si="7"/>
        <v>2.5</v>
      </c>
      <c r="M1757" s="31">
        <f t="shared" si="2"/>
        <v>2.5</v>
      </c>
      <c r="N1757" s="32">
        <f t="shared" si="8"/>
        <v>40.295</v>
      </c>
      <c r="O1757" s="32">
        <f t="shared" si="9"/>
        <v>40.295</v>
      </c>
      <c r="P1757" s="32">
        <f t="shared" si="5"/>
        <v>40.295</v>
      </c>
      <c r="Q1757" s="22">
        <v>0.0</v>
      </c>
      <c r="R1757" s="32">
        <f t="shared" si="6"/>
        <v>16.118</v>
      </c>
      <c r="S1757" s="33" t="s">
        <v>29</v>
      </c>
      <c r="T1757" s="33" t="s">
        <v>30</v>
      </c>
      <c r="U1757" s="173" t="s">
        <v>876</v>
      </c>
      <c r="V1757" s="57"/>
      <c r="W1757" s="7"/>
      <c r="X1757" s="7"/>
      <c r="Y1757" s="7"/>
      <c r="Z1757" s="7"/>
      <c r="AA1757" s="7"/>
    </row>
    <row r="1758" ht="18.75" customHeight="1">
      <c r="A1758" s="166" t="s">
        <v>1858</v>
      </c>
      <c r="B1758" s="166" t="s">
        <v>1859</v>
      </c>
      <c r="C1758" s="166" t="s">
        <v>24</v>
      </c>
      <c r="D1758" s="176">
        <v>0.0</v>
      </c>
      <c r="E1758" s="166" t="s">
        <v>1865</v>
      </c>
      <c r="F1758" s="11" t="s">
        <v>26</v>
      </c>
      <c r="G1758" s="168"/>
      <c r="H1758" s="178">
        <v>92.63</v>
      </c>
      <c r="I1758" s="170">
        <v>5.0</v>
      </c>
      <c r="J1758" s="15" t="s">
        <v>38</v>
      </c>
      <c r="K1758" s="16">
        <v>0.5</v>
      </c>
      <c r="L1758" s="164">
        <f t="shared" si="7"/>
        <v>2.5</v>
      </c>
      <c r="M1758" s="17">
        <f t="shared" si="2"/>
        <v>2.5</v>
      </c>
      <c r="N1758" s="18">
        <f t="shared" si="8"/>
        <v>46.315</v>
      </c>
      <c r="O1758" s="18">
        <f t="shared" si="9"/>
        <v>46.315</v>
      </c>
      <c r="P1758" s="18">
        <f t="shared" si="5"/>
        <v>46.315</v>
      </c>
      <c r="Q1758" s="8">
        <v>0.0</v>
      </c>
      <c r="R1758" s="18">
        <f t="shared" si="6"/>
        <v>18.526</v>
      </c>
      <c r="S1758" s="19" t="s">
        <v>29</v>
      </c>
      <c r="T1758" s="19" t="s">
        <v>30</v>
      </c>
      <c r="U1758" s="171" t="s">
        <v>899</v>
      </c>
      <c r="V1758" s="145"/>
      <c r="W1758" s="7"/>
      <c r="X1758" s="7"/>
      <c r="Y1758" s="7"/>
      <c r="Z1758" s="7"/>
      <c r="AA1758" s="7"/>
    </row>
    <row r="1759" ht="18.75" customHeight="1">
      <c r="A1759" s="113" t="s">
        <v>1858</v>
      </c>
      <c r="B1759" s="113" t="s">
        <v>1859</v>
      </c>
      <c r="C1759" s="113" t="s">
        <v>24</v>
      </c>
      <c r="D1759" s="176">
        <v>0.0</v>
      </c>
      <c r="E1759" s="113" t="s">
        <v>1866</v>
      </c>
      <c r="F1759" s="25" t="s">
        <v>26</v>
      </c>
      <c r="G1759" s="161"/>
      <c r="H1759" s="177">
        <v>125.21</v>
      </c>
      <c r="I1759" s="163">
        <v>5.0</v>
      </c>
      <c r="J1759" s="29" t="s">
        <v>38</v>
      </c>
      <c r="K1759" s="30">
        <v>0.5</v>
      </c>
      <c r="L1759" s="155">
        <f t="shared" si="7"/>
        <v>2.5</v>
      </c>
      <c r="M1759" s="31">
        <f t="shared" si="2"/>
        <v>2.5</v>
      </c>
      <c r="N1759" s="32">
        <f t="shared" si="8"/>
        <v>62.605</v>
      </c>
      <c r="O1759" s="32">
        <f t="shared" si="9"/>
        <v>62.605</v>
      </c>
      <c r="P1759" s="32">
        <f t="shared" si="5"/>
        <v>62.605</v>
      </c>
      <c r="Q1759" s="22">
        <v>0.0</v>
      </c>
      <c r="R1759" s="32">
        <f t="shared" si="6"/>
        <v>25.042</v>
      </c>
      <c r="S1759" s="33" t="s">
        <v>29</v>
      </c>
      <c r="T1759" s="33" t="s">
        <v>30</v>
      </c>
      <c r="U1759" s="173" t="s">
        <v>476</v>
      </c>
      <c r="V1759" s="57"/>
      <c r="W1759" s="7"/>
      <c r="X1759" s="7"/>
      <c r="Y1759" s="7"/>
      <c r="Z1759" s="7"/>
      <c r="AA1759" s="7"/>
    </row>
    <row r="1760" ht="18.75" customHeight="1">
      <c r="A1760" s="166" t="s">
        <v>1858</v>
      </c>
      <c r="B1760" s="166" t="s">
        <v>1859</v>
      </c>
      <c r="C1760" s="166" t="s">
        <v>24</v>
      </c>
      <c r="D1760" s="176">
        <v>0.0</v>
      </c>
      <c r="E1760" s="166" t="s">
        <v>1867</v>
      </c>
      <c r="F1760" s="11" t="s">
        <v>26</v>
      </c>
      <c r="G1760" s="168"/>
      <c r="H1760" s="178">
        <v>125.21</v>
      </c>
      <c r="I1760" s="170">
        <v>5.0</v>
      </c>
      <c r="J1760" s="15" t="s">
        <v>38</v>
      </c>
      <c r="K1760" s="16">
        <v>0.5</v>
      </c>
      <c r="L1760" s="164">
        <f t="shared" si="7"/>
        <v>2.5</v>
      </c>
      <c r="M1760" s="17">
        <f t="shared" si="2"/>
        <v>2.5</v>
      </c>
      <c r="N1760" s="18">
        <f t="shared" si="8"/>
        <v>62.605</v>
      </c>
      <c r="O1760" s="18">
        <f t="shared" si="9"/>
        <v>62.605</v>
      </c>
      <c r="P1760" s="18">
        <f t="shared" si="5"/>
        <v>62.605</v>
      </c>
      <c r="Q1760" s="8">
        <v>0.0</v>
      </c>
      <c r="R1760" s="18">
        <f t="shared" si="6"/>
        <v>25.042</v>
      </c>
      <c r="S1760" s="19" t="s">
        <v>29</v>
      </c>
      <c r="T1760" s="19" t="s">
        <v>30</v>
      </c>
      <c r="U1760" s="171" t="s">
        <v>476</v>
      </c>
      <c r="V1760" s="145"/>
      <c r="W1760" s="7"/>
      <c r="X1760" s="7"/>
      <c r="Y1760" s="7"/>
      <c r="Z1760" s="7"/>
      <c r="AA1760" s="7"/>
    </row>
    <row r="1761" ht="18.75" customHeight="1">
      <c r="A1761" s="113" t="s">
        <v>1858</v>
      </c>
      <c r="B1761" s="113" t="s">
        <v>1859</v>
      </c>
      <c r="C1761" s="113" t="s">
        <v>24</v>
      </c>
      <c r="D1761" s="176">
        <v>0.0</v>
      </c>
      <c r="E1761" s="113" t="s">
        <v>1868</v>
      </c>
      <c r="F1761" s="25" t="s">
        <v>26</v>
      </c>
      <c r="G1761" s="161"/>
      <c r="H1761" s="177">
        <v>151.5</v>
      </c>
      <c r="I1761" s="163">
        <v>5.0</v>
      </c>
      <c r="J1761" s="29" t="s">
        <v>38</v>
      </c>
      <c r="K1761" s="30">
        <v>0.5</v>
      </c>
      <c r="L1761" s="155">
        <f t="shared" si="7"/>
        <v>2.5</v>
      </c>
      <c r="M1761" s="31">
        <f t="shared" si="2"/>
        <v>2.5</v>
      </c>
      <c r="N1761" s="32">
        <f t="shared" si="8"/>
        <v>75.75</v>
      </c>
      <c r="O1761" s="32">
        <f t="shared" si="9"/>
        <v>75.75</v>
      </c>
      <c r="P1761" s="32">
        <f t="shared" si="5"/>
        <v>75.75</v>
      </c>
      <c r="Q1761" s="22">
        <v>0.0</v>
      </c>
      <c r="R1761" s="32">
        <f t="shared" si="6"/>
        <v>30.3</v>
      </c>
      <c r="S1761" s="33" t="s">
        <v>29</v>
      </c>
      <c r="T1761" s="33" t="s">
        <v>30</v>
      </c>
      <c r="U1761" s="180" t="s">
        <v>155</v>
      </c>
      <c r="V1761" s="57"/>
      <c r="W1761" s="7"/>
      <c r="X1761" s="7"/>
      <c r="Y1761" s="7"/>
      <c r="Z1761" s="7"/>
      <c r="AA1761" s="7"/>
    </row>
    <row r="1762" ht="18.75" customHeight="1">
      <c r="A1762" s="166" t="s">
        <v>1858</v>
      </c>
      <c r="B1762" s="166" t="s">
        <v>1859</v>
      </c>
      <c r="C1762" s="166" t="s">
        <v>24</v>
      </c>
      <c r="D1762" s="176">
        <v>0.0</v>
      </c>
      <c r="E1762" s="166" t="s">
        <v>1869</v>
      </c>
      <c r="F1762" s="11" t="s">
        <v>26</v>
      </c>
      <c r="G1762" s="168"/>
      <c r="H1762" s="178">
        <v>151.5</v>
      </c>
      <c r="I1762" s="170">
        <v>5.0</v>
      </c>
      <c r="J1762" s="15" t="s">
        <v>38</v>
      </c>
      <c r="K1762" s="16">
        <v>0.5</v>
      </c>
      <c r="L1762" s="164">
        <f t="shared" si="7"/>
        <v>2.5</v>
      </c>
      <c r="M1762" s="17">
        <f t="shared" si="2"/>
        <v>2.5</v>
      </c>
      <c r="N1762" s="18">
        <f t="shared" si="8"/>
        <v>75.75</v>
      </c>
      <c r="O1762" s="18">
        <f t="shared" si="9"/>
        <v>75.75</v>
      </c>
      <c r="P1762" s="18">
        <f t="shared" si="5"/>
        <v>75.75</v>
      </c>
      <c r="Q1762" s="8">
        <v>0.0</v>
      </c>
      <c r="R1762" s="18">
        <f t="shared" si="6"/>
        <v>30.3</v>
      </c>
      <c r="S1762" s="19" t="s">
        <v>29</v>
      </c>
      <c r="T1762" s="19" t="s">
        <v>30</v>
      </c>
      <c r="U1762" s="179" t="s">
        <v>155</v>
      </c>
      <c r="V1762" s="145"/>
      <c r="W1762" s="7"/>
      <c r="X1762" s="7"/>
      <c r="Y1762" s="7"/>
      <c r="Z1762" s="7"/>
      <c r="AA1762" s="7"/>
    </row>
    <row r="1763" ht="18.75" customHeight="1">
      <c r="A1763" s="113" t="s">
        <v>1858</v>
      </c>
      <c r="B1763" s="113" t="s">
        <v>1859</v>
      </c>
      <c r="C1763" s="113" t="s">
        <v>24</v>
      </c>
      <c r="D1763" s="176">
        <v>0.0</v>
      </c>
      <c r="E1763" s="113" t="s">
        <v>1870</v>
      </c>
      <c r="F1763" s="25" t="s">
        <v>26</v>
      </c>
      <c r="G1763" s="161"/>
      <c r="H1763" s="177">
        <v>151.5</v>
      </c>
      <c r="I1763" s="163">
        <v>5.0</v>
      </c>
      <c r="J1763" s="29" t="s">
        <v>38</v>
      </c>
      <c r="K1763" s="30">
        <v>0.5</v>
      </c>
      <c r="L1763" s="155">
        <f t="shared" si="7"/>
        <v>2.5</v>
      </c>
      <c r="M1763" s="31">
        <f t="shared" si="2"/>
        <v>2.5</v>
      </c>
      <c r="N1763" s="32">
        <f t="shared" si="8"/>
        <v>75.75</v>
      </c>
      <c r="O1763" s="32">
        <f t="shared" si="9"/>
        <v>75.75</v>
      </c>
      <c r="P1763" s="32">
        <f t="shared" si="5"/>
        <v>75.75</v>
      </c>
      <c r="Q1763" s="22">
        <v>0.0</v>
      </c>
      <c r="R1763" s="32">
        <f t="shared" si="6"/>
        <v>30.3</v>
      </c>
      <c r="S1763" s="33" t="s">
        <v>29</v>
      </c>
      <c r="T1763" s="33" t="s">
        <v>30</v>
      </c>
      <c r="U1763" s="180" t="s">
        <v>155</v>
      </c>
      <c r="V1763" s="57"/>
      <c r="W1763" s="7"/>
      <c r="X1763" s="7"/>
      <c r="Y1763" s="7"/>
      <c r="Z1763" s="7"/>
      <c r="AA1763" s="7"/>
    </row>
    <row r="1764" ht="18.75" customHeight="1">
      <c r="A1764" s="166" t="s">
        <v>1858</v>
      </c>
      <c r="B1764" s="166" t="s">
        <v>1859</v>
      </c>
      <c r="C1764" s="166" t="s">
        <v>24</v>
      </c>
      <c r="D1764" s="176">
        <v>0.0</v>
      </c>
      <c r="E1764" s="166" t="s">
        <v>153</v>
      </c>
      <c r="F1764" s="11" t="s">
        <v>26</v>
      </c>
      <c r="G1764" s="168"/>
      <c r="H1764" s="178">
        <v>151.5</v>
      </c>
      <c r="I1764" s="170">
        <v>5.0</v>
      </c>
      <c r="J1764" s="15" t="s">
        <v>38</v>
      </c>
      <c r="K1764" s="16">
        <v>0.5</v>
      </c>
      <c r="L1764" s="164">
        <f t="shared" si="7"/>
        <v>2.5</v>
      </c>
      <c r="M1764" s="17">
        <f t="shared" si="2"/>
        <v>2.5</v>
      </c>
      <c r="N1764" s="18">
        <f t="shared" si="8"/>
        <v>75.75</v>
      </c>
      <c r="O1764" s="18">
        <f t="shared" si="9"/>
        <v>75.75</v>
      </c>
      <c r="P1764" s="18">
        <f t="shared" si="5"/>
        <v>75.75</v>
      </c>
      <c r="Q1764" s="8">
        <v>0.0</v>
      </c>
      <c r="R1764" s="18">
        <f t="shared" si="6"/>
        <v>30.3</v>
      </c>
      <c r="S1764" s="19" t="s">
        <v>29</v>
      </c>
      <c r="T1764" s="19" t="s">
        <v>30</v>
      </c>
      <c r="U1764" s="179" t="s">
        <v>155</v>
      </c>
      <c r="V1764" s="145"/>
      <c r="W1764" s="7"/>
      <c r="X1764" s="7"/>
      <c r="Y1764" s="7"/>
      <c r="Z1764" s="7"/>
      <c r="AA1764" s="7"/>
    </row>
    <row r="1765" ht="18.75" customHeight="1">
      <c r="A1765" s="113" t="s">
        <v>1858</v>
      </c>
      <c r="B1765" s="113" t="s">
        <v>1859</v>
      </c>
      <c r="C1765" s="113" t="s">
        <v>24</v>
      </c>
      <c r="D1765" s="176">
        <v>0.0</v>
      </c>
      <c r="E1765" s="113" t="s">
        <v>1871</v>
      </c>
      <c r="F1765" s="25" t="s">
        <v>26</v>
      </c>
      <c r="G1765" s="161"/>
      <c r="H1765" s="177">
        <v>235.03</v>
      </c>
      <c r="I1765" s="163">
        <v>10.0</v>
      </c>
      <c r="J1765" s="173" t="s">
        <v>54</v>
      </c>
      <c r="K1765" s="30">
        <v>0.3</v>
      </c>
      <c r="L1765" s="155">
        <f t="shared" si="7"/>
        <v>3</v>
      </c>
      <c r="M1765" s="31">
        <f t="shared" si="2"/>
        <v>7</v>
      </c>
      <c r="N1765" s="32">
        <f t="shared" si="8"/>
        <v>70.509</v>
      </c>
      <c r="O1765" s="32">
        <f t="shared" si="9"/>
        <v>164.521</v>
      </c>
      <c r="P1765" s="32">
        <f t="shared" si="5"/>
        <v>164.521</v>
      </c>
      <c r="Q1765" s="22">
        <v>0.0</v>
      </c>
      <c r="R1765" s="32">
        <f t="shared" si="6"/>
        <v>23.503</v>
      </c>
      <c r="S1765" s="33" t="s">
        <v>29</v>
      </c>
      <c r="T1765" s="33" t="s">
        <v>30</v>
      </c>
      <c r="U1765" s="180" t="s">
        <v>96</v>
      </c>
      <c r="V1765" s="57"/>
      <c r="W1765" s="7"/>
      <c r="X1765" s="7"/>
      <c r="Y1765" s="7"/>
      <c r="Z1765" s="7"/>
      <c r="AA1765" s="7"/>
    </row>
    <row r="1766" ht="18.75" customHeight="1">
      <c r="A1766" s="166" t="s">
        <v>1858</v>
      </c>
      <c r="B1766" s="166" t="s">
        <v>1859</v>
      </c>
      <c r="C1766" s="166" t="s">
        <v>230</v>
      </c>
      <c r="D1766" s="176">
        <v>0.0</v>
      </c>
      <c r="E1766" s="166" t="s">
        <v>1872</v>
      </c>
      <c r="F1766" s="11" t="s">
        <v>26</v>
      </c>
      <c r="G1766" s="168"/>
      <c r="H1766" s="178">
        <v>235.03</v>
      </c>
      <c r="I1766" s="170">
        <v>10.0</v>
      </c>
      <c r="J1766" s="15" t="s">
        <v>81</v>
      </c>
      <c r="K1766" s="16">
        <v>0.150000000000003</v>
      </c>
      <c r="L1766" s="164">
        <f t="shared" si="7"/>
        <v>1.5</v>
      </c>
      <c r="M1766" s="17">
        <f t="shared" si="2"/>
        <v>8.5</v>
      </c>
      <c r="N1766" s="18">
        <f t="shared" si="8"/>
        <v>35.2545</v>
      </c>
      <c r="O1766" s="18">
        <f t="shared" si="9"/>
        <v>199.7755</v>
      </c>
      <c r="P1766" s="18">
        <f t="shared" si="5"/>
        <v>199.7755</v>
      </c>
      <c r="Q1766" s="8">
        <v>0.0</v>
      </c>
      <c r="R1766" s="18">
        <f t="shared" si="6"/>
        <v>23.503</v>
      </c>
      <c r="S1766" s="19" t="s">
        <v>29</v>
      </c>
      <c r="T1766" s="19" t="s">
        <v>30</v>
      </c>
      <c r="U1766" s="179" t="s">
        <v>96</v>
      </c>
      <c r="V1766" s="145"/>
      <c r="W1766" s="7"/>
      <c r="X1766" s="7"/>
      <c r="Y1766" s="7"/>
      <c r="Z1766" s="7"/>
      <c r="AA1766" s="7"/>
    </row>
    <row r="1767" ht="18.75" customHeight="1">
      <c r="A1767" s="113" t="s">
        <v>1858</v>
      </c>
      <c r="B1767" s="113" t="s">
        <v>1859</v>
      </c>
      <c r="C1767" s="113" t="s">
        <v>230</v>
      </c>
      <c r="D1767" s="176">
        <v>0.0</v>
      </c>
      <c r="E1767" s="113" t="s">
        <v>1873</v>
      </c>
      <c r="F1767" s="25" t="s">
        <v>26</v>
      </c>
      <c r="G1767" s="161"/>
      <c r="H1767" s="177">
        <v>285.0</v>
      </c>
      <c r="I1767" s="163">
        <v>10.0</v>
      </c>
      <c r="J1767" s="29" t="s">
        <v>38</v>
      </c>
      <c r="K1767" s="30">
        <v>0.5</v>
      </c>
      <c r="L1767" s="155">
        <f t="shared" si="7"/>
        <v>5</v>
      </c>
      <c r="M1767" s="31">
        <f t="shared" si="2"/>
        <v>5</v>
      </c>
      <c r="N1767" s="32">
        <f t="shared" si="8"/>
        <v>142.5</v>
      </c>
      <c r="O1767" s="32">
        <f t="shared" si="9"/>
        <v>142.5</v>
      </c>
      <c r="P1767" s="32">
        <f t="shared" si="5"/>
        <v>142.5</v>
      </c>
      <c r="Q1767" s="22">
        <v>0.0</v>
      </c>
      <c r="R1767" s="32">
        <f t="shared" si="6"/>
        <v>28.5</v>
      </c>
      <c r="S1767" s="33" t="s">
        <v>29</v>
      </c>
      <c r="T1767" s="33" t="s">
        <v>30</v>
      </c>
      <c r="U1767" s="173" t="s">
        <v>456</v>
      </c>
      <c r="V1767" s="57"/>
      <c r="W1767" s="7"/>
      <c r="X1767" s="7"/>
      <c r="Y1767" s="7"/>
      <c r="Z1767" s="7"/>
      <c r="AA1767" s="7"/>
    </row>
    <row r="1768" ht="18.75" customHeight="1">
      <c r="A1768" s="166" t="s">
        <v>1858</v>
      </c>
      <c r="B1768" s="166" t="s">
        <v>1859</v>
      </c>
      <c r="C1768" s="166" t="s">
        <v>24</v>
      </c>
      <c r="D1768" s="176">
        <v>0.0</v>
      </c>
      <c r="E1768" s="166" t="s">
        <v>1874</v>
      </c>
      <c r="F1768" s="11" t="s">
        <v>26</v>
      </c>
      <c r="G1768" s="168"/>
      <c r="H1768" s="178">
        <v>285.0</v>
      </c>
      <c r="I1768" s="170">
        <v>10.0</v>
      </c>
      <c r="J1768" s="15" t="s">
        <v>28</v>
      </c>
      <c r="K1768" s="16">
        <v>0.4</v>
      </c>
      <c r="L1768" s="164">
        <f t="shared" si="7"/>
        <v>4</v>
      </c>
      <c r="M1768" s="17">
        <f t="shared" si="2"/>
        <v>6</v>
      </c>
      <c r="N1768" s="18">
        <f t="shared" si="8"/>
        <v>114</v>
      </c>
      <c r="O1768" s="18">
        <f t="shared" si="9"/>
        <v>171</v>
      </c>
      <c r="P1768" s="18">
        <f t="shared" si="5"/>
        <v>171</v>
      </c>
      <c r="Q1768" s="8">
        <v>0.0</v>
      </c>
      <c r="R1768" s="18">
        <f t="shared" si="6"/>
        <v>28.5</v>
      </c>
      <c r="S1768" s="19" t="s">
        <v>29</v>
      </c>
      <c r="T1768" s="19" t="s">
        <v>30</v>
      </c>
      <c r="U1768" s="171" t="s">
        <v>527</v>
      </c>
      <c r="V1768" s="145"/>
      <c r="W1768" s="7"/>
      <c r="X1768" s="7"/>
      <c r="Y1768" s="7"/>
      <c r="Z1768" s="7"/>
      <c r="AA1768" s="7"/>
    </row>
    <row r="1769" ht="18.75" customHeight="1">
      <c r="A1769" s="113" t="s">
        <v>1858</v>
      </c>
      <c r="B1769" s="113" t="s">
        <v>1859</v>
      </c>
      <c r="C1769" s="113" t="s">
        <v>145</v>
      </c>
      <c r="D1769" s="176">
        <v>0.0</v>
      </c>
      <c r="E1769" s="113" t="s">
        <v>1875</v>
      </c>
      <c r="F1769" s="25" t="s">
        <v>26</v>
      </c>
      <c r="G1769" s="161"/>
      <c r="H1769" s="177">
        <v>463.56</v>
      </c>
      <c r="I1769" s="163">
        <v>5.0</v>
      </c>
      <c r="J1769" s="29" t="s">
        <v>38</v>
      </c>
      <c r="K1769" s="30">
        <v>0.5</v>
      </c>
      <c r="L1769" s="155">
        <f t="shared" si="7"/>
        <v>2.5</v>
      </c>
      <c r="M1769" s="31">
        <f t="shared" si="2"/>
        <v>2.5</v>
      </c>
      <c r="N1769" s="32">
        <f t="shared" si="8"/>
        <v>231.78</v>
      </c>
      <c r="O1769" s="32">
        <f t="shared" si="9"/>
        <v>231.78</v>
      </c>
      <c r="P1769" s="32">
        <f t="shared" si="5"/>
        <v>231.78</v>
      </c>
      <c r="Q1769" s="22">
        <v>0.0</v>
      </c>
      <c r="R1769" s="32">
        <f t="shared" si="6"/>
        <v>92.712</v>
      </c>
      <c r="S1769" s="33" t="s">
        <v>29</v>
      </c>
      <c r="T1769" s="33" t="s">
        <v>30</v>
      </c>
      <c r="U1769" s="180" t="s">
        <v>125</v>
      </c>
      <c r="V1769" s="57"/>
      <c r="W1769" s="7"/>
      <c r="X1769" s="7"/>
      <c r="Y1769" s="7"/>
      <c r="Z1769" s="7"/>
      <c r="AA1769" s="7"/>
    </row>
    <row r="1770" ht="18.75" customHeight="1">
      <c r="A1770" s="166" t="s">
        <v>1858</v>
      </c>
      <c r="B1770" s="166" t="s">
        <v>1859</v>
      </c>
      <c r="C1770" s="166" t="s">
        <v>145</v>
      </c>
      <c r="D1770" s="176">
        <v>0.0</v>
      </c>
      <c r="E1770" s="166" t="s">
        <v>1876</v>
      </c>
      <c r="F1770" s="11" t="s">
        <v>26</v>
      </c>
      <c r="G1770" s="168"/>
      <c r="H1770" s="178">
        <v>529.0</v>
      </c>
      <c r="I1770" s="170">
        <v>10.0</v>
      </c>
      <c r="J1770" s="15" t="s">
        <v>28</v>
      </c>
      <c r="K1770" s="16">
        <v>0.4</v>
      </c>
      <c r="L1770" s="164">
        <f t="shared" si="7"/>
        <v>4</v>
      </c>
      <c r="M1770" s="17">
        <f t="shared" si="2"/>
        <v>6</v>
      </c>
      <c r="N1770" s="18">
        <f t="shared" si="8"/>
        <v>211.6</v>
      </c>
      <c r="O1770" s="18">
        <f t="shared" si="9"/>
        <v>317.4</v>
      </c>
      <c r="P1770" s="18">
        <f t="shared" si="5"/>
        <v>317.4</v>
      </c>
      <c r="Q1770" s="8">
        <v>0.0</v>
      </c>
      <c r="R1770" s="18">
        <f t="shared" si="6"/>
        <v>52.9</v>
      </c>
      <c r="S1770" s="19" t="s">
        <v>29</v>
      </c>
      <c r="T1770" s="19" t="s">
        <v>30</v>
      </c>
      <c r="U1770" s="179" t="s">
        <v>275</v>
      </c>
      <c r="V1770" s="145"/>
      <c r="W1770" s="7"/>
      <c r="X1770" s="7"/>
      <c r="Y1770" s="7"/>
      <c r="Z1770" s="7"/>
      <c r="AA1770" s="7"/>
    </row>
    <row r="1771" ht="18.75" customHeight="1">
      <c r="A1771" s="113" t="s">
        <v>1858</v>
      </c>
      <c r="B1771" s="113" t="s">
        <v>1859</v>
      </c>
      <c r="C1771" s="113" t="s">
        <v>145</v>
      </c>
      <c r="D1771" s="176">
        <v>0.0</v>
      </c>
      <c r="E1771" s="113" t="s">
        <v>1877</v>
      </c>
      <c r="F1771" s="25" t="s">
        <v>26</v>
      </c>
      <c r="G1771" s="161"/>
      <c r="H1771" s="177">
        <v>576.47</v>
      </c>
      <c r="I1771" s="163">
        <v>5.0</v>
      </c>
      <c r="J1771" s="29" t="s">
        <v>38</v>
      </c>
      <c r="K1771" s="30">
        <v>0.5</v>
      </c>
      <c r="L1771" s="155">
        <f t="shared" si="7"/>
        <v>2.5</v>
      </c>
      <c r="M1771" s="31">
        <f t="shared" si="2"/>
        <v>2.5</v>
      </c>
      <c r="N1771" s="32">
        <f t="shared" si="8"/>
        <v>288.235</v>
      </c>
      <c r="O1771" s="32">
        <f t="shared" si="9"/>
        <v>288.235</v>
      </c>
      <c r="P1771" s="32">
        <f t="shared" si="5"/>
        <v>288.235</v>
      </c>
      <c r="Q1771" s="22">
        <v>0.0</v>
      </c>
      <c r="R1771" s="32">
        <f t="shared" si="6"/>
        <v>115.294</v>
      </c>
      <c r="S1771" s="33" t="s">
        <v>29</v>
      </c>
      <c r="T1771" s="33" t="s">
        <v>30</v>
      </c>
      <c r="U1771" s="181" t="s">
        <v>114</v>
      </c>
      <c r="V1771" s="57"/>
      <c r="W1771" s="7"/>
      <c r="X1771" s="7"/>
      <c r="Y1771" s="7"/>
      <c r="Z1771" s="7"/>
      <c r="AA1771" s="7"/>
    </row>
    <row r="1772" ht="18.75" customHeight="1">
      <c r="A1772" s="166" t="s">
        <v>1858</v>
      </c>
      <c r="B1772" s="166" t="s">
        <v>1859</v>
      </c>
      <c r="C1772" s="166" t="s">
        <v>24</v>
      </c>
      <c r="D1772" s="176">
        <v>0.0</v>
      </c>
      <c r="E1772" s="166" t="s">
        <v>1878</v>
      </c>
      <c r="F1772" s="11" t="s">
        <v>26</v>
      </c>
      <c r="G1772" s="168"/>
      <c r="H1772" s="178">
        <v>626.99</v>
      </c>
      <c r="I1772" s="170">
        <v>10.0</v>
      </c>
      <c r="J1772" s="171" t="s">
        <v>54</v>
      </c>
      <c r="K1772" s="16">
        <v>0.3</v>
      </c>
      <c r="L1772" s="164">
        <f t="shared" si="7"/>
        <v>3</v>
      </c>
      <c r="M1772" s="17">
        <f t="shared" si="2"/>
        <v>7</v>
      </c>
      <c r="N1772" s="18">
        <f t="shared" si="8"/>
        <v>188.097</v>
      </c>
      <c r="O1772" s="18">
        <f t="shared" si="9"/>
        <v>438.893</v>
      </c>
      <c r="P1772" s="18">
        <f t="shared" si="5"/>
        <v>438.893</v>
      </c>
      <c r="Q1772" s="8">
        <v>0.0</v>
      </c>
      <c r="R1772" s="18">
        <f t="shared" si="6"/>
        <v>62.699</v>
      </c>
      <c r="S1772" s="19" t="s">
        <v>29</v>
      </c>
      <c r="T1772" s="19" t="s">
        <v>30</v>
      </c>
      <c r="U1772" s="179" t="s">
        <v>284</v>
      </c>
      <c r="V1772" s="145"/>
      <c r="W1772" s="7"/>
      <c r="X1772" s="7"/>
      <c r="Y1772" s="7"/>
      <c r="Z1772" s="7"/>
      <c r="AA1772" s="7"/>
    </row>
    <row r="1773" ht="18.75" customHeight="1">
      <c r="A1773" s="113" t="s">
        <v>1858</v>
      </c>
      <c r="B1773" s="113" t="s">
        <v>1859</v>
      </c>
      <c r="C1773" s="113" t="s">
        <v>145</v>
      </c>
      <c r="D1773" s="176">
        <v>0.0</v>
      </c>
      <c r="E1773" s="113" t="s">
        <v>1879</v>
      </c>
      <c r="F1773" s="25" t="s">
        <v>26</v>
      </c>
      <c r="G1773" s="161"/>
      <c r="H1773" s="177">
        <v>651.75</v>
      </c>
      <c r="I1773" s="163">
        <v>5.0</v>
      </c>
      <c r="J1773" s="29" t="s">
        <v>38</v>
      </c>
      <c r="K1773" s="30">
        <v>0.5</v>
      </c>
      <c r="L1773" s="155">
        <f t="shared" si="7"/>
        <v>2.5</v>
      </c>
      <c r="M1773" s="31">
        <f t="shared" si="2"/>
        <v>2.5</v>
      </c>
      <c r="N1773" s="32">
        <f t="shared" si="8"/>
        <v>325.875</v>
      </c>
      <c r="O1773" s="32">
        <f t="shared" si="9"/>
        <v>325.875</v>
      </c>
      <c r="P1773" s="32">
        <f t="shared" si="5"/>
        <v>325.875</v>
      </c>
      <c r="Q1773" s="22">
        <v>0.0</v>
      </c>
      <c r="R1773" s="32">
        <f t="shared" si="6"/>
        <v>130.35</v>
      </c>
      <c r="S1773" s="33" t="s">
        <v>29</v>
      </c>
      <c r="T1773" s="33" t="s">
        <v>30</v>
      </c>
      <c r="U1773" s="181" t="s">
        <v>121</v>
      </c>
      <c r="V1773" s="57"/>
      <c r="W1773" s="7"/>
      <c r="X1773" s="7"/>
      <c r="Y1773" s="7"/>
      <c r="Z1773" s="7"/>
      <c r="AA1773" s="7"/>
    </row>
    <row r="1774" ht="18.75" customHeight="1">
      <c r="A1774" s="166" t="s">
        <v>1858</v>
      </c>
      <c r="B1774" s="166" t="s">
        <v>1859</v>
      </c>
      <c r="C1774" s="166" t="s">
        <v>24</v>
      </c>
      <c r="D1774" s="176">
        <v>0.0</v>
      </c>
      <c r="E1774" s="166" t="s">
        <v>1880</v>
      </c>
      <c r="F1774" s="11" t="s">
        <v>26</v>
      </c>
      <c r="G1774" s="168"/>
      <c r="H1774" s="178">
        <v>4899.9</v>
      </c>
      <c r="I1774" s="170">
        <v>5.0</v>
      </c>
      <c r="J1774" s="15" t="s">
        <v>38</v>
      </c>
      <c r="K1774" s="16">
        <v>0.5</v>
      </c>
      <c r="L1774" s="164">
        <f t="shared" si="7"/>
        <v>2.5</v>
      </c>
      <c r="M1774" s="17">
        <f t="shared" si="2"/>
        <v>2.5</v>
      </c>
      <c r="N1774" s="18">
        <f t="shared" si="8"/>
        <v>2449.95</v>
      </c>
      <c r="O1774" s="18">
        <f t="shared" si="9"/>
        <v>2449.95</v>
      </c>
      <c r="P1774" s="18">
        <f t="shared" si="5"/>
        <v>2449.95</v>
      </c>
      <c r="Q1774" s="8">
        <v>0.0</v>
      </c>
      <c r="R1774" s="18">
        <f t="shared" si="6"/>
        <v>979.98</v>
      </c>
      <c r="S1774" s="19" t="s">
        <v>29</v>
      </c>
      <c r="T1774" s="19" t="s">
        <v>30</v>
      </c>
      <c r="U1774" s="179" t="s">
        <v>67</v>
      </c>
      <c r="V1774" s="145"/>
      <c r="W1774" s="7"/>
      <c r="X1774" s="7"/>
      <c r="Y1774" s="7"/>
      <c r="Z1774" s="7"/>
      <c r="AA1774" s="7"/>
    </row>
    <row r="1775" ht="18.75" customHeight="1">
      <c r="A1775" s="113" t="s">
        <v>1858</v>
      </c>
      <c r="B1775" s="113" t="s">
        <v>1859</v>
      </c>
      <c r="C1775" s="113" t="s">
        <v>24</v>
      </c>
      <c r="D1775" s="182">
        <v>452.0</v>
      </c>
      <c r="E1775" s="113" t="s">
        <v>1881</v>
      </c>
      <c r="F1775" s="25" t="s">
        <v>37</v>
      </c>
      <c r="G1775" s="161"/>
      <c r="H1775" s="177">
        <v>945.0</v>
      </c>
      <c r="I1775" s="163">
        <v>15.0</v>
      </c>
      <c r="J1775" s="29" t="s">
        <v>28</v>
      </c>
      <c r="K1775" s="30">
        <v>0.4</v>
      </c>
      <c r="L1775" s="155">
        <f t="shared" si="7"/>
        <v>6</v>
      </c>
      <c r="M1775" s="31">
        <f t="shared" si="2"/>
        <v>9</v>
      </c>
      <c r="N1775" s="32">
        <f t="shared" si="8"/>
        <v>378</v>
      </c>
      <c r="O1775" s="32">
        <f t="shared" si="9"/>
        <v>567</v>
      </c>
      <c r="P1775" s="32">
        <f t="shared" si="5"/>
        <v>567</v>
      </c>
      <c r="Q1775" s="22">
        <v>0.0</v>
      </c>
      <c r="R1775" s="32">
        <f t="shared" si="6"/>
        <v>63</v>
      </c>
      <c r="S1775" s="33" t="s">
        <v>29</v>
      </c>
      <c r="T1775" s="33" t="s">
        <v>30</v>
      </c>
      <c r="U1775" s="181" t="s">
        <v>205</v>
      </c>
      <c r="V1775" s="57"/>
      <c r="W1775" s="7"/>
      <c r="X1775" s="7"/>
      <c r="Y1775" s="7"/>
      <c r="Z1775" s="7"/>
      <c r="AA1775" s="7"/>
    </row>
    <row r="1776" ht="18.75" customHeight="1">
      <c r="A1776" s="166" t="s">
        <v>1858</v>
      </c>
      <c r="B1776" s="166" t="s">
        <v>1859</v>
      </c>
      <c r="C1776" s="166" t="s">
        <v>199</v>
      </c>
      <c r="D1776" s="183">
        <v>453.0</v>
      </c>
      <c r="E1776" s="166" t="s">
        <v>228</v>
      </c>
      <c r="F1776" s="11" t="s">
        <v>37</v>
      </c>
      <c r="G1776" s="168"/>
      <c r="H1776" s="178">
        <v>1300.12</v>
      </c>
      <c r="I1776" s="170">
        <v>15.0</v>
      </c>
      <c r="J1776" s="15" t="s">
        <v>28</v>
      </c>
      <c r="K1776" s="16">
        <v>0.4</v>
      </c>
      <c r="L1776" s="164">
        <f t="shared" si="7"/>
        <v>6</v>
      </c>
      <c r="M1776" s="17">
        <f t="shared" si="2"/>
        <v>9</v>
      </c>
      <c r="N1776" s="18">
        <f t="shared" si="8"/>
        <v>520.048</v>
      </c>
      <c r="O1776" s="18">
        <f t="shared" si="9"/>
        <v>780.072</v>
      </c>
      <c r="P1776" s="18">
        <f t="shared" si="5"/>
        <v>780.072</v>
      </c>
      <c r="Q1776" s="8">
        <v>0.0</v>
      </c>
      <c r="R1776" s="18">
        <f t="shared" si="6"/>
        <v>86.67466667</v>
      </c>
      <c r="S1776" s="19" t="s">
        <v>29</v>
      </c>
      <c r="T1776" s="19" t="s">
        <v>30</v>
      </c>
      <c r="U1776" s="179" t="s">
        <v>229</v>
      </c>
      <c r="V1776" s="145"/>
      <c r="W1776" s="7"/>
      <c r="X1776" s="7"/>
      <c r="Y1776" s="7"/>
      <c r="Z1776" s="7"/>
      <c r="AA1776" s="7"/>
    </row>
    <row r="1777" ht="18.75" customHeight="1">
      <c r="A1777" s="113" t="s">
        <v>1858</v>
      </c>
      <c r="B1777" s="113" t="s">
        <v>1859</v>
      </c>
      <c r="C1777" s="113" t="s">
        <v>145</v>
      </c>
      <c r="D1777" s="182">
        <v>454.0</v>
      </c>
      <c r="E1777" s="113" t="s">
        <v>1882</v>
      </c>
      <c r="F1777" s="25" t="s">
        <v>37</v>
      </c>
      <c r="G1777" s="161"/>
      <c r="H1777" s="177">
        <v>332.91</v>
      </c>
      <c r="I1777" s="163">
        <v>10.0</v>
      </c>
      <c r="J1777" s="29" t="s">
        <v>38</v>
      </c>
      <c r="K1777" s="30">
        <v>0.5</v>
      </c>
      <c r="L1777" s="155">
        <f t="shared" si="7"/>
        <v>5</v>
      </c>
      <c r="M1777" s="31">
        <f t="shared" si="2"/>
        <v>5</v>
      </c>
      <c r="N1777" s="32">
        <f t="shared" si="8"/>
        <v>166.455</v>
      </c>
      <c r="O1777" s="32">
        <f t="shared" si="9"/>
        <v>166.455</v>
      </c>
      <c r="P1777" s="32">
        <f t="shared" si="5"/>
        <v>166.455</v>
      </c>
      <c r="Q1777" s="22">
        <v>0.0</v>
      </c>
      <c r="R1777" s="32">
        <f t="shared" si="6"/>
        <v>33.291</v>
      </c>
      <c r="S1777" s="33" t="s">
        <v>29</v>
      </c>
      <c r="T1777" s="33" t="s">
        <v>30</v>
      </c>
      <c r="U1777" s="180" t="s">
        <v>223</v>
      </c>
      <c r="V1777" s="57"/>
      <c r="W1777" s="7"/>
      <c r="X1777" s="7"/>
      <c r="Y1777" s="7"/>
      <c r="Z1777" s="7"/>
      <c r="AA1777" s="7"/>
    </row>
    <row r="1778" ht="18.75" customHeight="1">
      <c r="A1778" s="166" t="s">
        <v>1858</v>
      </c>
      <c r="B1778" s="166" t="s">
        <v>1859</v>
      </c>
      <c r="C1778" s="166" t="s">
        <v>150</v>
      </c>
      <c r="D1778" s="183">
        <v>461.0</v>
      </c>
      <c r="E1778" s="166" t="s">
        <v>1883</v>
      </c>
      <c r="F1778" s="11" t="s">
        <v>37</v>
      </c>
      <c r="G1778" s="168"/>
      <c r="H1778" s="178">
        <v>332.91</v>
      </c>
      <c r="I1778" s="170">
        <v>10.0</v>
      </c>
      <c r="J1778" s="15" t="s">
        <v>38</v>
      </c>
      <c r="K1778" s="16">
        <v>0.5</v>
      </c>
      <c r="L1778" s="164">
        <f t="shared" si="7"/>
        <v>5</v>
      </c>
      <c r="M1778" s="17">
        <f t="shared" si="2"/>
        <v>5</v>
      </c>
      <c r="N1778" s="18">
        <f t="shared" si="8"/>
        <v>166.455</v>
      </c>
      <c r="O1778" s="18">
        <f t="shared" si="9"/>
        <v>166.455</v>
      </c>
      <c r="P1778" s="18">
        <f t="shared" si="5"/>
        <v>166.455</v>
      </c>
      <c r="Q1778" s="8">
        <v>0.0</v>
      </c>
      <c r="R1778" s="18">
        <f t="shared" si="6"/>
        <v>33.291</v>
      </c>
      <c r="S1778" s="19" t="s">
        <v>29</v>
      </c>
      <c r="T1778" s="19" t="s">
        <v>30</v>
      </c>
      <c r="U1778" s="184" t="s">
        <v>223</v>
      </c>
      <c r="V1778" s="145"/>
      <c r="W1778" s="7"/>
      <c r="X1778" s="7"/>
      <c r="Y1778" s="7"/>
      <c r="Z1778" s="7"/>
      <c r="AA1778" s="7"/>
    </row>
    <row r="1779" ht="18.75" customHeight="1">
      <c r="A1779" s="113" t="s">
        <v>1858</v>
      </c>
      <c r="B1779" s="113" t="s">
        <v>1859</v>
      </c>
      <c r="C1779" s="113" t="s">
        <v>150</v>
      </c>
      <c r="D1779" s="182">
        <v>462.0</v>
      </c>
      <c r="E1779" s="113" t="s">
        <v>1884</v>
      </c>
      <c r="F1779" s="25" t="s">
        <v>37</v>
      </c>
      <c r="G1779" s="161"/>
      <c r="H1779" s="177">
        <v>332.91</v>
      </c>
      <c r="I1779" s="163">
        <v>10.0</v>
      </c>
      <c r="J1779" s="29" t="s">
        <v>38</v>
      </c>
      <c r="K1779" s="30">
        <v>0.5</v>
      </c>
      <c r="L1779" s="155">
        <f t="shared" si="7"/>
        <v>5</v>
      </c>
      <c r="M1779" s="31">
        <f t="shared" si="2"/>
        <v>5</v>
      </c>
      <c r="N1779" s="32">
        <f t="shared" si="8"/>
        <v>166.455</v>
      </c>
      <c r="O1779" s="32">
        <f t="shared" si="9"/>
        <v>166.455</v>
      </c>
      <c r="P1779" s="32">
        <f t="shared" si="5"/>
        <v>166.455</v>
      </c>
      <c r="Q1779" s="22">
        <v>0.0</v>
      </c>
      <c r="R1779" s="32">
        <f t="shared" si="6"/>
        <v>33.291</v>
      </c>
      <c r="S1779" s="33" t="s">
        <v>29</v>
      </c>
      <c r="T1779" s="33" t="s">
        <v>30</v>
      </c>
      <c r="U1779" s="180" t="s">
        <v>223</v>
      </c>
      <c r="V1779" s="57"/>
      <c r="W1779" s="7"/>
      <c r="X1779" s="7"/>
      <c r="Y1779" s="7"/>
      <c r="Z1779" s="7"/>
      <c r="AA1779" s="7"/>
    </row>
    <row r="1780" ht="18.75" customHeight="1">
      <c r="A1780" s="166" t="s">
        <v>1858</v>
      </c>
      <c r="B1780" s="166" t="s">
        <v>1859</v>
      </c>
      <c r="C1780" s="166" t="s">
        <v>24</v>
      </c>
      <c r="D1780" s="183">
        <v>463.0</v>
      </c>
      <c r="E1780" s="166" t="s">
        <v>1884</v>
      </c>
      <c r="F1780" s="11" t="s">
        <v>37</v>
      </c>
      <c r="G1780" s="168"/>
      <c r="H1780" s="178">
        <v>332.91</v>
      </c>
      <c r="I1780" s="170">
        <v>10.0</v>
      </c>
      <c r="J1780" s="15" t="s">
        <v>38</v>
      </c>
      <c r="K1780" s="16">
        <v>0.5</v>
      </c>
      <c r="L1780" s="164">
        <f t="shared" si="7"/>
        <v>5</v>
      </c>
      <c r="M1780" s="17">
        <f t="shared" si="2"/>
        <v>5</v>
      </c>
      <c r="N1780" s="18">
        <f t="shared" si="8"/>
        <v>166.455</v>
      </c>
      <c r="O1780" s="18">
        <f t="shared" si="9"/>
        <v>166.455</v>
      </c>
      <c r="P1780" s="18">
        <f t="shared" si="5"/>
        <v>166.455</v>
      </c>
      <c r="Q1780" s="8">
        <v>0.0</v>
      </c>
      <c r="R1780" s="18">
        <f t="shared" si="6"/>
        <v>33.291</v>
      </c>
      <c r="S1780" s="19" t="s">
        <v>29</v>
      </c>
      <c r="T1780" s="19" t="s">
        <v>30</v>
      </c>
      <c r="U1780" s="179" t="s">
        <v>223</v>
      </c>
      <c r="V1780" s="145"/>
      <c r="W1780" s="7"/>
      <c r="X1780" s="7"/>
      <c r="Y1780" s="7"/>
      <c r="Z1780" s="7"/>
      <c r="AA1780" s="7"/>
    </row>
    <row r="1781" ht="18.75" customHeight="1">
      <c r="A1781" s="113" t="s">
        <v>1858</v>
      </c>
      <c r="B1781" s="113" t="s">
        <v>1859</v>
      </c>
      <c r="C1781" s="113" t="s">
        <v>24</v>
      </c>
      <c r="D1781" s="182">
        <v>464.0</v>
      </c>
      <c r="E1781" s="113" t="s">
        <v>1884</v>
      </c>
      <c r="F1781" s="25" t="s">
        <v>37</v>
      </c>
      <c r="G1781" s="161"/>
      <c r="H1781" s="177">
        <v>332.91</v>
      </c>
      <c r="I1781" s="163">
        <v>10.0</v>
      </c>
      <c r="J1781" s="29" t="s">
        <v>38</v>
      </c>
      <c r="K1781" s="30">
        <v>0.5</v>
      </c>
      <c r="L1781" s="155">
        <f t="shared" si="7"/>
        <v>5</v>
      </c>
      <c r="M1781" s="31">
        <f t="shared" si="2"/>
        <v>5</v>
      </c>
      <c r="N1781" s="32">
        <f t="shared" si="8"/>
        <v>166.455</v>
      </c>
      <c r="O1781" s="32">
        <f t="shared" si="9"/>
        <v>166.455</v>
      </c>
      <c r="P1781" s="32">
        <f t="shared" si="5"/>
        <v>166.455</v>
      </c>
      <c r="Q1781" s="22">
        <v>0.0</v>
      </c>
      <c r="R1781" s="32">
        <f t="shared" si="6"/>
        <v>33.291</v>
      </c>
      <c r="S1781" s="33" t="s">
        <v>29</v>
      </c>
      <c r="T1781" s="33" t="s">
        <v>30</v>
      </c>
      <c r="U1781" s="180" t="s">
        <v>223</v>
      </c>
      <c r="V1781" s="57"/>
      <c r="W1781" s="7"/>
      <c r="X1781" s="7"/>
      <c r="Y1781" s="7"/>
      <c r="Z1781" s="7"/>
      <c r="AA1781" s="7"/>
    </row>
    <row r="1782" ht="18.75" customHeight="1">
      <c r="A1782" s="166" t="s">
        <v>1858</v>
      </c>
      <c r="B1782" s="166" t="s">
        <v>1859</v>
      </c>
      <c r="C1782" s="166" t="s">
        <v>199</v>
      </c>
      <c r="D1782" s="183">
        <v>467.0</v>
      </c>
      <c r="E1782" s="166" t="s">
        <v>1885</v>
      </c>
      <c r="F1782" s="11" t="s">
        <v>37</v>
      </c>
      <c r="G1782" s="168"/>
      <c r="H1782" s="178">
        <v>285.0</v>
      </c>
      <c r="I1782" s="170">
        <v>10.0</v>
      </c>
      <c r="J1782" s="15" t="s">
        <v>38</v>
      </c>
      <c r="K1782" s="16">
        <v>0.5</v>
      </c>
      <c r="L1782" s="164">
        <f t="shared" si="7"/>
        <v>5</v>
      </c>
      <c r="M1782" s="17">
        <f t="shared" si="2"/>
        <v>5</v>
      </c>
      <c r="N1782" s="18">
        <f t="shared" si="8"/>
        <v>142.5</v>
      </c>
      <c r="O1782" s="18">
        <f t="shared" si="9"/>
        <v>142.5</v>
      </c>
      <c r="P1782" s="18">
        <f t="shared" si="5"/>
        <v>142.5</v>
      </c>
      <c r="Q1782" s="8">
        <v>0.0</v>
      </c>
      <c r="R1782" s="18">
        <f t="shared" si="6"/>
        <v>28.5</v>
      </c>
      <c r="S1782" s="19" t="s">
        <v>29</v>
      </c>
      <c r="T1782" s="19" t="s">
        <v>30</v>
      </c>
      <c r="U1782" s="171" t="s">
        <v>527</v>
      </c>
      <c r="V1782" s="145"/>
      <c r="W1782" s="7"/>
      <c r="X1782" s="7"/>
      <c r="Y1782" s="7"/>
      <c r="Z1782" s="7"/>
      <c r="AA1782" s="7"/>
    </row>
    <row r="1783" ht="18.75" customHeight="1">
      <c r="A1783" s="113" t="s">
        <v>1858</v>
      </c>
      <c r="B1783" s="113" t="s">
        <v>1859</v>
      </c>
      <c r="C1783" s="113" t="s">
        <v>145</v>
      </c>
      <c r="D1783" s="182">
        <v>468.0</v>
      </c>
      <c r="E1783" s="113" t="s">
        <v>1886</v>
      </c>
      <c r="F1783" s="25" t="s">
        <v>37</v>
      </c>
      <c r="G1783" s="161"/>
      <c r="H1783" s="177">
        <v>1880.55</v>
      </c>
      <c r="I1783" s="163">
        <v>10.0</v>
      </c>
      <c r="J1783" s="29" t="s">
        <v>28</v>
      </c>
      <c r="K1783" s="30">
        <v>0.4</v>
      </c>
      <c r="L1783" s="155">
        <f t="shared" si="7"/>
        <v>4</v>
      </c>
      <c r="M1783" s="31">
        <f t="shared" si="2"/>
        <v>6</v>
      </c>
      <c r="N1783" s="32">
        <f t="shared" si="8"/>
        <v>752.22</v>
      </c>
      <c r="O1783" s="32">
        <f t="shared" si="9"/>
        <v>1128.33</v>
      </c>
      <c r="P1783" s="32">
        <f t="shared" si="5"/>
        <v>1128.33</v>
      </c>
      <c r="Q1783" s="22">
        <v>0.0</v>
      </c>
      <c r="R1783" s="32">
        <f t="shared" si="6"/>
        <v>188.055</v>
      </c>
      <c r="S1783" s="33" t="s">
        <v>29</v>
      </c>
      <c r="T1783" s="33" t="s">
        <v>30</v>
      </c>
      <c r="U1783" s="173" t="s">
        <v>69</v>
      </c>
      <c r="V1783" s="57"/>
      <c r="W1783" s="7"/>
      <c r="X1783" s="7"/>
      <c r="Y1783" s="7"/>
      <c r="Z1783" s="7"/>
      <c r="AA1783" s="7"/>
    </row>
    <row r="1784" ht="18.75" customHeight="1">
      <c r="A1784" s="166" t="s">
        <v>1858</v>
      </c>
      <c r="B1784" s="166" t="s">
        <v>1859</v>
      </c>
      <c r="C1784" s="166" t="s">
        <v>150</v>
      </c>
      <c r="D1784" s="183">
        <v>470.0</v>
      </c>
      <c r="E1784" s="166" t="s">
        <v>1887</v>
      </c>
      <c r="F1784" s="11" t="s">
        <v>37</v>
      </c>
      <c r="G1784" s="168"/>
      <c r="H1784" s="178">
        <v>285.0</v>
      </c>
      <c r="I1784" s="170">
        <v>10.0</v>
      </c>
      <c r="J1784" s="15" t="s">
        <v>38</v>
      </c>
      <c r="K1784" s="16">
        <v>0.5</v>
      </c>
      <c r="L1784" s="164">
        <f t="shared" si="7"/>
        <v>5</v>
      </c>
      <c r="M1784" s="17">
        <f t="shared" si="2"/>
        <v>5</v>
      </c>
      <c r="N1784" s="18">
        <f t="shared" si="8"/>
        <v>142.5</v>
      </c>
      <c r="O1784" s="18">
        <f t="shared" si="9"/>
        <v>142.5</v>
      </c>
      <c r="P1784" s="18">
        <f t="shared" si="5"/>
        <v>142.5</v>
      </c>
      <c r="Q1784" s="8">
        <v>0.0</v>
      </c>
      <c r="R1784" s="18">
        <f t="shared" si="6"/>
        <v>28.5</v>
      </c>
      <c r="S1784" s="19" t="s">
        <v>29</v>
      </c>
      <c r="T1784" s="19" t="s">
        <v>30</v>
      </c>
      <c r="U1784" s="171" t="s">
        <v>527</v>
      </c>
      <c r="V1784" s="145"/>
      <c r="W1784" s="7"/>
      <c r="X1784" s="7"/>
      <c r="Y1784" s="7"/>
      <c r="Z1784" s="7"/>
      <c r="AA1784" s="7"/>
    </row>
    <row r="1785" ht="18.75" customHeight="1">
      <c r="A1785" s="113" t="s">
        <v>1858</v>
      </c>
      <c r="B1785" s="113" t="s">
        <v>1859</v>
      </c>
      <c r="C1785" s="113" t="s">
        <v>1888</v>
      </c>
      <c r="D1785" s="182">
        <v>472.0</v>
      </c>
      <c r="E1785" s="113" t="s">
        <v>1889</v>
      </c>
      <c r="F1785" s="25" t="s">
        <v>37</v>
      </c>
      <c r="G1785" s="161"/>
      <c r="H1785" s="177">
        <v>945.0</v>
      </c>
      <c r="I1785" s="163">
        <v>15.0</v>
      </c>
      <c r="J1785" s="29" t="s">
        <v>28</v>
      </c>
      <c r="K1785" s="30">
        <v>0.4</v>
      </c>
      <c r="L1785" s="155">
        <f t="shared" si="7"/>
        <v>6</v>
      </c>
      <c r="M1785" s="31">
        <f t="shared" si="2"/>
        <v>9</v>
      </c>
      <c r="N1785" s="32">
        <f t="shared" si="8"/>
        <v>378</v>
      </c>
      <c r="O1785" s="32">
        <f t="shared" si="9"/>
        <v>567</v>
      </c>
      <c r="P1785" s="32">
        <f t="shared" si="5"/>
        <v>567</v>
      </c>
      <c r="Q1785" s="22">
        <v>0.0</v>
      </c>
      <c r="R1785" s="32">
        <f t="shared" si="6"/>
        <v>63</v>
      </c>
      <c r="S1785" s="33" t="s">
        <v>29</v>
      </c>
      <c r="T1785" s="33" t="s">
        <v>30</v>
      </c>
      <c r="U1785" s="180" t="s">
        <v>205</v>
      </c>
      <c r="V1785" s="57"/>
      <c r="W1785" s="7"/>
      <c r="X1785" s="7"/>
      <c r="Y1785" s="7"/>
      <c r="Z1785" s="7"/>
      <c r="AA1785" s="7"/>
    </row>
    <row r="1786" ht="18.75" customHeight="1">
      <c r="A1786" s="166" t="s">
        <v>1858</v>
      </c>
      <c r="B1786" s="166" t="s">
        <v>1859</v>
      </c>
      <c r="C1786" s="166" t="s">
        <v>199</v>
      </c>
      <c r="D1786" s="183">
        <v>474.0</v>
      </c>
      <c r="E1786" s="166" t="s">
        <v>1890</v>
      </c>
      <c r="F1786" s="11" t="s">
        <v>37</v>
      </c>
      <c r="G1786" s="168"/>
      <c r="H1786" s="178">
        <v>945.0</v>
      </c>
      <c r="I1786" s="170">
        <v>15.0</v>
      </c>
      <c r="J1786" s="15" t="s">
        <v>38</v>
      </c>
      <c r="K1786" s="16">
        <v>0.5</v>
      </c>
      <c r="L1786" s="164">
        <f t="shared" si="7"/>
        <v>7.5</v>
      </c>
      <c r="M1786" s="17">
        <f t="shared" si="2"/>
        <v>7.5</v>
      </c>
      <c r="N1786" s="18">
        <f t="shared" si="8"/>
        <v>472.5</v>
      </c>
      <c r="O1786" s="18">
        <f t="shared" si="9"/>
        <v>472.5</v>
      </c>
      <c r="P1786" s="18">
        <f t="shared" si="5"/>
        <v>472.5</v>
      </c>
      <c r="Q1786" s="8">
        <v>0.0</v>
      </c>
      <c r="R1786" s="18">
        <f t="shared" si="6"/>
        <v>63</v>
      </c>
      <c r="S1786" s="19" t="s">
        <v>29</v>
      </c>
      <c r="T1786" s="19" t="s">
        <v>30</v>
      </c>
      <c r="U1786" s="179" t="s">
        <v>205</v>
      </c>
      <c r="V1786" s="145"/>
      <c r="W1786" s="7"/>
      <c r="X1786" s="7"/>
      <c r="Y1786" s="7"/>
      <c r="Z1786" s="7"/>
      <c r="AA1786" s="7"/>
    </row>
    <row r="1787" ht="18.75" customHeight="1">
      <c r="A1787" s="113" t="s">
        <v>1858</v>
      </c>
      <c r="B1787" s="113" t="s">
        <v>1859</v>
      </c>
      <c r="C1787" s="113" t="s">
        <v>199</v>
      </c>
      <c r="D1787" s="182">
        <v>476.0</v>
      </c>
      <c r="E1787" s="113" t="s">
        <v>228</v>
      </c>
      <c r="F1787" s="25" t="s">
        <v>37</v>
      </c>
      <c r="G1787" s="161"/>
      <c r="H1787" s="177">
        <v>1300.12</v>
      </c>
      <c r="I1787" s="163">
        <v>15.0</v>
      </c>
      <c r="J1787" s="29" t="s">
        <v>38</v>
      </c>
      <c r="K1787" s="30">
        <v>0.5</v>
      </c>
      <c r="L1787" s="155">
        <f t="shared" si="7"/>
        <v>7.5</v>
      </c>
      <c r="M1787" s="31">
        <f t="shared" si="2"/>
        <v>7.5</v>
      </c>
      <c r="N1787" s="32">
        <f t="shared" si="8"/>
        <v>650.06</v>
      </c>
      <c r="O1787" s="32">
        <f t="shared" si="9"/>
        <v>650.06</v>
      </c>
      <c r="P1787" s="32">
        <f t="shared" si="5"/>
        <v>650.06</v>
      </c>
      <c r="Q1787" s="22">
        <v>0.0</v>
      </c>
      <c r="R1787" s="32">
        <f t="shared" si="6"/>
        <v>86.67466667</v>
      </c>
      <c r="S1787" s="33" t="s">
        <v>29</v>
      </c>
      <c r="T1787" s="33" t="s">
        <v>30</v>
      </c>
      <c r="U1787" s="180" t="s">
        <v>229</v>
      </c>
      <c r="V1787" s="57"/>
      <c r="W1787" s="7"/>
      <c r="X1787" s="7"/>
      <c r="Y1787" s="7"/>
      <c r="Z1787" s="7"/>
      <c r="AA1787" s="7"/>
    </row>
    <row r="1788" ht="18.75" customHeight="1">
      <c r="A1788" s="166" t="s">
        <v>1858</v>
      </c>
      <c r="B1788" s="166" t="s">
        <v>1859</v>
      </c>
      <c r="C1788" s="166" t="s">
        <v>199</v>
      </c>
      <c r="D1788" s="183">
        <v>478.0</v>
      </c>
      <c r="E1788" s="166" t="s">
        <v>1891</v>
      </c>
      <c r="F1788" s="11" t="s">
        <v>37</v>
      </c>
      <c r="G1788" s="168"/>
      <c r="H1788" s="178">
        <v>529.0</v>
      </c>
      <c r="I1788" s="170">
        <v>10.0</v>
      </c>
      <c r="J1788" s="171" t="s">
        <v>54</v>
      </c>
      <c r="K1788" s="16">
        <v>0.3</v>
      </c>
      <c r="L1788" s="164">
        <f t="shared" si="7"/>
        <v>3</v>
      </c>
      <c r="M1788" s="17">
        <f t="shared" si="2"/>
        <v>7</v>
      </c>
      <c r="N1788" s="18">
        <f t="shared" si="8"/>
        <v>158.7</v>
      </c>
      <c r="O1788" s="18">
        <f t="shared" si="9"/>
        <v>370.3</v>
      </c>
      <c r="P1788" s="18">
        <f t="shared" si="5"/>
        <v>370.3</v>
      </c>
      <c r="Q1788" s="8">
        <v>0.0</v>
      </c>
      <c r="R1788" s="18">
        <f t="shared" si="6"/>
        <v>52.9</v>
      </c>
      <c r="S1788" s="19" t="s">
        <v>29</v>
      </c>
      <c r="T1788" s="19" t="s">
        <v>30</v>
      </c>
      <c r="U1788" s="184" t="s">
        <v>275</v>
      </c>
      <c r="V1788" s="145"/>
      <c r="W1788" s="7"/>
      <c r="X1788" s="7"/>
      <c r="Y1788" s="7"/>
      <c r="Z1788" s="7"/>
      <c r="AA1788" s="7"/>
    </row>
    <row r="1789" ht="18.75" customHeight="1">
      <c r="A1789" s="113" t="s">
        <v>1858</v>
      </c>
      <c r="B1789" s="113" t="s">
        <v>1859</v>
      </c>
      <c r="C1789" s="113" t="s">
        <v>145</v>
      </c>
      <c r="D1789" s="182">
        <v>843.0</v>
      </c>
      <c r="E1789" s="113" t="s">
        <v>1892</v>
      </c>
      <c r="F1789" s="25" t="s">
        <v>37</v>
      </c>
      <c r="G1789" s="161"/>
      <c r="H1789" s="177">
        <v>114.0</v>
      </c>
      <c r="I1789" s="163">
        <v>10.0</v>
      </c>
      <c r="J1789" s="29" t="s">
        <v>38</v>
      </c>
      <c r="K1789" s="30">
        <v>0.5</v>
      </c>
      <c r="L1789" s="155">
        <f t="shared" si="7"/>
        <v>5</v>
      </c>
      <c r="M1789" s="31">
        <f t="shared" si="2"/>
        <v>5</v>
      </c>
      <c r="N1789" s="32">
        <f t="shared" si="8"/>
        <v>57</v>
      </c>
      <c r="O1789" s="32">
        <f t="shared" si="9"/>
        <v>57</v>
      </c>
      <c r="P1789" s="32">
        <f t="shared" si="5"/>
        <v>57</v>
      </c>
      <c r="Q1789" s="22">
        <v>0.0</v>
      </c>
      <c r="R1789" s="32">
        <f t="shared" si="6"/>
        <v>11.4</v>
      </c>
      <c r="S1789" s="33" t="s">
        <v>29</v>
      </c>
      <c r="T1789" s="33" t="s">
        <v>30</v>
      </c>
      <c r="U1789" s="173" t="s">
        <v>983</v>
      </c>
      <c r="V1789" s="57"/>
      <c r="W1789" s="7"/>
      <c r="X1789" s="7"/>
      <c r="Y1789" s="7"/>
      <c r="Z1789" s="7"/>
      <c r="AA1789" s="7"/>
    </row>
    <row r="1790" ht="18.75" customHeight="1">
      <c r="A1790" s="166" t="s">
        <v>1858</v>
      </c>
      <c r="B1790" s="166" t="s">
        <v>1859</v>
      </c>
      <c r="C1790" s="166" t="s">
        <v>145</v>
      </c>
      <c r="D1790" s="183">
        <v>1085.0</v>
      </c>
      <c r="E1790" s="166" t="s">
        <v>1893</v>
      </c>
      <c r="F1790" s="11" t="s">
        <v>26</v>
      </c>
      <c r="G1790" s="168"/>
      <c r="H1790" s="178">
        <v>15638.9</v>
      </c>
      <c r="I1790" s="170">
        <v>10.0</v>
      </c>
      <c r="J1790" s="15" t="s">
        <v>38</v>
      </c>
      <c r="K1790" s="16">
        <v>0.5</v>
      </c>
      <c r="L1790" s="164">
        <f t="shared" si="7"/>
        <v>5</v>
      </c>
      <c r="M1790" s="17">
        <f t="shared" si="2"/>
        <v>5</v>
      </c>
      <c r="N1790" s="18">
        <f t="shared" si="8"/>
        <v>7819.45</v>
      </c>
      <c r="O1790" s="18">
        <f t="shared" si="9"/>
        <v>7819.45</v>
      </c>
      <c r="P1790" s="18">
        <f t="shared" si="5"/>
        <v>7819.45</v>
      </c>
      <c r="Q1790" s="8">
        <v>0.0</v>
      </c>
      <c r="R1790" s="18">
        <f t="shared" si="6"/>
        <v>1563.89</v>
      </c>
      <c r="S1790" s="19" t="s">
        <v>29</v>
      </c>
      <c r="T1790" s="19" t="s">
        <v>30</v>
      </c>
      <c r="U1790" s="179" t="s">
        <v>35</v>
      </c>
      <c r="V1790" s="145"/>
      <c r="W1790" s="7"/>
      <c r="X1790" s="7"/>
      <c r="Y1790" s="7"/>
      <c r="Z1790" s="7"/>
      <c r="AA1790" s="7"/>
    </row>
    <row r="1791" ht="18.75" customHeight="1">
      <c r="A1791" s="113" t="s">
        <v>1858</v>
      </c>
      <c r="B1791" s="113" t="s">
        <v>1859</v>
      </c>
      <c r="C1791" s="113" t="s">
        <v>199</v>
      </c>
      <c r="D1791" s="182">
        <v>1103.0</v>
      </c>
      <c r="E1791" s="113" t="s">
        <v>1894</v>
      </c>
      <c r="F1791" s="25" t="s">
        <v>26</v>
      </c>
      <c r="G1791" s="161"/>
      <c r="H1791" s="177">
        <v>235.03</v>
      </c>
      <c r="I1791" s="163">
        <v>10.0</v>
      </c>
      <c r="J1791" s="29" t="s">
        <v>38</v>
      </c>
      <c r="K1791" s="30">
        <v>0.5</v>
      </c>
      <c r="L1791" s="155">
        <f t="shared" si="7"/>
        <v>5</v>
      </c>
      <c r="M1791" s="31">
        <f t="shared" si="2"/>
        <v>5</v>
      </c>
      <c r="N1791" s="32">
        <f t="shared" si="8"/>
        <v>117.515</v>
      </c>
      <c r="O1791" s="32">
        <f t="shared" si="9"/>
        <v>117.515</v>
      </c>
      <c r="P1791" s="32">
        <f t="shared" si="5"/>
        <v>117.515</v>
      </c>
      <c r="Q1791" s="22">
        <v>0.0</v>
      </c>
      <c r="R1791" s="32">
        <f t="shared" si="6"/>
        <v>23.503</v>
      </c>
      <c r="S1791" s="33" t="s">
        <v>29</v>
      </c>
      <c r="T1791" s="33" t="s">
        <v>30</v>
      </c>
      <c r="U1791" s="180" t="s">
        <v>96</v>
      </c>
      <c r="V1791" s="57"/>
      <c r="W1791" s="7"/>
      <c r="X1791" s="7"/>
      <c r="Y1791" s="7"/>
      <c r="Z1791" s="7"/>
      <c r="AA1791" s="7"/>
    </row>
    <row r="1792" ht="18.75" customHeight="1">
      <c r="A1792" s="166" t="s">
        <v>1858</v>
      </c>
      <c r="B1792" s="166" t="s">
        <v>1859</v>
      </c>
      <c r="C1792" s="166" t="s">
        <v>230</v>
      </c>
      <c r="D1792" s="183">
        <v>1135.0</v>
      </c>
      <c r="E1792" s="166" t="s">
        <v>1895</v>
      </c>
      <c r="F1792" s="11" t="s">
        <v>37</v>
      </c>
      <c r="G1792" s="168"/>
      <c r="H1792" s="178">
        <v>431.07</v>
      </c>
      <c r="I1792" s="170">
        <v>10.0</v>
      </c>
      <c r="J1792" s="48" t="s">
        <v>63</v>
      </c>
      <c r="K1792" s="16">
        <v>0.700000000000008</v>
      </c>
      <c r="L1792" s="164">
        <f t="shared" si="7"/>
        <v>7</v>
      </c>
      <c r="M1792" s="17">
        <f t="shared" si="2"/>
        <v>3</v>
      </c>
      <c r="N1792" s="18">
        <f t="shared" si="8"/>
        <v>301.749</v>
      </c>
      <c r="O1792" s="18">
        <f t="shared" si="9"/>
        <v>129.321</v>
      </c>
      <c r="P1792" s="18">
        <f t="shared" si="5"/>
        <v>129.321</v>
      </c>
      <c r="Q1792" s="8">
        <v>0.0</v>
      </c>
      <c r="R1792" s="18">
        <f t="shared" si="6"/>
        <v>43.107</v>
      </c>
      <c r="S1792" s="19" t="s">
        <v>29</v>
      </c>
      <c r="T1792" s="19" t="s">
        <v>30</v>
      </c>
      <c r="U1792" s="171" t="s">
        <v>912</v>
      </c>
      <c r="V1792" s="145"/>
      <c r="W1792" s="7"/>
      <c r="X1792" s="7"/>
      <c r="Y1792" s="7"/>
      <c r="Z1792" s="7"/>
      <c r="AA1792" s="7"/>
    </row>
    <row r="1793" ht="18.75" customHeight="1">
      <c r="A1793" s="113" t="s">
        <v>1858</v>
      </c>
      <c r="B1793" s="113" t="s">
        <v>1859</v>
      </c>
      <c r="C1793" s="113" t="s">
        <v>253</v>
      </c>
      <c r="D1793" s="182">
        <v>1330.0</v>
      </c>
      <c r="E1793" s="113" t="s">
        <v>1896</v>
      </c>
      <c r="F1793" s="25" t="s">
        <v>26</v>
      </c>
      <c r="G1793" s="161"/>
      <c r="H1793" s="177">
        <v>2219.0</v>
      </c>
      <c r="I1793" s="163">
        <v>10.0</v>
      </c>
      <c r="J1793" s="29" t="s">
        <v>38</v>
      </c>
      <c r="K1793" s="30">
        <v>0.5</v>
      </c>
      <c r="L1793" s="155">
        <f t="shared" si="7"/>
        <v>5</v>
      </c>
      <c r="M1793" s="31">
        <f t="shared" si="2"/>
        <v>5</v>
      </c>
      <c r="N1793" s="32">
        <f t="shared" si="8"/>
        <v>1109.5</v>
      </c>
      <c r="O1793" s="32">
        <f t="shared" si="9"/>
        <v>1109.5</v>
      </c>
      <c r="P1793" s="32">
        <f t="shared" si="5"/>
        <v>1109.5</v>
      </c>
      <c r="Q1793" s="22">
        <v>0.0</v>
      </c>
      <c r="R1793" s="32">
        <f t="shared" si="6"/>
        <v>221.9</v>
      </c>
      <c r="S1793" s="33" t="s">
        <v>29</v>
      </c>
      <c r="T1793" s="33" t="s">
        <v>30</v>
      </c>
      <c r="U1793" s="173" t="s">
        <v>418</v>
      </c>
      <c r="V1793" s="57"/>
      <c r="W1793" s="7"/>
      <c r="X1793" s="7"/>
      <c r="Y1793" s="7"/>
      <c r="Z1793" s="7"/>
      <c r="AA1793" s="7"/>
    </row>
    <row r="1794" ht="18.75" customHeight="1">
      <c r="A1794" s="166" t="s">
        <v>1858</v>
      </c>
      <c r="B1794" s="166" t="s">
        <v>1859</v>
      </c>
      <c r="C1794" s="166" t="s">
        <v>24</v>
      </c>
      <c r="D1794" s="183">
        <v>1640.0</v>
      </c>
      <c r="E1794" s="166" t="s">
        <v>1897</v>
      </c>
      <c r="F1794" s="11" t="s">
        <v>37</v>
      </c>
      <c r="G1794" s="168"/>
      <c r="H1794" s="178">
        <v>285.0</v>
      </c>
      <c r="I1794" s="170">
        <v>10.0</v>
      </c>
      <c r="J1794" s="15" t="s">
        <v>38</v>
      </c>
      <c r="K1794" s="16">
        <v>0.5</v>
      </c>
      <c r="L1794" s="164">
        <f t="shared" si="7"/>
        <v>5</v>
      </c>
      <c r="M1794" s="17">
        <f t="shared" si="2"/>
        <v>5</v>
      </c>
      <c r="N1794" s="18">
        <f t="shared" si="8"/>
        <v>142.5</v>
      </c>
      <c r="O1794" s="18">
        <f t="shared" si="9"/>
        <v>142.5</v>
      </c>
      <c r="P1794" s="18">
        <f t="shared" si="5"/>
        <v>142.5</v>
      </c>
      <c r="Q1794" s="8">
        <v>0.0</v>
      </c>
      <c r="R1794" s="18">
        <f t="shared" si="6"/>
        <v>28.5</v>
      </c>
      <c r="S1794" s="19" t="s">
        <v>29</v>
      </c>
      <c r="T1794" s="19" t="s">
        <v>30</v>
      </c>
      <c r="U1794" s="185" t="s">
        <v>527</v>
      </c>
      <c r="V1794" s="145"/>
      <c r="W1794" s="7"/>
      <c r="X1794" s="7"/>
      <c r="Y1794" s="7"/>
      <c r="Z1794" s="7"/>
      <c r="AA1794" s="7"/>
    </row>
    <row r="1795" ht="18.75" customHeight="1">
      <c r="A1795" s="113" t="s">
        <v>1858</v>
      </c>
      <c r="B1795" s="113" t="s">
        <v>1859</v>
      </c>
      <c r="C1795" s="113" t="s">
        <v>150</v>
      </c>
      <c r="D1795" s="182">
        <v>1648.0</v>
      </c>
      <c r="E1795" s="113" t="s">
        <v>1898</v>
      </c>
      <c r="F1795" s="25" t="s">
        <v>37</v>
      </c>
      <c r="G1795" s="161"/>
      <c r="H1795" s="177">
        <v>1647.58</v>
      </c>
      <c r="I1795" s="163">
        <v>15.0</v>
      </c>
      <c r="J1795" s="173" t="s">
        <v>54</v>
      </c>
      <c r="K1795" s="30">
        <v>0.3</v>
      </c>
      <c r="L1795" s="155">
        <f t="shared" si="7"/>
        <v>4.5</v>
      </c>
      <c r="M1795" s="31">
        <f t="shared" si="2"/>
        <v>10.5</v>
      </c>
      <c r="N1795" s="32">
        <f t="shared" si="8"/>
        <v>494.274</v>
      </c>
      <c r="O1795" s="32">
        <f t="shared" si="9"/>
        <v>1153.306</v>
      </c>
      <c r="P1795" s="32">
        <f t="shared" si="5"/>
        <v>1153.306</v>
      </c>
      <c r="Q1795" s="22">
        <v>0.0</v>
      </c>
      <c r="R1795" s="32">
        <f t="shared" si="6"/>
        <v>109.8386667</v>
      </c>
      <c r="S1795" s="33" t="s">
        <v>29</v>
      </c>
      <c r="T1795" s="33" t="s">
        <v>30</v>
      </c>
      <c r="U1795" s="181" t="s">
        <v>325</v>
      </c>
      <c r="V1795" s="57"/>
      <c r="W1795" s="7"/>
      <c r="X1795" s="7"/>
      <c r="Y1795" s="7"/>
      <c r="Z1795" s="7"/>
      <c r="AA1795" s="7"/>
    </row>
    <row r="1796" ht="18.75" customHeight="1">
      <c r="A1796" s="166" t="s">
        <v>1858</v>
      </c>
      <c r="B1796" s="166" t="s">
        <v>1859</v>
      </c>
      <c r="C1796" s="166" t="s">
        <v>150</v>
      </c>
      <c r="D1796" s="183">
        <v>1650.0</v>
      </c>
      <c r="E1796" s="166" t="s">
        <v>720</v>
      </c>
      <c r="F1796" s="11" t="s">
        <v>37</v>
      </c>
      <c r="G1796" s="168"/>
      <c r="H1796" s="178">
        <v>529.0</v>
      </c>
      <c r="I1796" s="170">
        <v>10.0</v>
      </c>
      <c r="J1796" s="15" t="s">
        <v>28</v>
      </c>
      <c r="K1796" s="16">
        <v>0.4</v>
      </c>
      <c r="L1796" s="164">
        <f t="shared" si="7"/>
        <v>4</v>
      </c>
      <c r="M1796" s="17">
        <f t="shared" si="2"/>
        <v>6</v>
      </c>
      <c r="N1796" s="18">
        <f t="shared" si="8"/>
        <v>211.6</v>
      </c>
      <c r="O1796" s="18">
        <f t="shared" si="9"/>
        <v>317.4</v>
      </c>
      <c r="P1796" s="18">
        <f t="shared" si="5"/>
        <v>317.4</v>
      </c>
      <c r="Q1796" s="8">
        <v>0.0</v>
      </c>
      <c r="R1796" s="18">
        <f t="shared" si="6"/>
        <v>52.9</v>
      </c>
      <c r="S1796" s="19" t="s">
        <v>29</v>
      </c>
      <c r="T1796" s="19" t="s">
        <v>30</v>
      </c>
      <c r="U1796" s="184" t="s">
        <v>275</v>
      </c>
      <c r="V1796" s="145"/>
      <c r="W1796" s="7"/>
      <c r="X1796" s="7"/>
      <c r="Y1796" s="7"/>
      <c r="Z1796" s="7"/>
      <c r="AA1796" s="7"/>
    </row>
    <row r="1797" ht="18.75" customHeight="1">
      <c r="A1797" s="113" t="s">
        <v>1858</v>
      </c>
      <c r="B1797" s="113" t="s">
        <v>1859</v>
      </c>
      <c r="C1797" s="113" t="s">
        <v>150</v>
      </c>
      <c r="D1797" s="182">
        <v>1653.0</v>
      </c>
      <c r="E1797" s="113" t="s">
        <v>1899</v>
      </c>
      <c r="F1797" s="25" t="s">
        <v>26</v>
      </c>
      <c r="G1797" s="161"/>
      <c r="H1797" s="177">
        <v>1741.5</v>
      </c>
      <c r="I1797" s="163">
        <v>5.0</v>
      </c>
      <c r="J1797" s="29" t="s">
        <v>38</v>
      </c>
      <c r="K1797" s="30">
        <v>0.5</v>
      </c>
      <c r="L1797" s="155">
        <f t="shared" si="7"/>
        <v>2.5</v>
      </c>
      <c r="M1797" s="31">
        <f t="shared" si="2"/>
        <v>2.5</v>
      </c>
      <c r="N1797" s="32">
        <f t="shared" si="8"/>
        <v>870.75</v>
      </c>
      <c r="O1797" s="32">
        <f t="shared" si="9"/>
        <v>870.75</v>
      </c>
      <c r="P1797" s="32">
        <f t="shared" si="5"/>
        <v>870.75</v>
      </c>
      <c r="Q1797" s="22">
        <v>0.0</v>
      </c>
      <c r="R1797" s="32">
        <f t="shared" si="6"/>
        <v>348.3</v>
      </c>
      <c r="S1797" s="33" t="s">
        <v>29</v>
      </c>
      <c r="T1797" s="33" t="s">
        <v>30</v>
      </c>
      <c r="U1797" s="180" t="s">
        <v>700</v>
      </c>
      <c r="V1797" s="57"/>
      <c r="W1797" s="7"/>
      <c r="X1797" s="7"/>
      <c r="Y1797" s="7"/>
      <c r="Z1797" s="7"/>
      <c r="AA1797" s="7"/>
    </row>
    <row r="1798" ht="18.75" customHeight="1">
      <c r="A1798" s="166" t="s">
        <v>1858</v>
      </c>
      <c r="B1798" s="166" t="s">
        <v>1859</v>
      </c>
      <c r="C1798" s="166" t="s">
        <v>145</v>
      </c>
      <c r="D1798" s="183">
        <v>1658.0</v>
      </c>
      <c r="E1798" s="166" t="s">
        <v>1900</v>
      </c>
      <c r="F1798" s="11" t="s">
        <v>26</v>
      </c>
      <c r="G1798" s="168"/>
      <c r="H1798" s="178">
        <v>328.8</v>
      </c>
      <c r="I1798" s="170">
        <v>5.0</v>
      </c>
      <c r="J1798" s="15" t="s">
        <v>38</v>
      </c>
      <c r="K1798" s="16">
        <v>0.5</v>
      </c>
      <c r="L1798" s="164">
        <f t="shared" si="7"/>
        <v>2.5</v>
      </c>
      <c r="M1798" s="17">
        <f t="shared" si="2"/>
        <v>2.5</v>
      </c>
      <c r="N1798" s="18">
        <f t="shared" si="8"/>
        <v>164.4</v>
      </c>
      <c r="O1798" s="18">
        <f t="shared" si="9"/>
        <v>164.4</v>
      </c>
      <c r="P1798" s="18">
        <f t="shared" si="5"/>
        <v>164.4</v>
      </c>
      <c r="Q1798" s="8">
        <v>0.0</v>
      </c>
      <c r="R1798" s="18">
        <f t="shared" si="6"/>
        <v>65.76</v>
      </c>
      <c r="S1798" s="19" t="s">
        <v>29</v>
      </c>
      <c r="T1798" s="19" t="s">
        <v>30</v>
      </c>
      <c r="U1798" s="171" t="s">
        <v>344</v>
      </c>
      <c r="V1798" s="145"/>
      <c r="W1798" s="7"/>
      <c r="X1798" s="7"/>
      <c r="Y1798" s="7"/>
      <c r="Z1798" s="7"/>
      <c r="AA1798" s="7"/>
    </row>
    <row r="1799" ht="18.75" customHeight="1">
      <c r="A1799" s="113" t="s">
        <v>1858</v>
      </c>
      <c r="B1799" s="113" t="s">
        <v>1859</v>
      </c>
      <c r="C1799" s="113" t="s">
        <v>24</v>
      </c>
      <c r="D1799" s="182">
        <v>1661.0</v>
      </c>
      <c r="E1799" s="113" t="s">
        <v>1901</v>
      </c>
      <c r="F1799" s="25" t="s">
        <v>37</v>
      </c>
      <c r="G1799" s="161"/>
      <c r="H1799" s="177">
        <v>945.0</v>
      </c>
      <c r="I1799" s="163">
        <v>15.0</v>
      </c>
      <c r="J1799" s="29" t="s">
        <v>38</v>
      </c>
      <c r="K1799" s="30">
        <v>0.5</v>
      </c>
      <c r="L1799" s="155">
        <f t="shared" si="7"/>
        <v>7.5</v>
      </c>
      <c r="M1799" s="31">
        <f t="shared" si="2"/>
        <v>7.5</v>
      </c>
      <c r="N1799" s="32">
        <f t="shared" si="8"/>
        <v>472.5</v>
      </c>
      <c r="O1799" s="32">
        <f t="shared" si="9"/>
        <v>472.5</v>
      </c>
      <c r="P1799" s="32">
        <f t="shared" si="5"/>
        <v>472.5</v>
      </c>
      <c r="Q1799" s="22">
        <v>0.0</v>
      </c>
      <c r="R1799" s="32">
        <f t="shared" si="6"/>
        <v>63</v>
      </c>
      <c r="S1799" s="33" t="s">
        <v>29</v>
      </c>
      <c r="T1799" s="33" t="s">
        <v>30</v>
      </c>
      <c r="U1799" s="180" t="s">
        <v>205</v>
      </c>
      <c r="V1799" s="57"/>
      <c r="W1799" s="7"/>
      <c r="X1799" s="7"/>
      <c r="Y1799" s="7"/>
      <c r="Z1799" s="7"/>
      <c r="AA1799" s="7"/>
    </row>
    <row r="1800" ht="18.75" customHeight="1">
      <c r="A1800" s="166" t="s">
        <v>1858</v>
      </c>
      <c r="B1800" s="166" t="s">
        <v>1859</v>
      </c>
      <c r="C1800" s="166" t="s">
        <v>24</v>
      </c>
      <c r="D1800" s="183">
        <v>1670.0</v>
      </c>
      <c r="E1800" s="166" t="s">
        <v>1902</v>
      </c>
      <c r="F1800" s="11" t="s">
        <v>26</v>
      </c>
      <c r="G1800" s="168"/>
      <c r="H1800" s="178">
        <v>285.0</v>
      </c>
      <c r="I1800" s="170">
        <v>5.0</v>
      </c>
      <c r="J1800" s="15" t="s">
        <v>38</v>
      </c>
      <c r="K1800" s="16">
        <v>0.5</v>
      </c>
      <c r="L1800" s="164">
        <f t="shared" si="7"/>
        <v>2.5</v>
      </c>
      <c r="M1800" s="17">
        <f t="shared" si="2"/>
        <v>2.5</v>
      </c>
      <c r="N1800" s="18">
        <f t="shared" si="8"/>
        <v>142.5</v>
      </c>
      <c r="O1800" s="18">
        <f t="shared" si="9"/>
        <v>142.5</v>
      </c>
      <c r="P1800" s="18">
        <f t="shared" si="5"/>
        <v>142.5</v>
      </c>
      <c r="Q1800" s="8">
        <v>0.0</v>
      </c>
      <c r="R1800" s="18">
        <f t="shared" si="6"/>
        <v>57</v>
      </c>
      <c r="S1800" s="19" t="s">
        <v>29</v>
      </c>
      <c r="T1800" s="19" t="s">
        <v>30</v>
      </c>
      <c r="U1800" s="171" t="s">
        <v>251</v>
      </c>
      <c r="V1800" s="145"/>
      <c r="W1800" s="7"/>
      <c r="X1800" s="7"/>
      <c r="Y1800" s="7"/>
      <c r="Z1800" s="7"/>
      <c r="AA1800" s="7"/>
    </row>
    <row r="1801" ht="18.75" customHeight="1">
      <c r="A1801" s="113" t="s">
        <v>1858</v>
      </c>
      <c r="B1801" s="113" t="s">
        <v>1859</v>
      </c>
      <c r="C1801" s="113" t="s">
        <v>24</v>
      </c>
      <c r="D1801" s="182">
        <v>1681.0</v>
      </c>
      <c r="E1801" s="113" t="s">
        <v>1903</v>
      </c>
      <c r="F1801" s="25" t="s">
        <v>26</v>
      </c>
      <c r="G1801" s="161"/>
      <c r="H1801" s="177">
        <v>159.9</v>
      </c>
      <c r="I1801" s="163">
        <v>5.0</v>
      </c>
      <c r="J1801" s="29" t="s">
        <v>154</v>
      </c>
      <c r="K1801" s="30">
        <v>0.8</v>
      </c>
      <c r="L1801" s="155">
        <f t="shared" si="7"/>
        <v>4</v>
      </c>
      <c r="M1801" s="31">
        <f t="shared" si="2"/>
        <v>1</v>
      </c>
      <c r="N1801" s="32">
        <f t="shared" si="8"/>
        <v>127.92</v>
      </c>
      <c r="O1801" s="32">
        <f t="shared" si="9"/>
        <v>31.98</v>
      </c>
      <c r="P1801" s="32">
        <f t="shared" si="5"/>
        <v>31.98</v>
      </c>
      <c r="Q1801" s="22">
        <v>0.0</v>
      </c>
      <c r="R1801" s="32">
        <f t="shared" si="6"/>
        <v>31.98</v>
      </c>
      <c r="S1801" s="33" t="s">
        <v>29</v>
      </c>
      <c r="T1801" s="33" t="s">
        <v>30</v>
      </c>
      <c r="U1801" s="181" t="s">
        <v>245</v>
      </c>
      <c r="V1801" s="57"/>
      <c r="W1801" s="7"/>
      <c r="X1801" s="7"/>
      <c r="Y1801" s="7"/>
      <c r="Z1801" s="7"/>
      <c r="AA1801" s="7"/>
    </row>
    <row r="1802" ht="18.75" customHeight="1">
      <c r="A1802" s="166" t="s">
        <v>1858</v>
      </c>
      <c r="B1802" s="166" t="s">
        <v>1859</v>
      </c>
      <c r="C1802" s="166" t="s">
        <v>24</v>
      </c>
      <c r="D1802" s="183">
        <v>1683.0</v>
      </c>
      <c r="E1802" s="166" t="s">
        <v>564</v>
      </c>
      <c r="F1802" s="11" t="s">
        <v>26</v>
      </c>
      <c r="G1802" s="168"/>
      <c r="H1802" s="178">
        <v>798.0</v>
      </c>
      <c r="I1802" s="170">
        <v>5.0</v>
      </c>
      <c r="J1802" s="171" t="s">
        <v>54</v>
      </c>
      <c r="K1802" s="16">
        <v>0.3</v>
      </c>
      <c r="L1802" s="164">
        <f t="shared" si="7"/>
        <v>1.5</v>
      </c>
      <c r="M1802" s="17">
        <f t="shared" si="2"/>
        <v>3.5</v>
      </c>
      <c r="N1802" s="18">
        <f t="shared" si="8"/>
        <v>239.4</v>
      </c>
      <c r="O1802" s="18">
        <f t="shared" si="9"/>
        <v>558.6</v>
      </c>
      <c r="P1802" s="18">
        <f t="shared" si="5"/>
        <v>558.6</v>
      </c>
      <c r="Q1802" s="8">
        <v>0.0</v>
      </c>
      <c r="R1802" s="18">
        <f t="shared" si="6"/>
        <v>159.6</v>
      </c>
      <c r="S1802" s="19" t="s">
        <v>29</v>
      </c>
      <c r="T1802" s="19" t="s">
        <v>30</v>
      </c>
      <c r="U1802" s="179" t="s">
        <v>111</v>
      </c>
      <c r="V1802" s="145"/>
      <c r="W1802" s="7"/>
      <c r="X1802" s="7"/>
      <c r="Y1802" s="7"/>
      <c r="Z1802" s="7"/>
      <c r="AA1802" s="7"/>
    </row>
    <row r="1803" ht="18.75" customHeight="1">
      <c r="A1803" s="113" t="s">
        <v>1858</v>
      </c>
      <c r="B1803" s="113" t="s">
        <v>1859</v>
      </c>
      <c r="C1803" s="113" t="s">
        <v>1904</v>
      </c>
      <c r="D1803" s="182">
        <v>1688.0</v>
      </c>
      <c r="E1803" s="113" t="s">
        <v>1905</v>
      </c>
      <c r="F1803" s="25" t="s">
        <v>26</v>
      </c>
      <c r="G1803" s="161"/>
      <c r="H1803" s="177">
        <v>338.58</v>
      </c>
      <c r="I1803" s="163">
        <v>10.0</v>
      </c>
      <c r="J1803" s="29" t="s">
        <v>28</v>
      </c>
      <c r="K1803" s="30">
        <v>0.4</v>
      </c>
      <c r="L1803" s="155">
        <f t="shared" si="7"/>
        <v>4</v>
      </c>
      <c r="M1803" s="31">
        <f t="shared" si="2"/>
        <v>6</v>
      </c>
      <c r="N1803" s="32">
        <f t="shared" si="8"/>
        <v>135.432</v>
      </c>
      <c r="O1803" s="32">
        <f t="shared" si="9"/>
        <v>203.148</v>
      </c>
      <c r="P1803" s="32">
        <f t="shared" si="5"/>
        <v>203.148</v>
      </c>
      <c r="Q1803" s="22">
        <v>0.0</v>
      </c>
      <c r="R1803" s="32">
        <f t="shared" si="6"/>
        <v>33.858</v>
      </c>
      <c r="S1803" s="33" t="s">
        <v>29</v>
      </c>
      <c r="T1803" s="33" t="s">
        <v>30</v>
      </c>
      <c r="U1803" s="180" t="s">
        <v>304</v>
      </c>
      <c r="V1803" s="57"/>
      <c r="W1803" s="7"/>
      <c r="X1803" s="7"/>
      <c r="Y1803" s="7"/>
      <c r="Z1803" s="7"/>
      <c r="AA1803" s="7"/>
    </row>
    <row r="1804" ht="18.75" customHeight="1">
      <c r="A1804" s="166" t="s">
        <v>1858</v>
      </c>
      <c r="B1804" s="166" t="s">
        <v>1859</v>
      </c>
      <c r="C1804" s="166" t="s">
        <v>1888</v>
      </c>
      <c r="D1804" s="183">
        <v>1690.0</v>
      </c>
      <c r="E1804" s="166" t="s">
        <v>1906</v>
      </c>
      <c r="F1804" s="11" t="s">
        <v>26</v>
      </c>
      <c r="G1804" s="168"/>
      <c r="H1804" s="178">
        <v>338.58</v>
      </c>
      <c r="I1804" s="170">
        <v>10.0</v>
      </c>
      <c r="J1804" s="171" t="s">
        <v>54</v>
      </c>
      <c r="K1804" s="16">
        <v>0.3</v>
      </c>
      <c r="L1804" s="164">
        <f t="shared" si="7"/>
        <v>3</v>
      </c>
      <c r="M1804" s="17">
        <f t="shared" si="2"/>
        <v>7</v>
      </c>
      <c r="N1804" s="18">
        <f t="shared" si="8"/>
        <v>101.574</v>
      </c>
      <c r="O1804" s="18">
        <f t="shared" si="9"/>
        <v>237.006</v>
      </c>
      <c r="P1804" s="18">
        <f t="shared" si="5"/>
        <v>237.006</v>
      </c>
      <c r="Q1804" s="8">
        <v>0.0</v>
      </c>
      <c r="R1804" s="18">
        <f t="shared" si="6"/>
        <v>33.858</v>
      </c>
      <c r="S1804" s="19" t="s">
        <v>29</v>
      </c>
      <c r="T1804" s="19" t="s">
        <v>30</v>
      </c>
      <c r="U1804" s="179" t="s">
        <v>715</v>
      </c>
      <c r="V1804" s="145"/>
      <c r="W1804" s="7"/>
      <c r="X1804" s="7"/>
      <c r="Y1804" s="7"/>
      <c r="Z1804" s="7"/>
      <c r="AA1804" s="7"/>
    </row>
    <row r="1805" ht="18.75" customHeight="1">
      <c r="A1805" s="113" t="s">
        <v>1858</v>
      </c>
      <c r="B1805" s="113" t="s">
        <v>1859</v>
      </c>
      <c r="C1805" s="113" t="s">
        <v>230</v>
      </c>
      <c r="D1805" s="182">
        <v>1952.0</v>
      </c>
      <c r="E1805" s="113" t="s">
        <v>1907</v>
      </c>
      <c r="F1805" s="25" t="s">
        <v>26</v>
      </c>
      <c r="G1805" s="161"/>
      <c r="H1805" s="177">
        <v>1291.65</v>
      </c>
      <c r="I1805" s="163">
        <v>5.0</v>
      </c>
      <c r="J1805" s="29" t="s">
        <v>38</v>
      </c>
      <c r="K1805" s="30">
        <v>0.5</v>
      </c>
      <c r="L1805" s="155">
        <f t="shared" si="7"/>
        <v>2.5</v>
      </c>
      <c r="M1805" s="31">
        <f t="shared" si="2"/>
        <v>2.5</v>
      </c>
      <c r="N1805" s="32">
        <f t="shared" si="8"/>
        <v>645.825</v>
      </c>
      <c r="O1805" s="32">
        <f t="shared" si="9"/>
        <v>645.825</v>
      </c>
      <c r="P1805" s="32">
        <f t="shared" si="5"/>
        <v>645.825</v>
      </c>
      <c r="Q1805" s="22">
        <v>0.0</v>
      </c>
      <c r="R1805" s="32">
        <f t="shared" si="6"/>
        <v>258.33</v>
      </c>
      <c r="S1805" s="33" t="s">
        <v>29</v>
      </c>
      <c r="T1805" s="33" t="s">
        <v>30</v>
      </c>
      <c r="U1805" s="173" t="s">
        <v>679</v>
      </c>
      <c r="V1805" s="57"/>
      <c r="W1805" s="7"/>
      <c r="X1805" s="7"/>
      <c r="Y1805" s="7"/>
      <c r="Z1805" s="7"/>
      <c r="AA1805" s="7"/>
    </row>
    <row r="1806" ht="18.75" customHeight="1">
      <c r="A1806" s="166" t="s">
        <v>1858</v>
      </c>
      <c r="B1806" s="166" t="s">
        <v>1859</v>
      </c>
      <c r="C1806" s="166" t="s">
        <v>230</v>
      </c>
      <c r="D1806" s="183">
        <v>1955.0</v>
      </c>
      <c r="E1806" s="166" t="s">
        <v>1908</v>
      </c>
      <c r="F1806" s="11" t="s">
        <v>26</v>
      </c>
      <c r="G1806" s="168"/>
      <c r="H1806" s="178">
        <v>4899.9</v>
      </c>
      <c r="I1806" s="170">
        <v>5.0</v>
      </c>
      <c r="J1806" s="15" t="s">
        <v>38</v>
      </c>
      <c r="K1806" s="16">
        <v>0.5</v>
      </c>
      <c r="L1806" s="164">
        <f t="shared" si="7"/>
        <v>2.5</v>
      </c>
      <c r="M1806" s="17">
        <f t="shared" si="2"/>
        <v>2.5</v>
      </c>
      <c r="N1806" s="18">
        <f t="shared" si="8"/>
        <v>2449.95</v>
      </c>
      <c r="O1806" s="18">
        <f t="shared" si="9"/>
        <v>2449.95</v>
      </c>
      <c r="P1806" s="18">
        <f t="shared" si="5"/>
        <v>2449.95</v>
      </c>
      <c r="Q1806" s="8">
        <v>0.0</v>
      </c>
      <c r="R1806" s="18">
        <f t="shared" si="6"/>
        <v>979.98</v>
      </c>
      <c r="S1806" s="19" t="s">
        <v>29</v>
      </c>
      <c r="T1806" s="19" t="s">
        <v>30</v>
      </c>
      <c r="U1806" s="179" t="s">
        <v>67</v>
      </c>
      <c r="V1806" s="145"/>
      <c r="W1806" s="7"/>
      <c r="X1806" s="7"/>
      <c r="Y1806" s="7"/>
      <c r="Z1806" s="7"/>
      <c r="AA1806" s="7"/>
    </row>
    <row r="1807" ht="18.75" customHeight="1">
      <c r="A1807" s="113" t="s">
        <v>1858</v>
      </c>
      <c r="B1807" s="113" t="s">
        <v>1859</v>
      </c>
      <c r="C1807" s="113" t="s">
        <v>145</v>
      </c>
      <c r="D1807" s="182">
        <v>1976.0</v>
      </c>
      <c r="E1807" s="113" t="s">
        <v>1909</v>
      </c>
      <c r="F1807" s="25" t="s">
        <v>26</v>
      </c>
      <c r="G1807" s="161"/>
      <c r="H1807" s="177">
        <v>4899.9</v>
      </c>
      <c r="I1807" s="163">
        <v>5.0</v>
      </c>
      <c r="J1807" s="29" t="s">
        <v>28</v>
      </c>
      <c r="K1807" s="30">
        <v>0.4</v>
      </c>
      <c r="L1807" s="155">
        <f t="shared" si="7"/>
        <v>2</v>
      </c>
      <c r="M1807" s="31">
        <f t="shared" si="2"/>
        <v>3</v>
      </c>
      <c r="N1807" s="32">
        <f t="shared" si="8"/>
        <v>1959.96</v>
      </c>
      <c r="O1807" s="32">
        <f t="shared" si="9"/>
        <v>2939.94</v>
      </c>
      <c r="P1807" s="32">
        <f t="shared" si="5"/>
        <v>2939.94</v>
      </c>
      <c r="Q1807" s="22">
        <v>0.0</v>
      </c>
      <c r="R1807" s="32">
        <f t="shared" si="6"/>
        <v>979.98</v>
      </c>
      <c r="S1807" s="33" t="s">
        <v>29</v>
      </c>
      <c r="T1807" s="33" t="s">
        <v>30</v>
      </c>
      <c r="U1807" s="180" t="s">
        <v>67</v>
      </c>
      <c r="V1807" s="57"/>
      <c r="W1807" s="7"/>
      <c r="X1807" s="7"/>
      <c r="Y1807" s="7"/>
      <c r="Z1807" s="7"/>
      <c r="AA1807" s="7"/>
    </row>
    <row r="1808" ht="18.75" customHeight="1">
      <c r="A1808" s="166" t="s">
        <v>1858</v>
      </c>
      <c r="B1808" s="166" t="s">
        <v>1859</v>
      </c>
      <c r="C1808" s="166" t="s">
        <v>433</v>
      </c>
      <c r="D1808" s="183">
        <v>1977.0</v>
      </c>
      <c r="E1808" s="166" t="s">
        <v>1910</v>
      </c>
      <c r="F1808" s="11" t="s">
        <v>26</v>
      </c>
      <c r="G1808" s="168"/>
      <c r="H1808" s="178">
        <v>1260.63</v>
      </c>
      <c r="I1808" s="170">
        <v>5.0</v>
      </c>
      <c r="J1808" s="15" t="s">
        <v>38</v>
      </c>
      <c r="K1808" s="16">
        <v>0.5</v>
      </c>
      <c r="L1808" s="164">
        <f t="shared" si="7"/>
        <v>2.5</v>
      </c>
      <c r="M1808" s="17">
        <f t="shared" si="2"/>
        <v>2.5</v>
      </c>
      <c r="N1808" s="18">
        <f t="shared" si="8"/>
        <v>630.315</v>
      </c>
      <c r="O1808" s="18">
        <f t="shared" si="9"/>
        <v>630.315</v>
      </c>
      <c r="P1808" s="18">
        <f t="shared" si="5"/>
        <v>630.315</v>
      </c>
      <c r="Q1808" s="8">
        <v>0.0</v>
      </c>
      <c r="R1808" s="18">
        <f t="shared" si="6"/>
        <v>252.126</v>
      </c>
      <c r="S1808" s="19" t="s">
        <v>29</v>
      </c>
      <c r="T1808" s="19" t="s">
        <v>30</v>
      </c>
      <c r="U1808" s="179" t="s">
        <v>102</v>
      </c>
      <c r="V1808" s="145"/>
      <c r="W1808" s="7"/>
      <c r="X1808" s="7"/>
      <c r="Y1808" s="7"/>
      <c r="Z1808" s="7"/>
      <c r="AA1808" s="7"/>
    </row>
    <row r="1809" ht="18.75" customHeight="1">
      <c r="A1809" s="113" t="s">
        <v>1858</v>
      </c>
      <c r="B1809" s="113" t="s">
        <v>1859</v>
      </c>
      <c r="C1809" s="113" t="s">
        <v>433</v>
      </c>
      <c r="D1809" s="182">
        <v>2004.0</v>
      </c>
      <c r="E1809" s="113" t="s">
        <v>1911</v>
      </c>
      <c r="F1809" s="25" t="s">
        <v>26</v>
      </c>
      <c r="G1809" s="161"/>
      <c r="H1809" s="177">
        <v>840.42</v>
      </c>
      <c r="I1809" s="163">
        <v>10.0</v>
      </c>
      <c r="J1809" s="29" t="s">
        <v>28</v>
      </c>
      <c r="K1809" s="30">
        <v>0.4</v>
      </c>
      <c r="L1809" s="155">
        <f t="shared" si="7"/>
        <v>4</v>
      </c>
      <c r="M1809" s="31">
        <f t="shared" si="2"/>
        <v>6</v>
      </c>
      <c r="N1809" s="32">
        <f t="shared" si="8"/>
        <v>336.168</v>
      </c>
      <c r="O1809" s="32">
        <f t="shared" si="9"/>
        <v>504.252</v>
      </c>
      <c r="P1809" s="32">
        <f t="shared" si="5"/>
        <v>504.252</v>
      </c>
      <c r="Q1809" s="22">
        <v>0.0</v>
      </c>
      <c r="R1809" s="32">
        <f t="shared" si="6"/>
        <v>84.042</v>
      </c>
      <c r="S1809" s="33" t="s">
        <v>29</v>
      </c>
      <c r="T1809" s="33" t="s">
        <v>30</v>
      </c>
      <c r="U1809" s="180" t="s">
        <v>102</v>
      </c>
      <c r="V1809" s="57"/>
      <c r="W1809" s="7"/>
      <c r="X1809" s="7"/>
      <c r="Y1809" s="7"/>
      <c r="Z1809" s="7"/>
      <c r="AA1809" s="7"/>
    </row>
    <row r="1810" ht="18.75" customHeight="1">
      <c r="A1810" s="166" t="s">
        <v>1858</v>
      </c>
      <c r="B1810" s="166" t="s">
        <v>1859</v>
      </c>
      <c r="C1810" s="166" t="s">
        <v>1888</v>
      </c>
      <c r="D1810" s="183">
        <v>2005.0</v>
      </c>
      <c r="E1810" s="166" t="s">
        <v>1912</v>
      </c>
      <c r="F1810" s="11" t="s">
        <v>26</v>
      </c>
      <c r="G1810" s="168"/>
      <c r="H1810" s="178">
        <v>785.82</v>
      </c>
      <c r="I1810" s="170">
        <v>10.0</v>
      </c>
      <c r="J1810" s="15" t="s">
        <v>28</v>
      </c>
      <c r="K1810" s="16">
        <v>0.4</v>
      </c>
      <c r="L1810" s="164">
        <f t="shared" si="7"/>
        <v>4</v>
      </c>
      <c r="M1810" s="17">
        <f t="shared" si="2"/>
        <v>6</v>
      </c>
      <c r="N1810" s="18">
        <f t="shared" si="8"/>
        <v>314.328</v>
      </c>
      <c r="O1810" s="18">
        <f t="shared" si="9"/>
        <v>471.492</v>
      </c>
      <c r="P1810" s="18">
        <f t="shared" si="5"/>
        <v>471.492</v>
      </c>
      <c r="Q1810" s="8">
        <v>0.0</v>
      </c>
      <c r="R1810" s="18">
        <f t="shared" si="6"/>
        <v>78.582</v>
      </c>
      <c r="S1810" s="19" t="s">
        <v>29</v>
      </c>
      <c r="T1810" s="19" t="s">
        <v>30</v>
      </c>
      <c r="U1810" s="179" t="s">
        <v>220</v>
      </c>
      <c r="V1810" s="145"/>
      <c r="W1810" s="7"/>
      <c r="X1810" s="7"/>
      <c r="Y1810" s="7"/>
      <c r="Z1810" s="7"/>
      <c r="AA1810" s="7"/>
    </row>
    <row r="1811" ht="18.75" customHeight="1">
      <c r="A1811" s="113" t="s">
        <v>1858</v>
      </c>
      <c r="B1811" s="113" t="s">
        <v>1859</v>
      </c>
      <c r="C1811" s="113" t="s">
        <v>433</v>
      </c>
      <c r="D1811" s="182">
        <v>2006.0</v>
      </c>
      <c r="E1811" s="113" t="s">
        <v>1913</v>
      </c>
      <c r="F1811" s="25" t="s">
        <v>26</v>
      </c>
      <c r="G1811" s="161"/>
      <c r="H1811" s="177">
        <v>840.42</v>
      </c>
      <c r="I1811" s="163">
        <v>10.0</v>
      </c>
      <c r="J1811" s="29" t="s">
        <v>28</v>
      </c>
      <c r="K1811" s="30">
        <v>0.4</v>
      </c>
      <c r="L1811" s="155">
        <f t="shared" si="7"/>
        <v>4</v>
      </c>
      <c r="M1811" s="31">
        <f t="shared" si="2"/>
        <v>6</v>
      </c>
      <c r="N1811" s="32">
        <f t="shared" si="8"/>
        <v>336.168</v>
      </c>
      <c r="O1811" s="32">
        <f t="shared" si="9"/>
        <v>504.252</v>
      </c>
      <c r="P1811" s="32">
        <f t="shared" si="5"/>
        <v>504.252</v>
      </c>
      <c r="Q1811" s="22">
        <v>0.0</v>
      </c>
      <c r="R1811" s="32">
        <f t="shared" si="6"/>
        <v>84.042</v>
      </c>
      <c r="S1811" s="33" t="s">
        <v>29</v>
      </c>
      <c r="T1811" s="33" t="s">
        <v>30</v>
      </c>
      <c r="U1811" s="180" t="s">
        <v>102</v>
      </c>
      <c r="V1811" s="57"/>
      <c r="W1811" s="7"/>
      <c r="X1811" s="7"/>
      <c r="Y1811" s="7"/>
      <c r="Z1811" s="7"/>
      <c r="AA1811" s="7"/>
    </row>
    <row r="1812" ht="18.75" customHeight="1">
      <c r="A1812" s="166" t="s">
        <v>1858</v>
      </c>
      <c r="B1812" s="166" t="s">
        <v>1859</v>
      </c>
      <c r="C1812" s="166" t="s">
        <v>199</v>
      </c>
      <c r="D1812" s="183">
        <v>2007.0</v>
      </c>
      <c r="E1812" s="166" t="s">
        <v>1914</v>
      </c>
      <c r="F1812" s="11" t="s">
        <v>26</v>
      </c>
      <c r="G1812" s="168"/>
      <c r="H1812" s="178">
        <v>840.42</v>
      </c>
      <c r="I1812" s="170">
        <v>10.0</v>
      </c>
      <c r="J1812" s="15" t="s">
        <v>28</v>
      </c>
      <c r="K1812" s="16">
        <v>0.4</v>
      </c>
      <c r="L1812" s="164">
        <f t="shared" si="7"/>
        <v>4</v>
      </c>
      <c r="M1812" s="17">
        <f t="shared" si="2"/>
        <v>6</v>
      </c>
      <c r="N1812" s="18">
        <f t="shared" si="8"/>
        <v>336.168</v>
      </c>
      <c r="O1812" s="18">
        <f t="shared" si="9"/>
        <v>504.252</v>
      </c>
      <c r="P1812" s="18">
        <f t="shared" si="5"/>
        <v>504.252</v>
      </c>
      <c r="Q1812" s="8">
        <v>0.0</v>
      </c>
      <c r="R1812" s="18">
        <f t="shared" si="6"/>
        <v>84.042</v>
      </c>
      <c r="S1812" s="19" t="s">
        <v>29</v>
      </c>
      <c r="T1812" s="19" t="s">
        <v>30</v>
      </c>
      <c r="U1812" s="179" t="s">
        <v>102</v>
      </c>
      <c r="V1812" s="145"/>
      <c r="W1812" s="7"/>
      <c r="X1812" s="7"/>
      <c r="Y1812" s="7"/>
      <c r="Z1812" s="7"/>
      <c r="AA1812" s="7"/>
    </row>
    <row r="1813" ht="18.75" customHeight="1">
      <c r="A1813" s="113" t="s">
        <v>1858</v>
      </c>
      <c r="B1813" s="113" t="s">
        <v>1859</v>
      </c>
      <c r="C1813" s="113" t="s">
        <v>150</v>
      </c>
      <c r="D1813" s="182">
        <v>2008.0</v>
      </c>
      <c r="E1813" s="113" t="s">
        <v>1911</v>
      </c>
      <c r="F1813" s="25" t="s">
        <v>26</v>
      </c>
      <c r="G1813" s="161"/>
      <c r="H1813" s="177">
        <v>840.42</v>
      </c>
      <c r="I1813" s="163">
        <v>10.0</v>
      </c>
      <c r="J1813" s="29" t="s">
        <v>28</v>
      </c>
      <c r="K1813" s="30">
        <v>0.4</v>
      </c>
      <c r="L1813" s="155">
        <f t="shared" si="7"/>
        <v>4</v>
      </c>
      <c r="M1813" s="31">
        <f t="shared" si="2"/>
        <v>6</v>
      </c>
      <c r="N1813" s="32">
        <f t="shared" si="8"/>
        <v>336.168</v>
      </c>
      <c r="O1813" s="32">
        <f t="shared" si="9"/>
        <v>504.252</v>
      </c>
      <c r="P1813" s="32">
        <f t="shared" si="5"/>
        <v>504.252</v>
      </c>
      <c r="Q1813" s="22">
        <v>0.0</v>
      </c>
      <c r="R1813" s="32">
        <f t="shared" si="6"/>
        <v>84.042</v>
      </c>
      <c r="S1813" s="33" t="s">
        <v>29</v>
      </c>
      <c r="T1813" s="33" t="s">
        <v>30</v>
      </c>
      <c r="U1813" s="180" t="s">
        <v>102</v>
      </c>
      <c r="V1813" s="57"/>
      <c r="W1813" s="7"/>
      <c r="X1813" s="7"/>
      <c r="Y1813" s="7"/>
      <c r="Z1813" s="7"/>
      <c r="AA1813" s="7"/>
    </row>
    <row r="1814" ht="18.75" customHeight="1">
      <c r="A1814" s="166" t="s">
        <v>1858</v>
      </c>
      <c r="B1814" s="166" t="s">
        <v>1859</v>
      </c>
      <c r="C1814" s="166" t="s">
        <v>145</v>
      </c>
      <c r="D1814" s="183">
        <v>2009.0</v>
      </c>
      <c r="E1814" s="166" t="s">
        <v>1911</v>
      </c>
      <c r="F1814" s="11" t="s">
        <v>26</v>
      </c>
      <c r="G1814" s="168"/>
      <c r="H1814" s="178">
        <v>840.42</v>
      </c>
      <c r="I1814" s="170">
        <v>10.0</v>
      </c>
      <c r="J1814" s="15" t="s">
        <v>28</v>
      </c>
      <c r="K1814" s="16">
        <v>0.4</v>
      </c>
      <c r="L1814" s="164">
        <f t="shared" si="7"/>
        <v>4</v>
      </c>
      <c r="M1814" s="17">
        <f t="shared" si="2"/>
        <v>6</v>
      </c>
      <c r="N1814" s="18">
        <f t="shared" si="8"/>
        <v>336.168</v>
      </c>
      <c r="O1814" s="18">
        <f t="shared" si="9"/>
        <v>504.252</v>
      </c>
      <c r="P1814" s="18">
        <f t="shared" si="5"/>
        <v>504.252</v>
      </c>
      <c r="Q1814" s="8">
        <v>0.0</v>
      </c>
      <c r="R1814" s="18">
        <f t="shared" si="6"/>
        <v>84.042</v>
      </c>
      <c r="S1814" s="19" t="s">
        <v>29</v>
      </c>
      <c r="T1814" s="19" t="s">
        <v>30</v>
      </c>
      <c r="U1814" s="179" t="s">
        <v>102</v>
      </c>
      <c r="V1814" s="145"/>
      <c r="W1814" s="7"/>
      <c r="X1814" s="7"/>
      <c r="Y1814" s="7"/>
      <c r="Z1814" s="7"/>
      <c r="AA1814" s="7"/>
    </row>
    <row r="1815" ht="18.75" customHeight="1">
      <c r="A1815" s="113" t="s">
        <v>1858</v>
      </c>
      <c r="B1815" s="113" t="s">
        <v>1859</v>
      </c>
      <c r="C1815" s="113" t="s">
        <v>230</v>
      </c>
      <c r="D1815" s="182">
        <v>2010.0</v>
      </c>
      <c r="E1815" s="113" t="s">
        <v>1913</v>
      </c>
      <c r="F1815" s="25" t="s">
        <v>26</v>
      </c>
      <c r="G1815" s="161"/>
      <c r="H1815" s="177">
        <v>840.42</v>
      </c>
      <c r="I1815" s="163">
        <v>10.0</v>
      </c>
      <c r="J1815" s="29" t="s">
        <v>28</v>
      </c>
      <c r="K1815" s="30">
        <v>0.4</v>
      </c>
      <c r="L1815" s="155">
        <f t="shared" si="7"/>
        <v>4</v>
      </c>
      <c r="M1815" s="31">
        <f t="shared" si="2"/>
        <v>6</v>
      </c>
      <c r="N1815" s="32">
        <f t="shared" si="8"/>
        <v>336.168</v>
      </c>
      <c r="O1815" s="32">
        <f t="shared" si="9"/>
        <v>504.252</v>
      </c>
      <c r="P1815" s="32">
        <f t="shared" si="5"/>
        <v>504.252</v>
      </c>
      <c r="Q1815" s="22">
        <v>0.0</v>
      </c>
      <c r="R1815" s="32">
        <f t="shared" si="6"/>
        <v>84.042</v>
      </c>
      <c r="S1815" s="33" t="s">
        <v>29</v>
      </c>
      <c r="T1815" s="33" t="s">
        <v>30</v>
      </c>
      <c r="U1815" s="180" t="s">
        <v>102</v>
      </c>
      <c r="V1815" s="57"/>
      <c r="W1815" s="7"/>
      <c r="X1815" s="7"/>
      <c r="Y1815" s="7"/>
      <c r="Z1815" s="7"/>
      <c r="AA1815" s="7"/>
    </row>
    <row r="1816" ht="18.75" customHeight="1">
      <c r="A1816" s="166" t="s">
        <v>1858</v>
      </c>
      <c r="B1816" s="166" t="s">
        <v>1859</v>
      </c>
      <c r="C1816" s="166" t="s">
        <v>1888</v>
      </c>
      <c r="D1816" s="183">
        <v>2016.0</v>
      </c>
      <c r="E1816" s="166" t="s">
        <v>1915</v>
      </c>
      <c r="F1816" s="11" t="s">
        <v>26</v>
      </c>
      <c r="G1816" s="168"/>
      <c r="H1816" s="178">
        <v>785.82</v>
      </c>
      <c r="I1816" s="170">
        <v>10.0</v>
      </c>
      <c r="J1816" s="15" t="s">
        <v>28</v>
      </c>
      <c r="K1816" s="16">
        <v>0.4</v>
      </c>
      <c r="L1816" s="164">
        <f t="shared" si="7"/>
        <v>4</v>
      </c>
      <c r="M1816" s="17">
        <f t="shared" si="2"/>
        <v>6</v>
      </c>
      <c r="N1816" s="18">
        <f t="shared" si="8"/>
        <v>314.328</v>
      </c>
      <c r="O1816" s="18">
        <f t="shared" si="9"/>
        <v>471.492</v>
      </c>
      <c r="P1816" s="18">
        <f t="shared" si="5"/>
        <v>471.492</v>
      </c>
      <c r="Q1816" s="8">
        <v>0.0</v>
      </c>
      <c r="R1816" s="18">
        <f t="shared" si="6"/>
        <v>78.582</v>
      </c>
      <c r="S1816" s="19" t="s">
        <v>29</v>
      </c>
      <c r="T1816" s="19" t="s">
        <v>30</v>
      </c>
      <c r="U1816" s="179" t="s">
        <v>220</v>
      </c>
      <c r="V1816" s="145"/>
      <c r="W1816" s="7"/>
      <c r="X1816" s="7"/>
      <c r="Y1816" s="7"/>
      <c r="Z1816" s="7"/>
      <c r="AA1816" s="7"/>
    </row>
    <row r="1817" ht="18.75" customHeight="1">
      <c r="A1817" s="113" t="s">
        <v>1858</v>
      </c>
      <c r="B1817" s="113" t="s">
        <v>1859</v>
      </c>
      <c r="C1817" s="113" t="s">
        <v>199</v>
      </c>
      <c r="D1817" s="182">
        <v>2017.0</v>
      </c>
      <c r="E1817" s="113" t="s">
        <v>1916</v>
      </c>
      <c r="F1817" s="25" t="s">
        <v>26</v>
      </c>
      <c r="G1817" s="161"/>
      <c r="H1817" s="177">
        <v>840.42</v>
      </c>
      <c r="I1817" s="163">
        <v>10.0</v>
      </c>
      <c r="J1817" s="29" t="s">
        <v>28</v>
      </c>
      <c r="K1817" s="30">
        <v>0.4</v>
      </c>
      <c r="L1817" s="155">
        <f t="shared" si="7"/>
        <v>4</v>
      </c>
      <c r="M1817" s="31">
        <f t="shared" si="2"/>
        <v>6</v>
      </c>
      <c r="N1817" s="32">
        <f t="shared" si="8"/>
        <v>336.168</v>
      </c>
      <c r="O1817" s="32">
        <f t="shared" si="9"/>
        <v>504.252</v>
      </c>
      <c r="P1817" s="32">
        <f t="shared" si="5"/>
        <v>504.252</v>
      </c>
      <c r="Q1817" s="22">
        <v>0.0</v>
      </c>
      <c r="R1817" s="32">
        <f t="shared" si="6"/>
        <v>84.042</v>
      </c>
      <c r="S1817" s="33" t="s">
        <v>29</v>
      </c>
      <c r="T1817" s="33" t="s">
        <v>30</v>
      </c>
      <c r="U1817" s="180" t="s">
        <v>102</v>
      </c>
      <c r="V1817" s="57"/>
      <c r="W1817" s="7"/>
      <c r="X1817" s="7"/>
      <c r="Y1817" s="7"/>
      <c r="Z1817" s="7"/>
      <c r="AA1817" s="7"/>
    </row>
    <row r="1818" ht="18.75" customHeight="1">
      <c r="A1818" s="166" t="s">
        <v>1858</v>
      </c>
      <c r="B1818" s="166" t="s">
        <v>1859</v>
      </c>
      <c r="C1818" s="166" t="s">
        <v>150</v>
      </c>
      <c r="D1818" s="183">
        <v>2018.0</v>
      </c>
      <c r="E1818" s="166" t="s">
        <v>1917</v>
      </c>
      <c r="F1818" s="11" t="s">
        <v>26</v>
      </c>
      <c r="G1818" s="168"/>
      <c r="H1818" s="178">
        <v>785.82</v>
      </c>
      <c r="I1818" s="170">
        <v>10.0</v>
      </c>
      <c r="J1818" s="15" t="s">
        <v>28</v>
      </c>
      <c r="K1818" s="16">
        <v>0.4</v>
      </c>
      <c r="L1818" s="164">
        <f t="shared" si="7"/>
        <v>4</v>
      </c>
      <c r="M1818" s="17">
        <f t="shared" si="2"/>
        <v>6</v>
      </c>
      <c r="N1818" s="18">
        <f t="shared" si="8"/>
        <v>314.328</v>
      </c>
      <c r="O1818" s="18">
        <f t="shared" si="9"/>
        <v>471.492</v>
      </c>
      <c r="P1818" s="18">
        <f t="shared" si="5"/>
        <v>471.492</v>
      </c>
      <c r="Q1818" s="8">
        <v>0.0</v>
      </c>
      <c r="R1818" s="18">
        <f t="shared" si="6"/>
        <v>78.582</v>
      </c>
      <c r="S1818" s="19" t="s">
        <v>29</v>
      </c>
      <c r="T1818" s="19" t="s">
        <v>30</v>
      </c>
      <c r="U1818" s="179" t="s">
        <v>220</v>
      </c>
      <c r="V1818" s="145"/>
      <c r="W1818" s="7"/>
      <c r="X1818" s="7"/>
      <c r="Y1818" s="7"/>
      <c r="Z1818" s="7"/>
      <c r="AA1818" s="7"/>
    </row>
    <row r="1819" ht="18.75" customHeight="1">
      <c r="A1819" s="113" t="s">
        <v>1858</v>
      </c>
      <c r="B1819" s="113" t="s">
        <v>1859</v>
      </c>
      <c r="C1819" s="113" t="s">
        <v>230</v>
      </c>
      <c r="D1819" s="182">
        <v>2019.0</v>
      </c>
      <c r="E1819" s="113" t="s">
        <v>1918</v>
      </c>
      <c r="F1819" s="25" t="s">
        <v>26</v>
      </c>
      <c r="G1819" s="161"/>
      <c r="H1819" s="177">
        <v>785.82</v>
      </c>
      <c r="I1819" s="163">
        <v>10.0</v>
      </c>
      <c r="J1819" s="29" t="s">
        <v>28</v>
      </c>
      <c r="K1819" s="30">
        <v>0.4</v>
      </c>
      <c r="L1819" s="155">
        <f t="shared" si="7"/>
        <v>4</v>
      </c>
      <c r="M1819" s="31">
        <f t="shared" si="2"/>
        <v>6</v>
      </c>
      <c r="N1819" s="32">
        <f t="shared" si="8"/>
        <v>314.328</v>
      </c>
      <c r="O1819" s="32">
        <f t="shared" si="9"/>
        <v>471.492</v>
      </c>
      <c r="P1819" s="32">
        <f t="shared" si="5"/>
        <v>471.492</v>
      </c>
      <c r="Q1819" s="22">
        <v>0.0</v>
      </c>
      <c r="R1819" s="32">
        <f t="shared" si="6"/>
        <v>78.582</v>
      </c>
      <c r="S1819" s="33" t="s">
        <v>29</v>
      </c>
      <c r="T1819" s="33" t="s">
        <v>30</v>
      </c>
      <c r="U1819" s="180" t="s">
        <v>220</v>
      </c>
      <c r="V1819" s="57"/>
      <c r="W1819" s="7"/>
      <c r="X1819" s="7"/>
      <c r="Y1819" s="7"/>
      <c r="Z1819" s="7"/>
      <c r="AA1819" s="7"/>
    </row>
    <row r="1820" ht="18.75" customHeight="1">
      <c r="A1820" s="166" t="s">
        <v>1858</v>
      </c>
      <c r="B1820" s="166" t="s">
        <v>1859</v>
      </c>
      <c r="C1820" s="166" t="s">
        <v>433</v>
      </c>
      <c r="D1820" s="183">
        <v>2020.0</v>
      </c>
      <c r="E1820" s="166" t="s">
        <v>1919</v>
      </c>
      <c r="F1820" s="11" t="s">
        <v>26</v>
      </c>
      <c r="G1820" s="168"/>
      <c r="H1820" s="178">
        <v>785.82</v>
      </c>
      <c r="I1820" s="170">
        <v>10.0</v>
      </c>
      <c r="J1820" s="15" t="s">
        <v>28</v>
      </c>
      <c r="K1820" s="16">
        <v>0.4</v>
      </c>
      <c r="L1820" s="164">
        <f t="shared" si="7"/>
        <v>4</v>
      </c>
      <c r="M1820" s="17">
        <f t="shared" si="2"/>
        <v>6</v>
      </c>
      <c r="N1820" s="18">
        <f t="shared" si="8"/>
        <v>314.328</v>
      </c>
      <c r="O1820" s="18">
        <f t="shared" si="9"/>
        <v>471.492</v>
      </c>
      <c r="P1820" s="18">
        <f t="shared" si="5"/>
        <v>471.492</v>
      </c>
      <c r="Q1820" s="8">
        <v>0.0</v>
      </c>
      <c r="R1820" s="18">
        <f t="shared" si="6"/>
        <v>78.582</v>
      </c>
      <c r="S1820" s="19" t="s">
        <v>29</v>
      </c>
      <c r="T1820" s="19" t="s">
        <v>30</v>
      </c>
      <c r="U1820" s="179" t="s">
        <v>220</v>
      </c>
      <c r="V1820" s="145"/>
      <c r="W1820" s="7"/>
      <c r="X1820" s="7"/>
      <c r="Y1820" s="7"/>
      <c r="Z1820" s="7"/>
      <c r="AA1820" s="7"/>
    </row>
    <row r="1821" ht="18.75" customHeight="1">
      <c r="A1821" s="113" t="s">
        <v>1858</v>
      </c>
      <c r="B1821" s="113" t="s">
        <v>1859</v>
      </c>
      <c r="C1821" s="113" t="s">
        <v>145</v>
      </c>
      <c r="D1821" s="182">
        <v>2023.0</v>
      </c>
      <c r="E1821" s="113" t="s">
        <v>1920</v>
      </c>
      <c r="F1821" s="25" t="s">
        <v>26</v>
      </c>
      <c r="G1821" s="161"/>
      <c r="H1821" s="177">
        <v>4899.9</v>
      </c>
      <c r="I1821" s="163">
        <v>5.0</v>
      </c>
      <c r="J1821" s="29" t="s">
        <v>38</v>
      </c>
      <c r="K1821" s="30">
        <v>0.5</v>
      </c>
      <c r="L1821" s="155">
        <f t="shared" si="7"/>
        <v>2.5</v>
      </c>
      <c r="M1821" s="31">
        <f t="shared" si="2"/>
        <v>2.5</v>
      </c>
      <c r="N1821" s="32">
        <f t="shared" si="8"/>
        <v>2449.95</v>
      </c>
      <c r="O1821" s="32">
        <f t="shared" si="9"/>
        <v>2449.95</v>
      </c>
      <c r="P1821" s="32">
        <f t="shared" si="5"/>
        <v>2449.95</v>
      </c>
      <c r="Q1821" s="22">
        <v>0.0</v>
      </c>
      <c r="R1821" s="32">
        <f t="shared" si="6"/>
        <v>979.98</v>
      </c>
      <c r="S1821" s="33" t="s">
        <v>29</v>
      </c>
      <c r="T1821" s="33" t="s">
        <v>30</v>
      </c>
      <c r="U1821" s="180" t="s">
        <v>67</v>
      </c>
      <c r="V1821" s="57"/>
      <c r="W1821" s="7"/>
      <c r="X1821" s="7"/>
      <c r="Y1821" s="7"/>
      <c r="Z1821" s="7"/>
      <c r="AA1821" s="7"/>
    </row>
    <row r="1822" ht="18.75" customHeight="1">
      <c r="A1822" s="166" t="s">
        <v>1858</v>
      </c>
      <c r="B1822" s="166" t="s">
        <v>1859</v>
      </c>
      <c r="C1822" s="166" t="s">
        <v>145</v>
      </c>
      <c r="D1822" s="183">
        <v>2026.0</v>
      </c>
      <c r="E1822" s="166" t="s">
        <v>1921</v>
      </c>
      <c r="F1822" s="11" t="s">
        <v>26</v>
      </c>
      <c r="G1822" s="168"/>
      <c r="H1822" s="178">
        <v>22652.48</v>
      </c>
      <c r="I1822" s="170">
        <v>10.0</v>
      </c>
      <c r="J1822" s="15" t="s">
        <v>38</v>
      </c>
      <c r="K1822" s="16">
        <v>0.5</v>
      </c>
      <c r="L1822" s="164">
        <f t="shared" si="7"/>
        <v>5</v>
      </c>
      <c r="M1822" s="17">
        <f t="shared" si="2"/>
        <v>5</v>
      </c>
      <c r="N1822" s="18">
        <f t="shared" si="8"/>
        <v>11326.24</v>
      </c>
      <c r="O1822" s="18">
        <f t="shared" si="9"/>
        <v>11326.24</v>
      </c>
      <c r="P1822" s="18">
        <f t="shared" si="5"/>
        <v>11326.24</v>
      </c>
      <c r="Q1822" s="8">
        <v>0.0</v>
      </c>
      <c r="R1822" s="18">
        <f t="shared" si="6"/>
        <v>2265.248</v>
      </c>
      <c r="S1822" s="19" t="s">
        <v>29</v>
      </c>
      <c r="T1822" s="19" t="s">
        <v>30</v>
      </c>
      <c r="U1822" s="171" t="s">
        <v>50</v>
      </c>
      <c r="V1822" s="145"/>
      <c r="W1822" s="7"/>
      <c r="X1822" s="7"/>
      <c r="Y1822" s="7"/>
      <c r="Z1822" s="7"/>
      <c r="AA1822" s="7"/>
    </row>
    <row r="1823" ht="18.75" customHeight="1">
      <c r="A1823" s="113" t="s">
        <v>1858</v>
      </c>
      <c r="B1823" s="113" t="s">
        <v>1859</v>
      </c>
      <c r="C1823" s="113" t="s">
        <v>150</v>
      </c>
      <c r="D1823" s="182">
        <v>2027.0</v>
      </c>
      <c r="E1823" s="113" t="s">
        <v>1922</v>
      </c>
      <c r="F1823" s="25" t="s">
        <v>26</v>
      </c>
      <c r="G1823" s="161"/>
      <c r="H1823" s="177">
        <v>22652.48</v>
      </c>
      <c r="I1823" s="163">
        <v>10.0</v>
      </c>
      <c r="J1823" s="29" t="s">
        <v>38</v>
      </c>
      <c r="K1823" s="30">
        <v>0.5</v>
      </c>
      <c r="L1823" s="155">
        <f t="shared" si="7"/>
        <v>5</v>
      </c>
      <c r="M1823" s="31">
        <f t="shared" si="2"/>
        <v>5</v>
      </c>
      <c r="N1823" s="32">
        <f t="shared" si="8"/>
        <v>11326.24</v>
      </c>
      <c r="O1823" s="32">
        <f t="shared" si="9"/>
        <v>11326.24</v>
      </c>
      <c r="P1823" s="32">
        <f t="shared" si="5"/>
        <v>11326.24</v>
      </c>
      <c r="Q1823" s="22">
        <v>0.0</v>
      </c>
      <c r="R1823" s="32">
        <f t="shared" si="6"/>
        <v>2265.248</v>
      </c>
      <c r="S1823" s="33" t="s">
        <v>29</v>
      </c>
      <c r="T1823" s="33" t="s">
        <v>30</v>
      </c>
      <c r="U1823" s="173" t="s">
        <v>50</v>
      </c>
      <c r="V1823" s="57"/>
      <c r="W1823" s="7"/>
      <c r="X1823" s="7"/>
      <c r="Y1823" s="7"/>
      <c r="Z1823" s="7"/>
      <c r="AA1823" s="7"/>
    </row>
    <row r="1824" ht="18.75" customHeight="1">
      <c r="A1824" s="166" t="s">
        <v>1858</v>
      </c>
      <c r="B1824" s="166" t="s">
        <v>1859</v>
      </c>
      <c r="C1824" s="166" t="s">
        <v>24</v>
      </c>
      <c r="D1824" s="183">
        <v>2028.0</v>
      </c>
      <c r="E1824" s="166" t="s">
        <v>1917</v>
      </c>
      <c r="F1824" s="11" t="s">
        <v>26</v>
      </c>
      <c r="G1824" s="168"/>
      <c r="H1824" s="178">
        <v>785.82</v>
      </c>
      <c r="I1824" s="170">
        <v>10.0</v>
      </c>
      <c r="J1824" s="15" t="s">
        <v>28</v>
      </c>
      <c r="K1824" s="16">
        <v>0.4</v>
      </c>
      <c r="L1824" s="164">
        <f t="shared" si="7"/>
        <v>4</v>
      </c>
      <c r="M1824" s="17">
        <f t="shared" si="2"/>
        <v>6</v>
      </c>
      <c r="N1824" s="18">
        <f t="shared" si="8"/>
        <v>314.328</v>
      </c>
      <c r="O1824" s="18">
        <f t="shared" si="9"/>
        <v>471.492</v>
      </c>
      <c r="P1824" s="18">
        <f t="shared" si="5"/>
        <v>471.492</v>
      </c>
      <c r="Q1824" s="8">
        <v>0.0</v>
      </c>
      <c r="R1824" s="18">
        <f t="shared" si="6"/>
        <v>78.582</v>
      </c>
      <c r="S1824" s="19" t="s">
        <v>29</v>
      </c>
      <c r="T1824" s="19" t="s">
        <v>30</v>
      </c>
      <c r="U1824" s="179" t="s">
        <v>220</v>
      </c>
      <c r="V1824" s="145"/>
      <c r="W1824" s="7"/>
      <c r="X1824" s="7"/>
      <c r="Y1824" s="7"/>
      <c r="Z1824" s="7"/>
      <c r="AA1824" s="7"/>
    </row>
    <row r="1825" ht="18.75" customHeight="1">
      <c r="A1825" s="113" t="s">
        <v>1858</v>
      </c>
      <c r="B1825" s="113" t="s">
        <v>1859</v>
      </c>
      <c r="C1825" s="113" t="s">
        <v>24</v>
      </c>
      <c r="D1825" s="182">
        <v>2029.0</v>
      </c>
      <c r="E1825" s="113" t="s">
        <v>1917</v>
      </c>
      <c r="F1825" s="25" t="s">
        <v>26</v>
      </c>
      <c r="G1825" s="161"/>
      <c r="H1825" s="177">
        <v>785.82</v>
      </c>
      <c r="I1825" s="163">
        <v>10.0</v>
      </c>
      <c r="J1825" s="29" t="s">
        <v>28</v>
      </c>
      <c r="K1825" s="30">
        <v>0.4</v>
      </c>
      <c r="L1825" s="155">
        <f t="shared" si="7"/>
        <v>4</v>
      </c>
      <c r="M1825" s="31">
        <f t="shared" si="2"/>
        <v>6</v>
      </c>
      <c r="N1825" s="32">
        <f t="shared" si="8"/>
        <v>314.328</v>
      </c>
      <c r="O1825" s="32">
        <f t="shared" si="9"/>
        <v>471.492</v>
      </c>
      <c r="P1825" s="32">
        <f t="shared" si="5"/>
        <v>471.492</v>
      </c>
      <c r="Q1825" s="22">
        <v>0.0</v>
      </c>
      <c r="R1825" s="32">
        <f t="shared" si="6"/>
        <v>78.582</v>
      </c>
      <c r="S1825" s="33" t="s">
        <v>29</v>
      </c>
      <c r="T1825" s="33" t="s">
        <v>30</v>
      </c>
      <c r="U1825" s="180" t="s">
        <v>220</v>
      </c>
      <c r="V1825" s="57"/>
      <c r="W1825" s="7"/>
      <c r="X1825" s="7"/>
      <c r="Y1825" s="7"/>
      <c r="Z1825" s="7"/>
      <c r="AA1825" s="7"/>
    </row>
    <row r="1826" ht="18.75" customHeight="1">
      <c r="A1826" s="166" t="s">
        <v>1858</v>
      </c>
      <c r="B1826" s="166" t="s">
        <v>1859</v>
      </c>
      <c r="C1826" s="166" t="s">
        <v>145</v>
      </c>
      <c r="D1826" s="183">
        <v>2030.0</v>
      </c>
      <c r="E1826" s="166" t="s">
        <v>1917</v>
      </c>
      <c r="F1826" s="11" t="s">
        <v>26</v>
      </c>
      <c r="G1826" s="168"/>
      <c r="H1826" s="178">
        <v>785.82</v>
      </c>
      <c r="I1826" s="170">
        <v>10.0</v>
      </c>
      <c r="J1826" s="15" t="s">
        <v>28</v>
      </c>
      <c r="K1826" s="16">
        <v>0.4</v>
      </c>
      <c r="L1826" s="164">
        <f t="shared" si="7"/>
        <v>4</v>
      </c>
      <c r="M1826" s="17">
        <f t="shared" si="2"/>
        <v>6</v>
      </c>
      <c r="N1826" s="18">
        <f t="shared" si="8"/>
        <v>314.328</v>
      </c>
      <c r="O1826" s="18">
        <f t="shared" si="9"/>
        <v>471.492</v>
      </c>
      <c r="P1826" s="18">
        <f t="shared" si="5"/>
        <v>471.492</v>
      </c>
      <c r="Q1826" s="8">
        <v>0.0</v>
      </c>
      <c r="R1826" s="18">
        <f t="shared" si="6"/>
        <v>78.582</v>
      </c>
      <c r="S1826" s="19" t="s">
        <v>29</v>
      </c>
      <c r="T1826" s="19" t="s">
        <v>30</v>
      </c>
      <c r="U1826" s="179" t="s">
        <v>220</v>
      </c>
      <c r="V1826" s="145"/>
      <c r="W1826" s="7"/>
      <c r="X1826" s="7"/>
      <c r="Y1826" s="7"/>
      <c r="Z1826" s="7"/>
      <c r="AA1826" s="7"/>
    </row>
    <row r="1827" ht="18.75" customHeight="1">
      <c r="A1827" s="113" t="s">
        <v>1858</v>
      </c>
      <c r="B1827" s="113" t="s">
        <v>1859</v>
      </c>
      <c r="C1827" s="113" t="s">
        <v>150</v>
      </c>
      <c r="D1827" s="182">
        <v>2068.0</v>
      </c>
      <c r="E1827" s="113" t="s">
        <v>1923</v>
      </c>
      <c r="F1827" s="25" t="s">
        <v>37</v>
      </c>
      <c r="G1827" s="161"/>
      <c r="H1827" s="177">
        <v>1647.58</v>
      </c>
      <c r="I1827" s="163">
        <v>15.0</v>
      </c>
      <c r="J1827" s="29" t="s">
        <v>38</v>
      </c>
      <c r="K1827" s="30">
        <v>0.5</v>
      </c>
      <c r="L1827" s="155">
        <f t="shared" si="7"/>
        <v>7.5</v>
      </c>
      <c r="M1827" s="31">
        <f t="shared" si="2"/>
        <v>7.5</v>
      </c>
      <c r="N1827" s="32">
        <f t="shared" si="8"/>
        <v>823.79</v>
      </c>
      <c r="O1827" s="32">
        <f t="shared" si="9"/>
        <v>823.79</v>
      </c>
      <c r="P1827" s="32">
        <f t="shared" si="5"/>
        <v>823.79</v>
      </c>
      <c r="Q1827" s="22">
        <v>0.0</v>
      </c>
      <c r="R1827" s="32">
        <f t="shared" si="6"/>
        <v>109.8386667</v>
      </c>
      <c r="S1827" s="33" t="s">
        <v>29</v>
      </c>
      <c r="T1827" s="33" t="s">
        <v>30</v>
      </c>
      <c r="U1827" s="180" t="s">
        <v>325</v>
      </c>
      <c r="V1827" s="57"/>
      <c r="W1827" s="7"/>
      <c r="X1827" s="7"/>
      <c r="Y1827" s="7"/>
      <c r="Z1827" s="7"/>
      <c r="AA1827" s="7"/>
    </row>
    <row r="1828" ht="18.75" customHeight="1">
      <c r="A1828" s="166" t="s">
        <v>1858</v>
      </c>
      <c r="B1828" s="166" t="s">
        <v>1859</v>
      </c>
      <c r="C1828" s="166" t="s">
        <v>1904</v>
      </c>
      <c r="D1828" s="183">
        <v>2069.0</v>
      </c>
      <c r="E1828" s="166" t="s">
        <v>1924</v>
      </c>
      <c r="F1828" s="11" t="s">
        <v>26</v>
      </c>
      <c r="G1828" s="168"/>
      <c r="H1828" s="178">
        <v>328.8</v>
      </c>
      <c r="I1828" s="170">
        <v>5.0</v>
      </c>
      <c r="J1828" s="15" t="s">
        <v>38</v>
      </c>
      <c r="K1828" s="16">
        <v>0.5</v>
      </c>
      <c r="L1828" s="164">
        <f t="shared" si="7"/>
        <v>2.5</v>
      </c>
      <c r="M1828" s="17">
        <f t="shared" si="2"/>
        <v>2.5</v>
      </c>
      <c r="N1828" s="18">
        <f t="shared" si="8"/>
        <v>164.4</v>
      </c>
      <c r="O1828" s="18">
        <f t="shared" si="9"/>
        <v>164.4</v>
      </c>
      <c r="P1828" s="18">
        <f t="shared" si="5"/>
        <v>164.4</v>
      </c>
      <c r="Q1828" s="8">
        <v>0.0</v>
      </c>
      <c r="R1828" s="18">
        <f t="shared" si="6"/>
        <v>65.76</v>
      </c>
      <c r="S1828" s="19" t="s">
        <v>29</v>
      </c>
      <c r="T1828" s="19" t="s">
        <v>30</v>
      </c>
      <c r="U1828" s="171" t="s">
        <v>344</v>
      </c>
      <c r="V1828" s="145"/>
      <c r="W1828" s="7"/>
      <c r="X1828" s="7"/>
      <c r="Y1828" s="7"/>
      <c r="Z1828" s="7"/>
      <c r="AA1828" s="7"/>
    </row>
    <row r="1829" ht="18.75" customHeight="1">
      <c r="A1829" s="113" t="s">
        <v>1858</v>
      </c>
      <c r="B1829" s="113" t="s">
        <v>1859</v>
      </c>
      <c r="C1829" s="113" t="s">
        <v>24</v>
      </c>
      <c r="D1829" s="182">
        <v>2079.0</v>
      </c>
      <c r="E1829" s="113" t="s">
        <v>1925</v>
      </c>
      <c r="F1829" s="25" t="s">
        <v>26</v>
      </c>
      <c r="G1829" s="161"/>
      <c r="H1829" s="177">
        <v>450.0</v>
      </c>
      <c r="I1829" s="163">
        <v>5.0</v>
      </c>
      <c r="J1829" s="29" t="s">
        <v>38</v>
      </c>
      <c r="K1829" s="30">
        <v>0.5</v>
      </c>
      <c r="L1829" s="155">
        <f t="shared" si="7"/>
        <v>2.5</v>
      </c>
      <c r="M1829" s="31">
        <f t="shared" si="2"/>
        <v>2.5</v>
      </c>
      <c r="N1829" s="32">
        <f t="shared" si="8"/>
        <v>225</v>
      </c>
      <c r="O1829" s="32">
        <f t="shared" si="9"/>
        <v>225</v>
      </c>
      <c r="P1829" s="32">
        <f t="shared" si="5"/>
        <v>225</v>
      </c>
      <c r="Q1829" s="22">
        <v>0.0</v>
      </c>
      <c r="R1829" s="32">
        <f t="shared" si="6"/>
        <v>90</v>
      </c>
      <c r="S1829" s="33" t="s">
        <v>29</v>
      </c>
      <c r="T1829" s="33" t="s">
        <v>30</v>
      </c>
      <c r="U1829" s="180" t="s">
        <v>292</v>
      </c>
      <c r="V1829" s="57"/>
      <c r="W1829" s="7"/>
      <c r="X1829" s="7"/>
      <c r="Y1829" s="7"/>
      <c r="Z1829" s="7"/>
      <c r="AA1829" s="7"/>
    </row>
    <row r="1830" ht="18.75" customHeight="1">
      <c r="A1830" s="166" t="s">
        <v>1858</v>
      </c>
      <c r="B1830" s="166" t="s">
        <v>1859</v>
      </c>
      <c r="C1830" s="166" t="s">
        <v>24</v>
      </c>
      <c r="D1830" s="183">
        <v>2090.0</v>
      </c>
      <c r="E1830" s="166" t="s">
        <v>1926</v>
      </c>
      <c r="F1830" s="11" t="s">
        <v>37</v>
      </c>
      <c r="G1830" s="168"/>
      <c r="H1830" s="178">
        <v>209.51</v>
      </c>
      <c r="I1830" s="170">
        <v>10.0</v>
      </c>
      <c r="J1830" s="15" t="s">
        <v>38</v>
      </c>
      <c r="K1830" s="16">
        <v>0.5</v>
      </c>
      <c r="L1830" s="164">
        <f t="shared" si="7"/>
        <v>5</v>
      </c>
      <c r="M1830" s="17">
        <f t="shared" si="2"/>
        <v>5</v>
      </c>
      <c r="N1830" s="18">
        <f t="shared" si="8"/>
        <v>104.755</v>
      </c>
      <c r="O1830" s="18">
        <f t="shared" si="9"/>
        <v>104.755</v>
      </c>
      <c r="P1830" s="18">
        <f t="shared" si="5"/>
        <v>104.755</v>
      </c>
      <c r="Q1830" s="8">
        <v>0.0</v>
      </c>
      <c r="R1830" s="18">
        <f t="shared" si="6"/>
        <v>20.951</v>
      </c>
      <c r="S1830" s="19" t="s">
        <v>29</v>
      </c>
      <c r="T1830" s="19" t="s">
        <v>30</v>
      </c>
      <c r="U1830" s="171" t="s">
        <v>905</v>
      </c>
      <c r="V1830" s="145"/>
      <c r="W1830" s="7"/>
      <c r="X1830" s="7"/>
      <c r="Y1830" s="7"/>
      <c r="Z1830" s="7"/>
      <c r="AA1830" s="7"/>
    </row>
    <row r="1831" ht="18.75" customHeight="1">
      <c r="A1831" s="113" t="s">
        <v>1858</v>
      </c>
      <c r="B1831" s="113" t="s">
        <v>1859</v>
      </c>
      <c r="C1831" s="113" t="s">
        <v>24</v>
      </c>
      <c r="D1831" s="182">
        <v>2091.0</v>
      </c>
      <c r="E1831" s="113" t="s">
        <v>1927</v>
      </c>
      <c r="F1831" s="25" t="s">
        <v>26</v>
      </c>
      <c r="G1831" s="161"/>
      <c r="H1831" s="177">
        <v>235.03</v>
      </c>
      <c r="I1831" s="163">
        <v>10.0</v>
      </c>
      <c r="J1831" s="173" t="s">
        <v>54</v>
      </c>
      <c r="K1831" s="30">
        <v>0.3</v>
      </c>
      <c r="L1831" s="155">
        <f t="shared" si="7"/>
        <v>3</v>
      </c>
      <c r="M1831" s="31">
        <f t="shared" si="2"/>
        <v>7</v>
      </c>
      <c r="N1831" s="32">
        <f t="shared" si="8"/>
        <v>70.509</v>
      </c>
      <c r="O1831" s="32">
        <f t="shared" si="9"/>
        <v>164.521</v>
      </c>
      <c r="P1831" s="32">
        <f t="shared" si="5"/>
        <v>164.521</v>
      </c>
      <c r="Q1831" s="22">
        <v>0.0</v>
      </c>
      <c r="R1831" s="32">
        <f t="shared" si="6"/>
        <v>23.503</v>
      </c>
      <c r="S1831" s="33" t="s">
        <v>29</v>
      </c>
      <c r="T1831" s="33" t="s">
        <v>30</v>
      </c>
      <c r="U1831" s="180" t="s">
        <v>96</v>
      </c>
      <c r="V1831" s="57"/>
      <c r="W1831" s="7"/>
      <c r="X1831" s="7"/>
      <c r="Y1831" s="7"/>
      <c r="Z1831" s="7"/>
      <c r="AA1831" s="7"/>
    </row>
    <row r="1832" ht="18.75" customHeight="1">
      <c r="A1832" s="166" t="s">
        <v>1858</v>
      </c>
      <c r="B1832" s="166" t="s">
        <v>1859</v>
      </c>
      <c r="C1832" s="166" t="s">
        <v>24</v>
      </c>
      <c r="D1832" s="183">
        <v>2092.0</v>
      </c>
      <c r="E1832" s="166" t="s">
        <v>1927</v>
      </c>
      <c r="F1832" s="11" t="s">
        <v>26</v>
      </c>
      <c r="G1832" s="168"/>
      <c r="H1832" s="178">
        <v>235.03</v>
      </c>
      <c r="I1832" s="170">
        <v>10.0</v>
      </c>
      <c r="J1832" s="171" t="s">
        <v>54</v>
      </c>
      <c r="K1832" s="16">
        <v>0.3</v>
      </c>
      <c r="L1832" s="164">
        <f t="shared" si="7"/>
        <v>3</v>
      </c>
      <c r="M1832" s="17">
        <f t="shared" si="2"/>
        <v>7</v>
      </c>
      <c r="N1832" s="18">
        <f t="shared" si="8"/>
        <v>70.509</v>
      </c>
      <c r="O1832" s="18">
        <f t="shared" si="9"/>
        <v>164.521</v>
      </c>
      <c r="P1832" s="18">
        <f t="shared" si="5"/>
        <v>164.521</v>
      </c>
      <c r="Q1832" s="8">
        <v>0.0</v>
      </c>
      <c r="R1832" s="18">
        <f t="shared" si="6"/>
        <v>23.503</v>
      </c>
      <c r="S1832" s="19" t="s">
        <v>29</v>
      </c>
      <c r="T1832" s="19" t="s">
        <v>30</v>
      </c>
      <c r="U1832" s="179" t="s">
        <v>96</v>
      </c>
      <c r="V1832" s="145"/>
      <c r="W1832" s="7"/>
      <c r="X1832" s="7"/>
      <c r="Y1832" s="7"/>
      <c r="Z1832" s="7"/>
      <c r="AA1832" s="7"/>
    </row>
    <row r="1833" ht="18.75" customHeight="1">
      <c r="A1833" s="113" t="s">
        <v>1858</v>
      </c>
      <c r="B1833" s="113" t="s">
        <v>1859</v>
      </c>
      <c r="C1833" s="113" t="s">
        <v>24</v>
      </c>
      <c r="D1833" s="182">
        <v>2093.0</v>
      </c>
      <c r="E1833" s="113" t="s">
        <v>1928</v>
      </c>
      <c r="F1833" s="25" t="s">
        <v>26</v>
      </c>
      <c r="G1833" s="161"/>
      <c r="H1833" s="177">
        <v>4899.9</v>
      </c>
      <c r="I1833" s="163">
        <v>5.0</v>
      </c>
      <c r="J1833" s="29" t="s">
        <v>38</v>
      </c>
      <c r="K1833" s="30">
        <v>0.5</v>
      </c>
      <c r="L1833" s="155">
        <f t="shared" si="7"/>
        <v>2.5</v>
      </c>
      <c r="M1833" s="31">
        <f t="shared" si="2"/>
        <v>2.5</v>
      </c>
      <c r="N1833" s="32">
        <f t="shared" si="8"/>
        <v>2449.95</v>
      </c>
      <c r="O1833" s="32">
        <f t="shared" si="9"/>
        <v>2449.95</v>
      </c>
      <c r="P1833" s="32">
        <f t="shared" si="5"/>
        <v>2449.95</v>
      </c>
      <c r="Q1833" s="22">
        <v>0.0</v>
      </c>
      <c r="R1833" s="32">
        <f t="shared" si="6"/>
        <v>979.98</v>
      </c>
      <c r="S1833" s="33" t="s">
        <v>29</v>
      </c>
      <c r="T1833" s="33" t="s">
        <v>30</v>
      </c>
      <c r="U1833" s="180" t="s">
        <v>67</v>
      </c>
      <c r="V1833" s="57"/>
      <c r="W1833" s="7"/>
      <c r="X1833" s="7"/>
      <c r="Y1833" s="7"/>
      <c r="Z1833" s="7"/>
      <c r="AA1833" s="7"/>
    </row>
    <row r="1834" ht="18.75" customHeight="1">
      <c r="A1834" s="166" t="s">
        <v>1858</v>
      </c>
      <c r="B1834" s="166" t="s">
        <v>1859</v>
      </c>
      <c r="C1834" s="166" t="s">
        <v>24</v>
      </c>
      <c r="D1834" s="183">
        <v>2094.0</v>
      </c>
      <c r="E1834" s="166" t="s">
        <v>1929</v>
      </c>
      <c r="F1834" s="11" t="s">
        <v>26</v>
      </c>
      <c r="G1834" s="168"/>
      <c r="H1834" s="178">
        <v>976.03</v>
      </c>
      <c r="I1834" s="170">
        <v>5.0</v>
      </c>
      <c r="J1834" s="15" t="s">
        <v>38</v>
      </c>
      <c r="K1834" s="16">
        <v>0.5</v>
      </c>
      <c r="L1834" s="164">
        <f t="shared" si="7"/>
        <v>2.5</v>
      </c>
      <c r="M1834" s="17">
        <f t="shared" si="2"/>
        <v>2.5</v>
      </c>
      <c r="N1834" s="18">
        <f t="shared" si="8"/>
        <v>488.015</v>
      </c>
      <c r="O1834" s="18">
        <f t="shared" si="9"/>
        <v>488.015</v>
      </c>
      <c r="P1834" s="18">
        <f t="shared" si="5"/>
        <v>488.015</v>
      </c>
      <c r="Q1834" s="8">
        <v>0.0</v>
      </c>
      <c r="R1834" s="18">
        <f t="shared" si="6"/>
        <v>195.206</v>
      </c>
      <c r="S1834" s="19" t="s">
        <v>29</v>
      </c>
      <c r="T1834" s="19" t="s">
        <v>30</v>
      </c>
      <c r="U1834" s="171" t="s">
        <v>620</v>
      </c>
      <c r="V1834" s="145"/>
      <c r="W1834" s="7"/>
      <c r="X1834" s="7"/>
      <c r="Y1834" s="7"/>
      <c r="Z1834" s="7"/>
      <c r="AA1834" s="7"/>
    </row>
    <row r="1835" ht="18.75" customHeight="1">
      <c r="A1835" s="113" t="s">
        <v>1858</v>
      </c>
      <c r="B1835" s="113" t="s">
        <v>1859</v>
      </c>
      <c r="C1835" s="113" t="s">
        <v>24</v>
      </c>
      <c r="D1835" s="182">
        <v>2095.0</v>
      </c>
      <c r="E1835" s="113" t="s">
        <v>1930</v>
      </c>
      <c r="F1835" s="25" t="s">
        <v>26</v>
      </c>
      <c r="G1835" s="161"/>
      <c r="H1835" s="177">
        <v>143.57</v>
      </c>
      <c r="I1835" s="163">
        <v>5.0</v>
      </c>
      <c r="J1835" s="29" t="s">
        <v>38</v>
      </c>
      <c r="K1835" s="30">
        <v>0.5</v>
      </c>
      <c r="L1835" s="155">
        <f t="shared" si="7"/>
        <v>2.5</v>
      </c>
      <c r="M1835" s="31">
        <f t="shared" si="2"/>
        <v>2.5</v>
      </c>
      <c r="N1835" s="32">
        <f t="shared" si="8"/>
        <v>71.785</v>
      </c>
      <c r="O1835" s="32">
        <f t="shared" si="9"/>
        <v>71.785</v>
      </c>
      <c r="P1835" s="32">
        <f t="shared" si="5"/>
        <v>71.785</v>
      </c>
      <c r="Q1835" s="22">
        <v>0.0</v>
      </c>
      <c r="R1835" s="32">
        <f t="shared" si="6"/>
        <v>28.714</v>
      </c>
      <c r="S1835" s="33" t="s">
        <v>29</v>
      </c>
      <c r="T1835" s="33" t="s">
        <v>30</v>
      </c>
      <c r="U1835" s="180" t="s">
        <v>335</v>
      </c>
      <c r="V1835" s="57"/>
      <c r="W1835" s="7"/>
      <c r="X1835" s="7"/>
      <c r="Y1835" s="7"/>
      <c r="Z1835" s="7"/>
      <c r="AA1835" s="7"/>
    </row>
    <row r="1836" ht="18.75" customHeight="1">
      <c r="A1836" s="166" t="s">
        <v>1858</v>
      </c>
      <c r="B1836" s="166" t="s">
        <v>1859</v>
      </c>
      <c r="C1836" s="166" t="s">
        <v>24</v>
      </c>
      <c r="D1836" s="183">
        <v>2096.0</v>
      </c>
      <c r="E1836" s="166" t="s">
        <v>1926</v>
      </c>
      <c r="F1836" s="11" t="s">
        <v>37</v>
      </c>
      <c r="G1836" s="168"/>
      <c r="H1836" s="178">
        <v>209.51</v>
      </c>
      <c r="I1836" s="170">
        <v>10.0</v>
      </c>
      <c r="J1836" s="15" t="s">
        <v>28</v>
      </c>
      <c r="K1836" s="16">
        <v>0.4</v>
      </c>
      <c r="L1836" s="164">
        <f t="shared" si="7"/>
        <v>4</v>
      </c>
      <c r="M1836" s="17">
        <f t="shared" si="2"/>
        <v>6</v>
      </c>
      <c r="N1836" s="18">
        <f t="shared" si="8"/>
        <v>83.804</v>
      </c>
      <c r="O1836" s="18">
        <f t="shared" si="9"/>
        <v>125.706</v>
      </c>
      <c r="P1836" s="18">
        <f t="shared" si="5"/>
        <v>125.706</v>
      </c>
      <c r="Q1836" s="8">
        <v>0.0</v>
      </c>
      <c r="R1836" s="18">
        <f t="shared" si="6"/>
        <v>20.951</v>
      </c>
      <c r="S1836" s="19" t="s">
        <v>29</v>
      </c>
      <c r="T1836" s="19" t="s">
        <v>30</v>
      </c>
      <c r="U1836" s="171" t="s">
        <v>905</v>
      </c>
      <c r="V1836" s="145"/>
      <c r="W1836" s="7"/>
      <c r="X1836" s="7"/>
      <c r="Y1836" s="7"/>
      <c r="Z1836" s="7"/>
      <c r="AA1836" s="7"/>
    </row>
    <row r="1837" ht="18.75" customHeight="1">
      <c r="A1837" s="113" t="s">
        <v>1858</v>
      </c>
      <c r="B1837" s="113" t="s">
        <v>1859</v>
      </c>
      <c r="C1837" s="113" t="s">
        <v>24</v>
      </c>
      <c r="D1837" s="182">
        <v>2097.0</v>
      </c>
      <c r="E1837" s="113" t="s">
        <v>1931</v>
      </c>
      <c r="F1837" s="25" t="s">
        <v>26</v>
      </c>
      <c r="G1837" s="161"/>
      <c r="H1837" s="177">
        <v>49.9</v>
      </c>
      <c r="I1837" s="163">
        <v>5.0</v>
      </c>
      <c r="J1837" s="173" t="s">
        <v>54</v>
      </c>
      <c r="K1837" s="30">
        <v>0.3</v>
      </c>
      <c r="L1837" s="155">
        <f t="shared" si="7"/>
        <v>1.5</v>
      </c>
      <c r="M1837" s="31">
        <f t="shared" si="2"/>
        <v>3.5</v>
      </c>
      <c r="N1837" s="32">
        <f t="shared" si="8"/>
        <v>14.97</v>
      </c>
      <c r="O1837" s="32">
        <f t="shared" si="9"/>
        <v>34.93</v>
      </c>
      <c r="P1837" s="32">
        <f t="shared" si="5"/>
        <v>34.93</v>
      </c>
      <c r="Q1837" s="22">
        <v>0.0</v>
      </c>
      <c r="R1837" s="32">
        <f t="shared" si="6"/>
        <v>9.98</v>
      </c>
      <c r="S1837" s="33" t="s">
        <v>29</v>
      </c>
      <c r="T1837" s="33" t="s">
        <v>30</v>
      </c>
      <c r="U1837" s="173" t="s">
        <v>1686</v>
      </c>
      <c r="V1837" s="57"/>
      <c r="W1837" s="7"/>
      <c r="X1837" s="7"/>
      <c r="Y1837" s="7"/>
      <c r="Z1837" s="7"/>
      <c r="AA1837" s="7"/>
    </row>
    <row r="1838" ht="18.75" customHeight="1">
      <c r="A1838" s="166" t="s">
        <v>1858</v>
      </c>
      <c r="B1838" s="166" t="s">
        <v>1859</v>
      </c>
      <c r="C1838" s="166" t="s">
        <v>24</v>
      </c>
      <c r="D1838" s="183">
        <v>2098.0</v>
      </c>
      <c r="E1838" s="166" t="s">
        <v>1932</v>
      </c>
      <c r="F1838" s="11" t="s">
        <v>26</v>
      </c>
      <c r="G1838" s="168"/>
      <c r="H1838" s="178">
        <v>101.86</v>
      </c>
      <c r="I1838" s="170">
        <v>10.0</v>
      </c>
      <c r="J1838" s="171" t="s">
        <v>54</v>
      </c>
      <c r="K1838" s="16">
        <v>0.3</v>
      </c>
      <c r="L1838" s="164">
        <f t="shared" si="7"/>
        <v>3</v>
      </c>
      <c r="M1838" s="17">
        <f t="shared" si="2"/>
        <v>7</v>
      </c>
      <c r="N1838" s="18">
        <f t="shared" si="8"/>
        <v>30.558</v>
      </c>
      <c r="O1838" s="18">
        <f t="shared" si="9"/>
        <v>71.302</v>
      </c>
      <c r="P1838" s="18">
        <f t="shared" si="5"/>
        <v>71.302</v>
      </c>
      <c r="Q1838" s="8">
        <v>0.0</v>
      </c>
      <c r="R1838" s="18">
        <f t="shared" si="6"/>
        <v>10.186</v>
      </c>
      <c r="S1838" s="19" t="s">
        <v>29</v>
      </c>
      <c r="T1838" s="19" t="s">
        <v>30</v>
      </c>
      <c r="U1838" s="171" t="s">
        <v>544</v>
      </c>
      <c r="V1838" s="145"/>
      <c r="W1838" s="7"/>
      <c r="X1838" s="7"/>
      <c r="Y1838" s="7"/>
      <c r="Z1838" s="7"/>
      <c r="AA1838" s="7"/>
    </row>
    <row r="1839" ht="18.75" customHeight="1">
      <c r="A1839" s="113" t="s">
        <v>1858</v>
      </c>
      <c r="B1839" s="113" t="s">
        <v>1859</v>
      </c>
      <c r="C1839" s="113" t="s">
        <v>24</v>
      </c>
      <c r="D1839" s="182">
        <v>2099.0</v>
      </c>
      <c r="E1839" s="113" t="s">
        <v>1933</v>
      </c>
      <c r="F1839" s="25" t="s">
        <v>26</v>
      </c>
      <c r="G1839" s="161"/>
      <c r="H1839" s="177">
        <v>1586.97</v>
      </c>
      <c r="I1839" s="163">
        <v>10.0</v>
      </c>
      <c r="J1839" s="29" t="s">
        <v>28</v>
      </c>
      <c r="K1839" s="30">
        <v>0.4</v>
      </c>
      <c r="L1839" s="155">
        <f t="shared" si="7"/>
        <v>4</v>
      </c>
      <c r="M1839" s="31">
        <f t="shared" si="2"/>
        <v>6</v>
      </c>
      <c r="N1839" s="32">
        <f t="shared" si="8"/>
        <v>634.788</v>
      </c>
      <c r="O1839" s="32">
        <f t="shared" si="9"/>
        <v>952.182</v>
      </c>
      <c r="P1839" s="32">
        <f t="shared" si="5"/>
        <v>952.182</v>
      </c>
      <c r="Q1839" s="22">
        <v>0.0</v>
      </c>
      <c r="R1839" s="32">
        <f t="shared" si="6"/>
        <v>158.697</v>
      </c>
      <c r="S1839" s="33" t="s">
        <v>29</v>
      </c>
      <c r="T1839" s="33" t="s">
        <v>30</v>
      </c>
      <c r="U1839" s="173" t="s">
        <v>575</v>
      </c>
      <c r="V1839" s="57"/>
      <c r="W1839" s="7"/>
      <c r="X1839" s="7"/>
      <c r="Y1839" s="7"/>
      <c r="Z1839" s="7"/>
      <c r="AA1839" s="7"/>
    </row>
    <row r="1840" ht="18.75" customHeight="1">
      <c r="A1840" s="166" t="s">
        <v>1858</v>
      </c>
      <c r="B1840" s="166" t="s">
        <v>1859</v>
      </c>
      <c r="C1840" s="166" t="s">
        <v>24</v>
      </c>
      <c r="D1840" s="183">
        <v>2100.0</v>
      </c>
      <c r="E1840" s="166" t="s">
        <v>1933</v>
      </c>
      <c r="F1840" s="11" t="s">
        <v>26</v>
      </c>
      <c r="G1840" s="168"/>
      <c r="H1840" s="178">
        <v>1586.97</v>
      </c>
      <c r="I1840" s="170">
        <v>10.0</v>
      </c>
      <c r="J1840" s="15" t="s">
        <v>28</v>
      </c>
      <c r="K1840" s="16">
        <v>0.4</v>
      </c>
      <c r="L1840" s="164">
        <f t="shared" si="7"/>
        <v>4</v>
      </c>
      <c r="M1840" s="17">
        <f t="shared" si="2"/>
        <v>6</v>
      </c>
      <c r="N1840" s="18">
        <f t="shared" si="8"/>
        <v>634.788</v>
      </c>
      <c r="O1840" s="18">
        <f t="shared" si="9"/>
        <v>952.182</v>
      </c>
      <c r="P1840" s="18">
        <f t="shared" si="5"/>
        <v>952.182</v>
      </c>
      <c r="Q1840" s="8">
        <v>0.0</v>
      </c>
      <c r="R1840" s="18">
        <f t="shared" si="6"/>
        <v>158.697</v>
      </c>
      <c r="S1840" s="19" t="s">
        <v>29</v>
      </c>
      <c r="T1840" s="19" t="s">
        <v>30</v>
      </c>
      <c r="U1840" s="171" t="s">
        <v>575</v>
      </c>
      <c r="V1840" s="145"/>
      <c r="W1840" s="7"/>
      <c r="X1840" s="7"/>
      <c r="Y1840" s="7"/>
      <c r="Z1840" s="7"/>
      <c r="AA1840" s="7"/>
    </row>
    <row r="1841" ht="18.75" customHeight="1">
      <c r="A1841" s="113" t="s">
        <v>1858</v>
      </c>
      <c r="B1841" s="113" t="s">
        <v>1859</v>
      </c>
      <c r="C1841" s="113" t="s">
        <v>150</v>
      </c>
      <c r="D1841" s="182">
        <v>2140.0</v>
      </c>
      <c r="E1841" s="113" t="s">
        <v>1934</v>
      </c>
      <c r="F1841" s="25" t="s">
        <v>26</v>
      </c>
      <c r="G1841" s="161"/>
      <c r="H1841" s="177">
        <v>603.0</v>
      </c>
      <c r="I1841" s="163">
        <v>5.0</v>
      </c>
      <c r="J1841" s="29" t="s">
        <v>38</v>
      </c>
      <c r="K1841" s="30">
        <v>0.5</v>
      </c>
      <c r="L1841" s="155">
        <f t="shared" si="7"/>
        <v>2.5</v>
      </c>
      <c r="M1841" s="31">
        <f t="shared" si="2"/>
        <v>2.5</v>
      </c>
      <c r="N1841" s="32">
        <f t="shared" si="8"/>
        <v>301.5</v>
      </c>
      <c r="O1841" s="32">
        <f t="shared" si="9"/>
        <v>301.5</v>
      </c>
      <c r="P1841" s="32">
        <f t="shared" si="5"/>
        <v>301.5</v>
      </c>
      <c r="Q1841" s="22">
        <v>0.0</v>
      </c>
      <c r="R1841" s="32">
        <f t="shared" si="6"/>
        <v>120.6</v>
      </c>
      <c r="S1841" s="33" t="s">
        <v>29</v>
      </c>
      <c r="T1841" s="33" t="s">
        <v>30</v>
      </c>
      <c r="U1841" s="180" t="s">
        <v>79</v>
      </c>
      <c r="V1841" s="57"/>
      <c r="W1841" s="7"/>
      <c r="X1841" s="7"/>
      <c r="Y1841" s="7"/>
      <c r="Z1841" s="7"/>
      <c r="AA1841" s="7"/>
    </row>
    <row r="1842" ht="18.75" customHeight="1">
      <c r="A1842" s="166" t="s">
        <v>1858</v>
      </c>
      <c r="B1842" s="166" t="s">
        <v>1859</v>
      </c>
      <c r="C1842" s="166" t="s">
        <v>199</v>
      </c>
      <c r="D1842" s="183">
        <v>2173.0</v>
      </c>
      <c r="E1842" s="166" t="s">
        <v>76</v>
      </c>
      <c r="F1842" s="11" t="s">
        <v>37</v>
      </c>
      <c r="G1842" s="168"/>
      <c r="H1842" s="178">
        <v>332.91</v>
      </c>
      <c r="I1842" s="170">
        <v>10.0</v>
      </c>
      <c r="J1842" s="171" t="s">
        <v>54</v>
      </c>
      <c r="K1842" s="16">
        <v>0.3</v>
      </c>
      <c r="L1842" s="164">
        <f t="shared" si="7"/>
        <v>3</v>
      </c>
      <c r="M1842" s="17">
        <f t="shared" si="2"/>
        <v>7</v>
      </c>
      <c r="N1842" s="18">
        <f t="shared" si="8"/>
        <v>99.873</v>
      </c>
      <c r="O1842" s="18">
        <f t="shared" si="9"/>
        <v>233.037</v>
      </c>
      <c r="P1842" s="18">
        <f t="shared" si="5"/>
        <v>233.037</v>
      </c>
      <c r="Q1842" s="8">
        <v>0.0</v>
      </c>
      <c r="R1842" s="18">
        <f t="shared" si="6"/>
        <v>33.291</v>
      </c>
      <c r="S1842" s="19" t="s">
        <v>29</v>
      </c>
      <c r="T1842" s="19" t="s">
        <v>30</v>
      </c>
      <c r="U1842" s="179" t="s">
        <v>223</v>
      </c>
      <c r="V1842" s="145"/>
      <c r="W1842" s="7"/>
      <c r="X1842" s="7"/>
      <c r="Y1842" s="7"/>
      <c r="Z1842" s="7"/>
      <c r="AA1842" s="7"/>
    </row>
    <row r="1843" ht="18.75" customHeight="1">
      <c r="A1843" s="113" t="s">
        <v>1858</v>
      </c>
      <c r="B1843" s="113" t="s">
        <v>1859</v>
      </c>
      <c r="C1843" s="113" t="s">
        <v>199</v>
      </c>
      <c r="D1843" s="182">
        <v>2175.0</v>
      </c>
      <c r="E1843" s="113" t="s">
        <v>76</v>
      </c>
      <c r="F1843" s="25" t="s">
        <v>37</v>
      </c>
      <c r="G1843" s="161"/>
      <c r="H1843" s="177">
        <v>332.91</v>
      </c>
      <c r="I1843" s="163">
        <v>10.0</v>
      </c>
      <c r="J1843" s="173" t="s">
        <v>54</v>
      </c>
      <c r="K1843" s="30">
        <v>0.3</v>
      </c>
      <c r="L1843" s="155">
        <f t="shared" si="7"/>
        <v>3</v>
      </c>
      <c r="M1843" s="31">
        <f t="shared" si="2"/>
        <v>7</v>
      </c>
      <c r="N1843" s="32">
        <f t="shared" si="8"/>
        <v>99.873</v>
      </c>
      <c r="O1843" s="32">
        <f t="shared" si="9"/>
        <v>233.037</v>
      </c>
      <c r="P1843" s="32">
        <f t="shared" si="5"/>
        <v>233.037</v>
      </c>
      <c r="Q1843" s="22">
        <v>0.0</v>
      </c>
      <c r="R1843" s="32">
        <f t="shared" si="6"/>
        <v>33.291</v>
      </c>
      <c r="S1843" s="33" t="s">
        <v>29</v>
      </c>
      <c r="T1843" s="33" t="s">
        <v>30</v>
      </c>
      <c r="U1843" s="180" t="s">
        <v>223</v>
      </c>
      <c r="V1843" s="57"/>
      <c r="W1843" s="7"/>
      <c r="X1843" s="7"/>
      <c r="Y1843" s="7"/>
      <c r="Z1843" s="7"/>
      <c r="AA1843" s="7"/>
    </row>
    <row r="1844" ht="18.75" customHeight="1">
      <c r="A1844" s="166" t="s">
        <v>1858</v>
      </c>
      <c r="B1844" s="166" t="s">
        <v>1859</v>
      </c>
      <c r="C1844" s="166" t="s">
        <v>433</v>
      </c>
      <c r="D1844" s="183">
        <v>2176.0</v>
      </c>
      <c r="E1844" s="166" t="s">
        <v>76</v>
      </c>
      <c r="F1844" s="11" t="s">
        <v>37</v>
      </c>
      <c r="G1844" s="168"/>
      <c r="H1844" s="178">
        <v>332.91</v>
      </c>
      <c r="I1844" s="170">
        <v>10.0</v>
      </c>
      <c r="J1844" s="171" t="s">
        <v>54</v>
      </c>
      <c r="K1844" s="16">
        <v>0.3</v>
      </c>
      <c r="L1844" s="164">
        <f t="shared" si="7"/>
        <v>3</v>
      </c>
      <c r="M1844" s="17">
        <f t="shared" si="2"/>
        <v>7</v>
      </c>
      <c r="N1844" s="18">
        <f t="shared" si="8"/>
        <v>99.873</v>
      </c>
      <c r="O1844" s="18">
        <f t="shared" si="9"/>
        <v>233.037</v>
      </c>
      <c r="P1844" s="18">
        <f t="shared" si="5"/>
        <v>233.037</v>
      </c>
      <c r="Q1844" s="8">
        <v>0.0</v>
      </c>
      <c r="R1844" s="18">
        <f t="shared" si="6"/>
        <v>33.291</v>
      </c>
      <c r="S1844" s="19" t="s">
        <v>29</v>
      </c>
      <c r="T1844" s="19" t="s">
        <v>30</v>
      </c>
      <c r="U1844" s="179" t="s">
        <v>223</v>
      </c>
      <c r="V1844" s="145"/>
      <c r="W1844" s="7"/>
      <c r="X1844" s="7"/>
      <c r="Y1844" s="7"/>
      <c r="Z1844" s="7"/>
      <c r="AA1844" s="7"/>
    </row>
    <row r="1845" ht="18.75" customHeight="1">
      <c r="A1845" s="113" t="s">
        <v>1858</v>
      </c>
      <c r="B1845" s="113" t="s">
        <v>1859</v>
      </c>
      <c r="C1845" s="113" t="s">
        <v>433</v>
      </c>
      <c r="D1845" s="182">
        <v>2243.0</v>
      </c>
      <c r="E1845" s="113" t="s">
        <v>76</v>
      </c>
      <c r="F1845" s="25" t="s">
        <v>37</v>
      </c>
      <c r="G1845" s="161"/>
      <c r="H1845" s="177">
        <v>332.91</v>
      </c>
      <c r="I1845" s="163">
        <v>10.0</v>
      </c>
      <c r="J1845" s="173" t="s">
        <v>54</v>
      </c>
      <c r="K1845" s="30">
        <v>0.3</v>
      </c>
      <c r="L1845" s="155">
        <f t="shared" si="7"/>
        <v>3</v>
      </c>
      <c r="M1845" s="31">
        <f t="shared" si="2"/>
        <v>7</v>
      </c>
      <c r="N1845" s="32">
        <f t="shared" si="8"/>
        <v>99.873</v>
      </c>
      <c r="O1845" s="32">
        <f t="shared" si="9"/>
        <v>233.037</v>
      </c>
      <c r="P1845" s="32">
        <f t="shared" si="5"/>
        <v>233.037</v>
      </c>
      <c r="Q1845" s="22">
        <v>0.0</v>
      </c>
      <c r="R1845" s="32">
        <f t="shared" si="6"/>
        <v>33.291</v>
      </c>
      <c r="S1845" s="33" t="s">
        <v>29</v>
      </c>
      <c r="T1845" s="33" t="s">
        <v>30</v>
      </c>
      <c r="U1845" s="180" t="s">
        <v>223</v>
      </c>
      <c r="V1845" s="57"/>
      <c r="W1845" s="7"/>
      <c r="X1845" s="7"/>
      <c r="Y1845" s="7"/>
      <c r="Z1845" s="7"/>
      <c r="AA1845" s="7"/>
    </row>
    <row r="1846" ht="18.75" customHeight="1">
      <c r="A1846" s="166" t="s">
        <v>1858</v>
      </c>
      <c r="B1846" s="166" t="s">
        <v>1859</v>
      </c>
      <c r="C1846" s="166" t="s">
        <v>199</v>
      </c>
      <c r="D1846" s="183">
        <v>2245.0</v>
      </c>
      <c r="E1846" s="166" t="s">
        <v>76</v>
      </c>
      <c r="F1846" s="11" t="s">
        <v>37</v>
      </c>
      <c r="G1846" s="168"/>
      <c r="H1846" s="178">
        <v>332.91</v>
      </c>
      <c r="I1846" s="170">
        <v>10.0</v>
      </c>
      <c r="J1846" s="171" t="s">
        <v>54</v>
      </c>
      <c r="K1846" s="16">
        <v>0.3</v>
      </c>
      <c r="L1846" s="164">
        <f t="shared" si="7"/>
        <v>3</v>
      </c>
      <c r="M1846" s="17">
        <f t="shared" si="2"/>
        <v>7</v>
      </c>
      <c r="N1846" s="18">
        <f t="shared" si="8"/>
        <v>99.873</v>
      </c>
      <c r="O1846" s="18">
        <f t="shared" si="9"/>
        <v>233.037</v>
      </c>
      <c r="P1846" s="18">
        <f t="shared" si="5"/>
        <v>233.037</v>
      </c>
      <c r="Q1846" s="8">
        <v>0.0</v>
      </c>
      <c r="R1846" s="18">
        <f t="shared" si="6"/>
        <v>33.291</v>
      </c>
      <c r="S1846" s="19" t="s">
        <v>29</v>
      </c>
      <c r="T1846" s="19" t="s">
        <v>30</v>
      </c>
      <c r="U1846" s="179" t="s">
        <v>223</v>
      </c>
      <c r="V1846" s="145"/>
      <c r="W1846" s="7"/>
      <c r="X1846" s="7"/>
      <c r="Y1846" s="7"/>
      <c r="Z1846" s="7"/>
      <c r="AA1846" s="7"/>
    </row>
    <row r="1847" ht="18.75" customHeight="1">
      <c r="A1847" s="113" t="s">
        <v>1858</v>
      </c>
      <c r="B1847" s="113" t="s">
        <v>1859</v>
      </c>
      <c r="C1847" s="113" t="s">
        <v>433</v>
      </c>
      <c r="D1847" s="182">
        <v>2257.0</v>
      </c>
      <c r="E1847" s="113" t="s">
        <v>76</v>
      </c>
      <c r="F1847" s="25" t="s">
        <v>37</v>
      </c>
      <c r="G1847" s="161"/>
      <c r="H1847" s="177">
        <v>332.91</v>
      </c>
      <c r="I1847" s="163">
        <v>10.0</v>
      </c>
      <c r="J1847" s="173" t="s">
        <v>54</v>
      </c>
      <c r="K1847" s="30">
        <v>0.3</v>
      </c>
      <c r="L1847" s="155">
        <f t="shared" si="7"/>
        <v>3</v>
      </c>
      <c r="M1847" s="31">
        <f t="shared" si="2"/>
        <v>7</v>
      </c>
      <c r="N1847" s="32">
        <f t="shared" si="8"/>
        <v>99.873</v>
      </c>
      <c r="O1847" s="32">
        <f t="shared" si="9"/>
        <v>233.037</v>
      </c>
      <c r="P1847" s="32">
        <f t="shared" si="5"/>
        <v>233.037</v>
      </c>
      <c r="Q1847" s="22">
        <v>0.0</v>
      </c>
      <c r="R1847" s="32">
        <f t="shared" si="6"/>
        <v>33.291</v>
      </c>
      <c r="S1847" s="33" t="s">
        <v>29</v>
      </c>
      <c r="T1847" s="33" t="s">
        <v>30</v>
      </c>
      <c r="U1847" s="180" t="s">
        <v>223</v>
      </c>
      <c r="V1847" s="57"/>
      <c r="W1847" s="7"/>
      <c r="X1847" s="7"/>
      <c r="Y1847" s="7"/>
      <c r="Z1847" s="7"/>
      <c r="AA1847" s="7"/>
    </row>
    <row r="1848" ht="18.75" customHeight="1">
      <c r="A1848" s="166" t="s">
        <v>1858</v>
      </c>
      <c r="B1848" s="166" t="s">
        <v>1859</v>
      </c>
      <c r="C1848" s="166" t="s">
        <v>199</v>
      </c>
      <c r="D1848" s="183">
        <v>2266.0</v>
      </c>
      <c r="E1848" s="166" t="s">
        <v>76</v>
      </c>
      <c r="F1848" s="11" t="s">
        <v>37</v>
      </c>
      <c r="G1848" s="168"/>
      <c r="H1848" s="178">
        <v>332.91</v>
      </c>
      <c r="I1848" s="170">
        <v>10.0</v>
      </c>
      <c r="J1848" s="171" t="s">
        <v>54</v>
      </c>
      <c r="K1848" s="16">
        <v>0.3</v>
      </c>
      <c r="L1848" s="164">
        <f t="shared" si="7"/>
        <v>3</v>
      </c>
      <c r="M1848" s="17">
        <f t="shared" si="2"/>
        <v>7</v>
      </c>
      <c r="N1848" s="18">
        <f t="shared" si="8"/>
        <v>99.873</v>
      </c>
      <c r="O1848" s="18">
        <f t="shared" si="9"/>
        <v>233.037</v>
      </c>
      <c r="P1848" s="18">
        <f t="shared" si="5"/>
        <v>233.037</v>
      </c>
      <c r="Q1848" s="8">
        <v>0.0</v>
      </c>
      <c r="R1848" s="18">
        <f t="shared" si="6"/>
        <v>33.291</v>
      </c>
      <c r="S1848" s="19" t="s">
        <v>29</v>
      </c>
      <c r="T1848" s="19" t="s">
        <v>30</v>
      </c>
      <c r="U1848" s="179" t="s">
        <v>223</v>
      </c>
      <c r="V1848" s="145"/>
      <c r="W1848" s="7"/>
      <c r="X1848" s="7"/>
      <c r="Y1848" s="7"/>
      <c r="Z1848" s="7"/>
      <c r="AA1848" s="7"/>
    </row>
    <row r="1849" ht="18.75" customHeight="1">
      <c r="A1849" s="113" t="s">
        <v>1858</v>
      </c>
      <c r="B1849" s="113" t="s">
        <v>1859</v>
      </c>
      <c r="C1849" s="113" t="s">
        <v>24</v>
      </c>
      <c r="D1849" s="182">
        <v>2458.0</v>
      </c>
      <c r="E1849" s="113" t="s">
        <v>1935</v>
      </c>
      <c r="F1849" s="25" t="s">
        <v>26</v>
      </c>
      <c r="G1849" s="161"/>
      <c r="H1849" s="177">
        <v>1749.0</v>
      </c>
      <c r="I1849" s="163">
        <v>10.0</v>
      </c>
      <c r="J1849" s="29" t="s">
        <v>38</v>
      </c>
      <c r="K1849" s="30">
        <v>0.5</v>
      </c>
      <c r="L1849" s="155">
        <f t="shared" si="7"/>
        <v>5</v>
      </c>
      <c r="M1849" s="31">
        <f t="shared" si="2"/>
        <v>5</v>
      </c>
      <c r="N1849" s="32">
        <f t="shared" si="8"/>
        <v>874.5</v>
      </c>
      <c r="O1849" s="32">
        <f t="shared" si="9"/>
        <v>874.5</v>
      </c>
      <c r="P1849" s="32">
        <f t="shared" si="5"/>
        <v>874.5</v>
      </c>
      <c r="Q1849" s="22">
        <v>0.0</v>
      </c>
      <c r="R1849" s="32">
        <f t="shared" si="6"/>
        <v>174.9</v>
      </c>
      <c r="S1849" s="33" t="s">
        <v>29</v>
      </c>
      <c r="T1849" s="33" t="s">
        <v>30</v>
      </c>
      <c r="U1849" s="173" t="s">
        <v>255</v>
      </c>
      <c r="V1849" s="57"/>
      <c r="W1849" s="7"/>
      <c r="X1849" s="7"/>
      <c r="Y1849" s="7"/>
      <c r="Z1849" s="7"/>
      <c r="AA1849" s="7"/>
    </row>
    <row r="1850" ht="18.75" customHeight="1">
      <c r="A1850" s="166" t="s">
        <v>1858</v>
      </c>
      <c r="B1850" s="166" t="s">
        <v>1859</v>
      </c>
      <c r="C1850" s="166" t="s">
        <v>24</v>
      </c>
      <c r="D1850" s="183">
        <v>2481.0</v>
      </c>
      <c r="E1850" s="166" t="s">
        <v>1936</v>
      </c>
      <c r="F1850" s="11" t="s">
        <v>26</v>
      </c>
      <c r="G1850" s="168"/>
      <c r="H1850" s="178">
        <v>1804.05</v>
      </c>
      <c r="I1850" s="170">
        <v>5.0</v>
      </c>
      <c r="J1850" s="15" t="s">
        <v>38</v>
      </c>
      <c r="K1850" s="16">
        <v>0.5</v>
      </c>
      <c r="L1850" s="164">
        <f t="shared" si="7"/>
        <v>2.5</v>
      </c>
      <c r="M1850" s="17">
        <f t="shared" si="2"/>
        <v>2.5</v>
      </c>
      <c r="N1850" s="18">
        <f t="shared" si="8"/>
        <v>902.025</v>
      </c>
      <c r="O1850" s="18">
        <f t="shared" si="9"/>
        <v>902.025</v>
      </c>
      <c r="P1850" s="18">
        <f t="shared" si="5"/>
        <v>902.025</v>
      </c>
      <c r="Q1850" s="8">
        <v>0.0</v>
      </c>
      <c r="R1850" s="18">
        <f t="shared" si="6"/>
        <v>360.81</v>
      </c>
      <c r="S1850" s="19" t="s">
        <v>29</v>
      </c>
      <c r="T1850" s="19" t="s">
        <v>30</v>
      </c>
      <c r="U1850" s="171" t="s">
        <v>1657</v>
      </c>
      <c r="V1850" s="145"/>
      <c r="W1850" s="7"/>
      <c r="X1850" s="7"/>
      <c r="Y1850" s="7"/>
      <c r="Z1850" s="7"/>
      <c r="AA1850" s="7"/>
    </row>
    <row r="1851" ht="18.75" customHeight="1">
      <c r="A1851" s="113" t="s">
        <v>1858</v>
      </c>
      <c r="B1851" s="113" t="s">
        <v>1859</v>
      </c>
      <c r="C1851" s="113" t="s">
        <v>24</v>
      </c>
      <c r="D1851" s="182">
        <v>2501.0</v>
      </c>
      <c r="E1851" s="113" t="s">
        <v>1937</v>
      </c>
      <c r="F1851" s="25" t="s">
        <v>26</v>
      </c>
      <c r="G1851" s="161"/>
      <c r="H1851" s="177">
        <v>131.58</v>
      </c>
      <c r="I1851" s="163">
        <v>5.0</v>
      </c>
      <c r="J1851" s="29" t="s">
        <v>28</v>
      </c>
      <c r="K1851" s="30">
        <v>0.4</v>
      </c>
      <c r="L1851" s="155">
        <f t="shared" si="7"/>
        <v>2</v>
      </c>
      <c r="M1851" s="31">
        <f t="shared" si="2"/>
        <v>3</v>
      </c>
      <c r="N1851" s="32">
        <f t="shared" si="8"/>
        <v>52.632</v>
      </c>
      <c r="O1851" s="32">
        <f t="shared" si="9"/>
        <v>78.948</v>
      </c>
      <c r="P1851" s="32">
        <f t="shared" si="5"/>
        <v>78.948</v>
      </c>
      <c r="Q1851" s="22">
        <v>0.0</v>
      </c>
      <c r="R1851" s="32">
        <f t="shared" si="6"/>
        <v>26.316</v>
      </c>
      <c r="S1851" s="33" t="s">
        <v>29</v>
      </c>
      <c r="T1851" s="33" t="s">
        <v>30</v>
      </c>
      <c r="U1851" s="180" t="s">
        <v>268</v>
      </c>
      <c r="V1851" s="57"/>
      <c r="W1851" s="7"/>
      <c r="X1851" s="7"/>
      <c r="Y1851" s="7"/>
      <c r="Z1851" s="7"/>
      <c r="AA1851" s="7"/>
    </row>
    <row r="1852" ht="18.75" customHeight="1">
      <c r="A1852" s="166" t="s">
        <v>1858</v>
      </c>
      <c r="B1852" s="166" t="s">
        <v>1859</v>
      </c>
      <c r="C1852" s="166" t="s">
        <v>24</v>
      </c>
      <c r="D1852" s="183">
        <v>2502.0</v>
      </c>
      <c r="E1852" s="166" t="s">
        <v>1938</v>
      </c>
      <c r="F1852" s="11" t="s">
        <v>26</v>
      </c>
      <c r="G1852" s="168"/>
      <c r="H1852" s="178">
        <v>74.64</v>
      </c>
      <c r="I1852" s="170">
        <v>5.0</v>
      </c>
      <c r="J1852" s="15" t="s">
        <v>38</v>
      </c>
      <c r="K1852" s="16">
        <v>0.5</v>
      </c>
      <c r="L1852" s="164">
        <f t="shared" si="7"/>
        <v>2.5</v>
      </c>
      <c r="M1852" s="17">
        <f t="shared" si="2"/>
        <v>2.5</v>
      </c>
      <c r="N1852" s="18">
        <f t="shared" si="8"/>
        <v>37.32</v>
      </c>
      <c r="O1852" s="18">
        <f t="shared" si="9"/>
        <v>37.32</v>
      </c>
      <c r="P1852" s="18">
        <f t="shared" si="5"/>
        <v>37.32</v>
      </c>
      <c r="Q1852" s="8">
        <v>0.0</v>
      </c>
      <c r="R1852" s="18">
        <f t="shared" si="6"/>
        <v>14.928</v>
      </c>
      <c r="S1852" s="19" t="s">
        <v>29</v>
      </c>
      <c r="T1852" s="19" t="s">
        <v>30</v>
      </c>
      <c r="U1852" s="171" t="s">
        <v>509</v>
      </c>
      <c r="V1852" s="145"/>
      <c r="W1852" s="7"/>
      <c r="X1852" s="7"/>
      <c r="Y1852" s="7"/>
      <c r="Z1852" s="7"/>
      <c r="AA1852" s="7"/>
    </row>
    <row r="1853" ht="18.75" customHeight="1">
      <c r="A1853" s="113" t="s">
        <v>1858</v>
      </c>
      <c r="B1853" s="113" t="s">
        <v>1859</v>
      </c>
      <c r="C1853" s="113" t="s">
        <v>24</v>
      </c>
      <c r="D1853" s="182">
        <v>2511.0</v>
      </c>
      <c r="E1853" s="113" t="s">
        <v>1939</v>
      </c>
      <c r="F1853" s="25" t="s">
        <v>37</v>
      </c>
      <c r="G1853" s="161"/>
      <c r="H1853" s="177">
        <v>1044.42</v>
      </c>
      <c r="I1853" s="163">
        <v>10.0</v>
      </c>
      <c r="J1853" s="173" t="s">
        <v>54</v>
      </c>
      <c r="K1853" s="30">
        <v>0.3</v>
      </c>
      <c r="L1853" s="155">
        <f t="shared" si="7"/>
        <v>3</v>
      </c>
      <c r="M1853" s="31">
        <f t="shared" si="2"/>
        <v>7</v>
      </c>
      <c r="N1853" s="32">
        <f t="shared" si="8"/>
        <v>313.326</v>
      </c>
      <c r="O1853" s="32">
        <f t="shared" si="9"/>
        <v>731.094</v>
      </c>
      <c r="P1853" s="32">
        <f t="shared" si="5"/>
        <v>731.094</v>
      </c>
      <c r="Q1853" s="22">
        <v>0.0</v>
      </c>
      <c r="R1853" s="32">
        <f t="shared" si="6"/>
        <v>104.442</v>
      </c>
      <c r="S1853" s="33" t="s">
        <v>29</v>
      </c>
      <c r="T1853" s="33" t="s">
        <v>30</v>
      </c>
      <c r="U1853" s="180" t="s">
        <v>346</v>
      </c>
      <c r="V1853" s="57"/>
      <c r="W1853" s="7"/>
      <c r="X1853" s="7"/>
      <c r="Y1853" s="7"/>
      <c r="Z1853" s="7"/>
      <c r="AA1853" s="7"/>
    </row>
    <row r="1854" ht="18.75" customHeight="1">
      <c r="A1854" s="166" t="s">
        <v>1858</v>
      </c>
      <c r="B1854" s="166" t="s">
        <v>1859</v>
      </c>
      <c r="C1854" s="166" t="s">
        <v>24</v>
      </c>
      <c r="D1854" s="183">
        <v>2523.0</v>
      </c>
      <c r="E1854" s="166" t="s">
        <v>1940</v>
      </c>
      <c r="F1854" s="11" t="s">
        <v>26</v>
      </c>
      <c r="G1854" s="168"/>
      <c r="H1854" s="178">
        <v>834.05</v>
      </c>
      <c r="I1854" s="170">
        <v>10.0</v>
      </c>
      <c r="J1854" s="15" t="s">
        <v>38</v>
      </c>
      <c r="K1854" s="16">
        <v>0.5</v>
      </c>
      <c r="L1854" s="164">
        <f t="shared" si="7"/>
        <v>5</v>
      </c>
      <c r="M1854" s="17">
        <f t="shared" si="2"/>
        <v>5</v>
      </c>
      <c r="N1854" s="18">
        <f t="shared" si="8"/>
        <v>417.025</v>
      </c>
      <c r="O1854" s="18">
        <f t="shared" si="9"/>
        <v>417.025</v>
      </c>
      <c r="P1854" s="18">
        <f t="shared" si="5"/>
        <v>417.025</v>
      </c>
      <c r="Q1854" s="8">
        <v>0.0</v>
      </c>
      <c r="R1854" s="18">
        <f t="shared" si="6"/>
        <v>83.405</v>
      </c>
      <c r="S1854" s="19" t="s">
        <v>29</v>
      </c>
      <c r="T1854" s="19" t="s">
        <v>30</v>
      </c>
      <c r="U1854" s="171" t="s">
        <v>559</v>
      </c>
      <c r="V1854" s="145"/>
      <c r="W1854" s="7"/>
      <c r="X1854" s="7"/>
      <c r="Y1854" s="7"/>
      <c r="Z1854" s="7"/>
      <c r="AA1854" s="7"/>
    </row>
    <row r="1855" ht="18.75" customHeight="1">
      <c r="A1855" s="113" t="s">
        <v>1858</v>
      </c>
      <c r="B1855" s="113" t="s">
        <v>1859</v>
      </c>
      <c r="C1855" s="113" t="s">
        <v>433</v>
      </c>
      <c r="D1855" s="182">
        <v>2562.0</v>
      </c>
      <c r="E1855" s="113" t="s">
        <v>1941</v>
      </c>
      <c r="F1855" s="25" t="s">
        <v>26</v>
      </c>
      <c r="G1855" s="161"/>
      <c r="H1855" s="177">
        <v>1300.12</v>
      </c>
      <c r="I1855" s="163">
        <v>15.0</v>
      </c>
      <c r="J1855" s="29" t="s">
        <v>38</v>
      </c>
      <c r="K1855" s="30">
        <v>0.5</v>
      </c>
      <c r="L1855" s="155">
        <f t="shared" si="7"/>
        <v>7.5</v>
      </c>
      <c r="M1855" s="31">
        <f t="shared" si="2"/>
        <v>7.5</v>
      </c>
      <c r="N1855" s="32">
        <f t="shared" si="8"/>
        <v>650.06</v>
      </c>
      <c r="O1855" s="32">
        <f t="shared" si="9"/>
        <v>650.06</v>
      </c>
      <c r="P1855" s="32">
        <f t="shared" si="5"/>
        <v>650.06</v>
      </c>
      <c r="Q1855" s="22">
        <v>0.0</v>
      </c>
      <c r="R1855" s="32">
        <f t="shared" si="6"/>
        <v>86.67466667</v>
      </c>
      <c r="S1855" s="33" t="s">
        <v>29</v>
      </c>
      <c r="T1855" s="33" t="s">
        <v>30</v>
      </c>
      <c r="U1855" s="180" t="s">
        <v>459</v>
      </c>
      <c r="V1855" s="57"/>
      <c r="W1855" s="7"/>
      <c r="X1855" s="7"/>
      <c r="Y1855" s="7"/>
      <c r="Z1855" s="7"/>
      <c r="AA1855" s="7"/>
    </row>
    <row r="1856" ht="18.75" customHeight="1">
      <c r="A1856" s="166" t="s">
        <v>1858</v>
      </c>
      <c r="B1856" s="166" t="s">
        <v>1859</v>
      </c>
      <c r="C1856" s="166" t="s">
        <v>433</v>
      </c>
      <c r="D1856" s="183">
        <v>2563.0</v>
      </c>
      <c r="E1856" s="166" t="s">
        <v>1942</v>
      </c>
      <c r="F1856" s="11" t="s">
        <v>26</v>
      </c>
      <c r="G1856" s="168"/>
      <c r="H1856" s="178">
        <v>449.24</v>
      </c>
      <c r="I1856" s="170">
        <v>5.0</v>
      </c>
      <c r="J1856" s="15" t="s">
        <v>38</v>
      </c>
      <c r="K1856" s="16">
        <v>0.5</v>
      </c>
      <c r="L1856" s="164">
        <f t="shared" si="7"/>
        <v>2.5</v>
      </c>
      <c r="M1856" s="17">
        <f t="shared" si="2"/>
        <v>2.5</v>
      </c>
      <c r="N1856" s="18">
        <f t="shared" si="8"/>
        <v>224.62</v>
      </c>
      <c r="O1856" s="18">
        <f t="shared" si="9"/>
        <v>224.62</v>
      </c>
      <c r="P1856" s="18">
        <f t="shared" si="5"/>
        <v>224.62</v>
      </c>
      <c r="Q1856" s="8">
        <v>0.0</v>
      </c>
      <c r="R1856" s="18">
        <f t="shared" si="6"/>
        <v>89.848</v>
      </c>
      <c r="S1856" s="19" t="s">
        <v>29</v>
      </c>
      <c r="T1856" s="19" t="s">
        <v>30</v>
      </c>
      <c r="U1856" s="179" t="s">
        <v>308</v>
      </c>
      <c r="V1856" s="145"/>
      <c r="W1856" s="7"/>
      <c r="X1856" s="7"/>
      <c r="Y1856" s="7"/>
      <c r="Z1856" s="7"/>
      <c r="AA1856" s="7"/>
    </row>
    <row r="1857" ht="18.75" customHeight="1">
      <c r="A1857" s="113" t="s">
        <v>1858</v>
      </c>
      <c r="B1857" s="113" t="s">
        <v>1859</v>
      </c>
      <c r="C1857" s="113" t="s">
        <v>145</v>
      </c>
      <c r="D1857" s="182">
        <v>2566.0</v>
      </c>
      <c r="E1857" s="113" t="s">
        <v>1943</v>
      </c>
      <c r="F1857" s="25" t="s">
        <v>37</v>
      </c>
      <c r="G1857" s="161"/>
      <c r="H1857" s="177">
        <v>469.2</v>
      </c>
      <c r="I1857" s="163">
        <v>10.0</v>
      </c>
      <c r="J1857" s="29" t="s">
        <v>38</v>
      </c>
      <c r="K1857" s="30">
        <v>0.5</v>
      </c>
      <c r="L1857" s="155">
        <f t="shared" si="7"/>
        <v>5</v>
      </c>
      <c r="M1857" s="31">
        <f t="shared" si="2"/>
        <v>5</v>
      </c>
      <c r="N1857" s="32">
        <f t="shared" si="8"/>
        <v>234.6</v>
      </c>
      <c r="O1857" s="32">
        <f t="shared" si="9"/>
        <v>234.6</v>
      </c>
      <c r="P1857" s="32">
        <f t="shared" si="5"/>
        <v>234.6</v>
      </c>
      <c r="Q1857" s="22">
        <v>0.0</v>
      </c>
      <c r="R1857" s="32">
        <f t="shared" si="6"/>
        <v>46.92</v>
      </c>
      <c r="S1857" s="33" t="s">
        <v>29</v>
      </c>
      <c r="T1857" s="33" t="s">
        <v>30</v>
      </c>
      <c r="U1857" s="173" t="s">
        <v>52</v>
      </c>
      <c r="V1857" s="57"/>
      <c r="W1857" s="7"/>
      <c r="X1857" s="7"/>
      <c r="Y1857" s="7"/>
      <c r="Z1857" s="7"/>
      <c r="AA1857" s="7"/>
    </row>
    <row r="1858" ht="18.75" customHeight="1">
      <c r="A1858" s="166" t="s">
        <v>1858</v>
      </c>
      <c r="B1858" s="166" t="s">
        <v>1859</v>
      </c>
      <c r="C1858" s="166" t="s">
        <v>236</v>
      </c>
      <c r="D1858" s="183">
        <v>2585.0</v>
      </c>
      <c r="E1858" s="166" t="s">
        <v>1944</v>
      </c>
      <c r="F1858" s="11" t="s">
        <v>26</v>
      </c>
      <c r="G1858" s="168"/>
      <c r="H1858" s="178">
        <v>37.9</v>
      </c>
      <c r="I1858" s="170">
        <v>5.0</v>
      </c>
      <c r="J1858" s="171" t="s">
        <v>54</v>
      </c>
      <c r="K1858" s="16">
        <v>0.3</v>
      </c>
      <c r="L1858" s="164">
        <f t="shared" si="7"/>
        <v>1.5</v>
      </c>
      <c r="M1858" s="17">
        <f t="shared" si="2"/>
        <v>3.5</v>
      </c>
      <c r="N1858" s="18">
        <f t="shared" si="8"/>
        <v>11.37</v>
      </c>
      <c r="O1858" s="18">
        <f t="shared" si="9"/>
        <v>26.53</v>
      </c>
      <c r="P1858" s="18">
        <f t="shared" si="5"/>
        <v>26.53</v>
      </c>
      <c r="Q1858" s="8">
        <v>0.0</v>
      </c>
      <c r="R1858" s="18">
        <f t="shared" si="6"/>
        <v>7.58</v>
      </c>
      <c r="S1858" s="19" t="s">
        <v>29</v>
      </c>
      <c r="T1858" s="19" t="s">
        <v>30</v>
      </c>
      <c r="U1858" s="179" t="s">
        <v>302</v>
      </c>
      <c r="V1858" s="145"/>
      <c r="W1858" s="7"/>
      <c r="X1858" s="7"/>
      <c r="Y1858" s="7"/>
      <c r="Z1858" s="7"/>
      <c r="AA1858" s="7"/>
    </row>
    <row r="1859" ht="18.75" customHeight="1">
      <c r="A1859" s="113" t="s">
        <v>1858</v>
      </c>
      <c r="B1859" s="113" t="s">
        <v>1859</v>
      </c>
      <c r="C1859" s="113" t="s">
        <v>230</v>
      </c>
      <c r="D1859" s="182">
        <v>2586.0</v>
      </c>
      <c r="E1859" s="113" t="s">
        <v>1945</v>
      </c>
      <c r="F1859" s="25" t="s">
        <v>26</v>
      </c>
      <c r="G1859" s="161"/>
      <c r="H1859" s="177">
        <v>37.9</v>
      </c>
      <c r="I1859" s="163">
        <v>5.0</v>
      </c>
      <c r="J1859" s="173" t="s">
        <v>54</v>
      </c>
      <c r="K1859" s="30">
        <v>0.3</v>
      </c>
      <c r="L1859" s="155">
        <f t="shared" si="7"/>
        <v>1.5</v>
      </c>
      <c r="M1859" s="31">
        <f t="shared" si="2"/>
        <v>3.5</v>
      </c>
      <c r="N1859" s="32">
        <f t="shared" si="8"/>
        <v>11.37</v>
      </c>
      <c r="O1859" s="32">
        <f t="shared" si="9"/>
        <v>26.53</v>
      </c>
      <c r="P1859" s="32">
        <f t="shared" si="5"/>
        <v>26.53</v>
      </c>
      <c r="Q1859" s="22">
        <v>0.0</v>
      </c>
      <c r="R1859" s="32">
        <f t="shared" si="6"/>
        <v>7.58</v>
      </c>
      <c r="S1859" s="33" t="s">
        <v>29</v>
      </c>
      <c r="T1859" s="33" t="s">
        <v>30</v>
      </c>
      <c r="U1859" s="180" t="s">
        <v>302</v>
      </c>
      <c r="V1859" s="57"/>
      <c r="W1859" s="7"/>
      <c r="X1859" s="7"/>
      <c r="Y1859" s="7"/>
      <c r="Z1859" s="7"/>
      <c r="AA1859" s="7"/>
    </row>
    <row r="1860" ht="18.75" customHeight="1">
      <c r="A1860" s="166" t="s">
        <v>1858</v>
      </c>
      <c r="B1860" s="166" t="s">
        <v>1859</v>
      </c>
      <c r="C1860" s="166" t="s">
        <v>145</v>
      </c>
      <c r="D1860" s="183">
        <v>2717.0</v>
      </c>
      <c r="E1860" s="166" t="s">
        <v>1946</v>
      </c>
      <c r="F1860" s="11" t="s">
        <v>26</v>
      </c>
      <c r="G1860" s="168"/>
      <c r="H1860" s="178">
        <v>603.0</v>
      </c>
      <c r="I1860" s="170">
        <v>5.0</v>
      </c>
      <c r="J1860" s="15" t="s">
        <v>28</v>
      </c>
      <c r="K1860" s="16">
        <v>0.4</v>
      </c>
      <c r="L1860" s="164">
        <f t="shared" si="7"/>
        <v>2</v>
      </c>
      <c r="M1860" s="17">
        <f t="shared" si="2"/>
        <v>3</v>
      </c>
      <c r="N1860" s="18">
        <f t="shared" si="8"/>
        <v>241.2</v>
      </c>
      <c r="O1860" s="18">
        <f t="shared" si="9"/>
        <v>361.8</v>
      </c>
      <c r="P1860" s="18">
        <f t="shared" si="5"/>
        <v>361.8</v>
      </c>
      <c r="Q1860" s="8">
        <v>0.0</v>
      </c>
      <c r="R1860" s="18">
        <f t="shared" si="6"/>
        <v>120.6</v>
      </c>
      <c r="S1860" s="19" t="s">
        <v>29</v>
      </c>
      <c r="T1860" s="19" t="s">
        <v>30</v>
      </c>
      <c r="U1860" s="179" t="s">
        <v>79</v>
      </c>
      <c r="V1860" s="145"/>
      <c r="W1860" s="7"/>
      <c r="X1860" s="7"/>
      <c r="Y1860" s="7"/>
      <c r="Z1860" s="7"/>
      <c r="AA1860" s="7"/>
    </row>
    <row r="1861" ht="18.75" customHeight="1">
      <c r="A1861" s="113" t="s">
        <v>1858</v>
      </c>
      <c r="B1861" s="113" t="s">
        <v>1859</v>
      </c>
      <c r="C1861" s="113" t="s">
        <v>433</v>
      </c>
      <c r="D1861" s="182">
        <v>2724.0</v>
      </c>
      <c r="E1861" s="113" t="s">
        <v>1947</v>
      </c>
      <c r="F1861" s="25" t="s">
        <v>128</v>
      </c>
      <c r="G1861" s="161"/>
      <c r="H1861" s="177">
        <v>1669.0</v>
      </c>
      <c r="I1861" s="163">
        <v>5.0</v>
      </c>
      <c r="J1861" s="29" t="s">
        <v>28</v>
      </c>
      <c r="K1861" s="30">
        <v>0.4</v>
      </c>
      <c r="L1861" s="155">
        <f t="shared" si="7"/>
        <v>2</v>
      </c>
      <c r="M1861" s="31">
        <f t="shared" si="2"/>
        <v>3</v>
      </c>
      <c r="N1861" s="32">
        <f t="shared" si="8"/>
        <v>667.6</v>
      </c>
      <c r="O1861" s="32">
        <f t="shared" si="9"/>
        <v>1001.4</v>
      </c>
      <c r="P1861" s="32">
        <f t="shared" si="5"/>
        <v>1001.4</v>
      </c>
      <c r="Q1861" s="22">
        <v>0.0</v>
      </c>
      <c r="R1861" s="32">
        <f t="shared" si="6"/>
        <v>333.8</v>
      </c>
      <c r="S1861" s="33" t="s">
        <v>29</v>
      </c>
      <c r="T1861" s="33" t="s">
        <v>30</v>
      </c>
      <c r="U1861" s="173" t="s">
        <v>129</v>
      </c>
      <c r="V1861" s="57"/>
      <c r="W1861" s="7"/>
      <c r="X1861" s="7"/>
      <c r="Y1861" s="7"/>
      <c r="Z1861" s="7"/>
      <c r="AA1861" s="7"/>
    </row>
    <row r="1862" ht="18.75" customHeight="1">
      <c r="A1862" s="166" t="s">
        <v>1858</v>
      </c>
      <c r="B1862" s="166" t="s">
        <v>1859</v>
      </c>
      <c r="C1862" s="166" t="s">
        <v>24</v>
      </c>
      <c r="D1862" s="183">
        <v>2772.0</v>
      </c>
      <c r="E1862" s="166" t="s">
        <v>1948</v>
      </c>
      <c r="F1862" s="11" t="s">
        <v>37</v>
      </c>
      <c r="G1862" s="168"/>
      <c r="H1862" s="178">
        <v>531.9</v>
      </c>
      <c r="I1862" s="170">
        <v>10.0</v>
      </c>
      <c r="J1862" s="171" t="s">
        <v>54</v>
      </c>
      <c r="K1862" s="16">
        <v>0.3</v>
      </c>
      <c r="L1862" s="164">
        <f t="shared" si="7"/>
        <v>3</v>
      </c>
      <c r="M1862" s="17">
        <f t="shared" si="2"/>
        <v>7</v>
      </c>
      <c r="N1862" s="18">
        <f t="shared" si="8"/>
        <v>159.57</v>
      </c>
      <c r="O1862" s="18">
        <f t="shared" si="9"/>
        <v>372.33</v>
      </c>
      <c r="P1862" s="18">
        <f t="shared" si="5"/>
        <v>372.33</v>
      </c>
      <c r="Q1862" s="8">
        <v>0.0</v>
      </c>
      <c r="R1862" s="18">
        <f t="shared" si="6"/>
        <v>53.19</v>
      </c>
      <c r="S1862" s="19" t="s">
        <v>29</v>
      </c>
      <c r="T1862" s="19" t="s">
        <v>30</v>
      </c>
      <c r="U1862" s="171" t="s">
        <v>191</v>
      </c>
      <c r="V1862" s="145"/>
      <c r="W1862" s="7"/>
      <c r="X1862" s="7"/>
      <c r="Y1862" s="7"/>
      <c r="Z1862" s="7"/>
      <c r="AA1862" s="7"/>
    </row>
    <row r="1863" ht="18.75" customHeight="1">
      <c r="A1863" s="113" t="s">
        <v>1858</v>
      </c>
      <c r="B1863" s="113" t="s">
        <v>1859</v>
      </c>
      <c r="C1863" s="113" t="s">
        <v>24</v>
      </c>
      <c r="D1863" s="182">
        <v>2773.0</v>
      </c>
      <c r="E1863" s="113" t="s">
        <v>1948</v>
      </c>
      <c r="F1863" s="25" t="s">
        <v>37</v>
      </c>
      <c r="G1863" s="161"/>
      <c r="H1863" s="177">
        <v>531.9</v>
      </c>
      <c r="I1863" s="163">
        <v>10.0</v>
      </c>
      <c r="J1863" s="173" t="s">
        <v>54</v>
      </c>
      <c r="K1863" s="30">
        <v>0.3</v>
      </c>
      <c r="L1863" s="155">
        <f t="shared" si="7"/>
        <v>3</v>
      </c>
      <c r="M1863" s="31">
        <f t="shared" si="2"/>
        <v>7</v>
      </c>
      <c r="N1863" s="32">
        <f t="shared" si="8"/>
        <v>159.57</v>
      </c>
      <c r="O1863" s="32">
        <f t="shared" si="9"/>
        <v>372.33</v>
      </c>
      <c r="P1863" s="32">
        <f t="shared" si="5"/>
        <v>372.33</v>
      </c>
      <c r="Q1863" s="22">
        <v>0.0</v>
      </c>
      <c r="R1863" s="32">
        <f t="shared" si="6"/>
        <v>53.19</v>
      </c>
      <c r="S1863" s="33" t="s">
        <v>29</v>
      </c>
      <c r="T1863" s="33" t="s">
        <v>30</v>
      </c>
      <c r="U1863" s="173" t="s">
        <v>191</v>
      </c>
      <c r="V1863" s="57"/>
      <c r="W1863" s="7"/>
      <c r="X1863" s="7"/>
      <c r="Y1863" s="7"/>
      <c r="Z1863" s="7"/>
      <c r="AA1863" s="7"/>
    </row>
    <row r="1864" ht="18.75" customHeight="1">
      <c r="A1864" s="166" t="s">
        <v>1858</v>
      </c>
      <c r="B1864" s="166" t="s">
        <v>1859</v>
      </c>
      <c r="C1864" s="166" t="s">
        <v>960</v>
      </c>
      <c r="D1864" s="183">
        <v>2812.0</v>
      </c>
      <c r="E1864" s="166" t="s">
        <v>1949</v>
      </c>
      <c r="F1864" s="11" t="s">
        <v>26</v>
      </c>
      <c r="G1864" s="168"/>
      <c r="H1864" s="178">
        <v>1749.0</v>
      </c>
      <c r="I1864" s="170">
        <v>10.0</v>
      </c>
      <c r="J1864" s="15" t="s">
        <v>81</v>
      </c>
      <c r="K1864" s="16">
        <v>0.150000000000003</v>
      </c>
      <c r="L1864" s="164">
        <f t="shared" si="7"/>
        <v>1.5</v>
      </c>
      <c r="M1864" s="17">
        <f t="shared" si="2"/>
        <v>8.5</v>
      </c>
      <c r="N1864" s="18">
        <f t="shared" si="8"/>
        <v>262.35</v>
      </c>
      <c r="O1864" s="18">
        <f t="shared" si="9"/>
        <v>1486.65</v>
      </c>
      <c r="P1864" s="18">
        <f t="shared" si="5"/>
        <v>1486.65</v>
      </c>
      <c r="Q1864" s="8">
        <v>0.0</v>
      </c>
      <c r="R1864" s="18">
        <f t="shared" si="6"/>
        <v>174.9</v>
      </c>
      <c r="S1864" s="19" t="s">
        <v>29</v>
      </c>
      <c r="T1864" s="19" t="s">
        <v>30</v>
      </c>
      <c r="U1864" s="171" t="s">
        <v>255</v>
      </c>
      <c r="V1864" s="145"/>
      <c r="W1864" s="7"/>
      <c r="X1864" s="7"/>
      <c r="Y1864" s="7"/>
      <c r="Z1864" s="7"/>
      <c r="AA1864" s="7"/>
    </row>
    <row r="1865" ht="18.75" customHeight="1">
      <c r="A1865" s="113" t="s">
        <v>1858</v>
      </c>
      <c r="B1865" s="113" t="s">
        <v>1859</v>
      </c>
      <c r="C1865" s="113" t="s">
        <v>230</v>
      </c>
      <c r="D1865" s="182">
        <v>2818.0</v>
      </c>
      <c r="E1865" s="113" t="s">
        <v>1950</v>
      </c>
      <c r="F1865" s="25" t="s">
        <v>26</v>
      </c>
      <c r="G1865" s="161"/>
      <c r="H1865" s="177">
        <v>449.24</v>
      </c>
      <c r="I1865" s="163">
        <v>5.0</v>
      </c>
      <c r="J1865" s="29" t="s">
        <v>81</v>
      </c>
      <c r="K1865" s="30">
        <v>0.150000000000003</v>
      </c>
      <c r="L1865" s="155">
        <f t="shared" si="7"/>
        <v>0.75</v>
      </c>
      <c r="M1865" s="31">
        <f t="shared" si="2"/>
        <v>4.25</v>
      </c>
      <c r="N1865" s="32">
        <f t="shared" si="8"/>
        <v>67.386</v>
      </c>
      <c r="O1865" s="32">
        <f t="shared" si="9"/>
        <v>381.854</v>
      </c>
      <c r="P1865" s="32">
        <f t="shared" si="5"/>
        <v>381.854</v>
      </c>
      <c r="Q1865" s="22">
        <v>0.0</v>
      </c>
      <c r="R1865" s="32">
        <f t="shared" si="6"/>
        <v>89.848</v>
      </c>
      <c r="S1865" s="33" t="s">
        <v>29</v>
      </c>
      <c r="T1865" s="33" t="s">
        <v>30</v>
      </c>
      <c r="U1865" s="180" t="s">
        <v>308</v>
      </c>
      <c r="V1865" s="57"/>
      <c r="W1865" s="7"/>
      <c r="X1865" s="7"/>
      <c r="Y1865" s="7"/>
      <c r="Z1865" s="7"/>
      <c r="AA1865" s="7"/>
    </row>
    <row r="1866" ht="18.75" customHeight="1">
      <c r="A1866" s="166" t="s">
        <v>1858</v>
      </c>
      <c r="B1866" s="166" t="s">
        <v>1859</v>
      </c>
      <c r="C1866" s="166" t="s">
        <v>230</v>
      </c>
      <c r="D1866" s="183">
        <v>2819.0</v>
      </c>
      <c r="E1866" s="166" t="s">
        <v>1950</v>
      </c>
      <c r="F1866" s="11" t="s">
        <v>26</v>
      </c>
      <c r="G1866" s="168"/>
      <c r="H1866" s="178">
        <v>449.24</v>
      </c>
      <c r="I1866" s="170">
        <v>5.0</v>
      </c>
      <c r="J1866" s="15" t="s">
        <v>81</v>
      </c>
      <c r="K1866" s="16">
        <v>0.150000000000003</v>
      </c>
      <c r="L1866" s="164">
        <f t="shared" si="7"/>
        <v>0.75</v>
      </c>
      <c r="M1866" s="17">
        <f t="shared" si="2"/>
        <v>4.25</v>
      </c>
      <c r="N1866" s="18">
        <f t="shared" si="8"/>
        <v>67.386</v>
      </c>
      <c r="O1866" s="18">
        <f t="shared" si="9"/>
        <v>381.854</v>
      </c>
      <c r="P1866" s="18">
        <f t="shared" si="5"/>
        <v>381.854</v>
      </c>
      <c r="Q1866" s="8">
        <v>0.0</v>
      </c>
      <c r="R1866" s="18">
        <f t="shared" si="6"/>
        <v>89.848</v>
      </c>
      <c r="S1866" s="19" t="s">
        <v>29</v>
      </c>
      <c r="T1866" s="19" t="s">
        <v>30</v>
      </c>
      <c r="U1866" s="179" t="s">
        <v>308</v>
      </c>
      <c r="V1866" s="145"/>
      <c r="W1866" s="7"/>
      <c r="X1866" s="7"/>
      <c r="Y1866" s="7"/>
      <c r="Z1866" s="7"/>
      <c r="AA1866" s="7"/>
    </row>
    <row r="1867" ht="18.75" customHeight="1">
      <c r="A1867" s="113" t="s">
        <v>1858</v>
      </c>
      <c r="B1867" s="113" t="s">
        <v>1859</v>
      </c>
      <c r="C1867" s="113" t="s">
        <v>150</v>
      </c>
      <c r="D1867" s="182">
        <v>2827.0</v>
      </c>
      <c r="E1867" s="113" t="s">
        <v>1951</v>
      </c>
      <c r="F1867" s="25" t="s">
        <v>26</v>
      </c>
      <c r="G1867" s="161"/>
      <c r="H1867" s="177">
        <v>7340.0</v>
      </c>
      <c r="I1867" s="163">
        <v>10.0</v>
      </c>
      <c r="J1867" s="29" t="s">
        <v>81</v>
      </c>
      <c r="K1867" s="30">
        <v>0.150000000000003</v>
      </c>
      <c r="L1867" s="155">
        <f t="shared" si="7"/>
        <v>1.5</v>
      </c>
      <c r="M1867" s="31">
        <f t="shared" si="2"/>
        <v>8.5</v>
      </c>
      <c r="N1867" s="32">
        <f t="shared" si="8"/>
        <v>1101</v>
      </c>
      <c r="O1867" s="32">
        <f t="shared" si="9"/>
        <v>6239</v>
      </c>
      <c r="P1867" s="32">
        <f t="shared" si="5"/>
        <v>6239</v>
      </c>
      <c r="Q1867" s="22">
        <v>0.0</v>
      </c>
      <c r="R1867" s="32">
        <f t="shared" si="6"/>
        <v>734</v>
      </c>
      <c r="S1867" s="33" t="s">
        <v>29</v>
      </c>
      <c r="T1867" s="33" t="s">
        <v>30</v>
      </c>
      <c r="U1867" s="180" t="s">
        <v>312</v>
      </c>
      <c r="V1867" s="57"/>
      <c r="W1867" s="7"/>
      <c r="X1867" s="7"/>
      <c r="Y1867" s="7"/>
      <c r="Z1867" s="7"/>
      <c r="AA1867" s="7"/>
    </row>
    <row r="1868" ht="18.75" customHeight="1">
      <c r="A1868" s="166" t="s">
        <v>1952</v>
      </c>
      <c r="B1868" s="166" t="s">
        <v>1028</v>
      </c>
      <c r="C1868" s="160" t="s">
        <v>1953</v>
      </c>
      <c r="D1868" s="167">
        <v>5.0</v>
      </c>
      <c r="E1868" s="160" t="s">
        <v>1171</v>
      </c>
      <c r="F1868" s="11" t="s">
        <v>37</v>
      </c>
      <c r="G1868" s="168"/>
      <c r="H1868" s="178">
        <v>3624.8</v>
      </c>
      <c r="I1868" s="170">
        <v>10.0</v>
      </c>
      <c r="J1868" s="15" t="s">
        <v>38</v>
      </c>
      <c r="K1868" s="16">
        <v>0.5</v>
      </c>
      <c r="L1868" s="164">
        <f t="shared" si="7"/>
        <v>5</v>
      </c>
      <c r="M1868" s="17">
        <f t="shared" si="2"/>
        <v>5</v>
      </c>
      <c r="N1868" s="18">
        <f t="shared" si="8"/>
        <v>1812.4</v>
      </c>
      <c r="O1868" s="18">
        <f t="shared" si="9"/>
        <v>1812.4</v>
      </c>
      <c r="P1868" s="18">
        <f t="shared" si="5"/>
        <v>1812.4</v>
      </c>
      <c r="Q1868" s="8">
        <v>0.0</v>
      </c>
      <c r="R1868" s="18">
        <f t="shared" si="6"/>
        <v>362.48</v>
      </c>
      <c r="S1868" s="19" t="s">
        <v>29</v>
      </c>
      <c r="T1868" s="19" t="s">
        <v>30</v>
      </c>
      <c r="U1868" s="179" t="s">
        <v>304</v>
      </c>
      <c r="V1868" s="145"/>
      <c r="W1868" s="7"/>
      <c r="X1868" s="7"/>
      <c r="Y1868" s="7"/>
      <c r="Z1868" s="7"/>
      <c r="AA1868" s="7"/>
    </row>
    <row r="1869" ht="18.75" customHeight="1">
      <c r="A1869" s="113" t="s">
        <v>1952</v>
      </c>
      <c r="B1869" s="113" t="s">
        <v>1028</v>
      </c>
      <c r="C1869" s="157" t="s">
        <v>1954</v>
      </c>
      <c r="D1869" s="159">
        <v>17.0</v>
      </c>
      <c r="E1869" s="157" t="s">
        <v>1955</v>
      </c>
      <c r="F1869" s="25" t="s">
        <v>37</v>
      </c>
      <c r="G1869" s="161"/>
      <c r="H1869" s="177">
        <v>1300.12</v>
      </c>
      <c r="I1869" s="163">
        <v>15.0</v>
      </c>
      <c r="J1869" s="29" t="s">
        <v>38</v>
      </c>
      <c r="K1869" s="30">
        <v>0.5</v>
      </c>
      <c r="L1869" s="155">
        <f t="shared" si="7"/>
        <v>7.5</v>
      </c>
      <c r="M1869" s="31">
        <f t="shared" si="2"/>
        <v>7.5</v>
      </c>
      <c r="N1869" s="32">
        <f t="shared" si="8"/>
        <v>650.06</v>
      </c>
      <c r="O1869" s="32">
        <f t="shared" si="9"/>
        <v>650.06</v>
      </c>
      <c r="P1869" s="32">
        <f t="shared" si="5"/>
        <v>650.06</v>
      </c>
      <c r="Q1869" s="22">
        <v>0.0</v>
      </c>
      <c r="R1869" s="32">
        <f t="shared" si="6"/>
        <v>86.67466667</v>
      </c>
      <c r="S1869" s="33" t="s">
        <v>29</v>
      </c>
      <c r="T1869" s="33" t="s">
        <v>30</v>
      </c>
      <c r="U1869" s="180" t="s">
        <v>229</v>
      </c>
      <c r="V1869" s="57"/>
      <c r="W1869" s="7"/>
      <c r="X1869" s="7"/>
      <c r="Y1869" s="7"/>
      <c r="Z1869" s="7"/>
      <c r="AA1869" s="7"/>
    </row>
    <row r="1870" ht="18.75" customHeight="1">
      <c r="A1870" s="166" t="s">
        <v>1952</v>
      </c>
      <c r="B1870" s="166" t="s">
        <v>1028</v>
      </c>
      <c r="C1870" s="160" t="s">
        <v>1953</v>
      </c>
      <c r="D1870" s="167">
        <v>26.0</v>
      </c>
      <c r="E1870" s="160" t="s">
        <v>1171</v>
      </c>
      <c r="F1870" s="11" t="s">
        <v>37</v>
      </c>
      <c r="G1870" s="168"/>
      <c r="H1870" s="178">
        <v>3624.8</v>
      </c>
      <c r="I1870" s="170">
        <v>10.0</v>
      </c>
      <c r="J1870" s="15" t="s">
        <v>38</v>
      </c>
      <c r="K1870" s="16">
        <v>0.5</v>
      </c>
      <c r="L1870" s="164">
        <f t="shared" si="7"/>
        <v>5</v>
      </c>
      <c r="M1870" s="17">
        <f t="shared" si="2"/>
        <v>5</v>
      </c>
      <c r="N1870" s="18">
        <f t="shared" si="8"/>
        <v>1812.4</v>
      </c>
      <c r="O1870" s="18">
        <f t="shared" si="9"/>
        <v>1812.4</v>
      </c>
      <c r="P1870" s="18">
        <f t="shared" si="5"/>
        <v>1812.4</v>
      </c>
      <c r="Q1870" s="8">
        <v>0.0</v>
      </c>
      <c r="R1870" s="18">
        <f t="shared" si="6"/>
        <v>362.48</v>
      </c>
      <c r="S1870" s="19" t="s">
        <v>29</v>
      </c>
      <c r="T1870" s="19" t="s">
        <v>30</v>
      </c>
      <c r="U1870" s="179" t="s">
        <v>304</v>
      </c>
      <c r="V1870" s="145"/>
      <c r="W1870" s="7"/>
      <c r="X1870" s="7"/>
      <c r="Y1870" s="7"/>
      <c r="Z1870" s="7"/>
      <c r="AA1870" s="7"/>
    </row>
    <row r="1871" ht="18.75" customHeight="1">
      <c r="A1871" s="113" t="s">
        <v>1952</v>
      </c>
      <c r="B1871" s="113" t="s">
        <v>1028</v>
      </c>
      <c r="C1871" s="157" t="s">
        <v>626</v>
      </c>
      <c r="D1871" s="159">
        <v>77.0</v>
      </c>
      <c r="E1871" s="157" t="s">
        <v>1956</v>
      </c>
      <c r="F1871" s="25" t="s">
        <v>37</v>
      </c>
      <c r="G1871" s="161"/>
      <c r="H1871" s="177">
        <v>1300.12</v>
      </c>
      <c r="I1871" s="163">
        <v>15.0</v>
      </c>
      <c r="J1871" s="45" t="s">
        <v>63</v>
      </c>
      <c r="K1871" s="30">
        <v>0.700000000000008</v>
      </c>
      <c r="L1871" s="155">
        <f t="shared" si="7"/>
        <v>10.5</v>
      </c>
      <c r="M1871" s="31">
        <f t="shared" si="2"/>
        <v>4.5</v>
      </c>
      <c r="N1871" s="32">
        <f t="shared" si="8"/>
        <v>910.084</v>
      </c>
      <c r="O1871" s="32">
        <f t="shared" si="9"/>
        <v>390.036</v>
      </c>
      <c r="P1871" s="32">
        <f t="shared" si="5"/>
        <v>390.036</v>
      </c>
      <c r="Q1871" s="22">
        <v>0.0</v>
      </c>
      <c r="R1871" s="32">
        <f t="shared" si="6"/>
        <v>86.67466667</v>
      </c>
      <c r="S1871" s="33" t="s">
        <v>29</v>
      </c>
      <c r="T1871" s="33" t="s">
        <v>30</v>
      </c>
      <c r="U1871" s="180" t="s">
        <v>459</v>
      </c>
      <c r="V1871" s="57"/>
      <c r="W1871" s="7"/>
      <c r="X1871" s="7"/>
      <c r="Y1871" s="7"/>
      <c r="Z1871" s="7"/>
      <c r="AA1871" s="7"/>
    </row>
    <row r="1872" ht="18.75" customHeight="1">
      <c r="A1872" s="166" t="s">
        <v>1952</v>
      </c>
      <c r="B1872" s="166" t="s">
        <v>1028</v>
      </c>
      <c r="C1872" s="160" t="s">
        <v>1953</v>
      </c>
      <c r="D1872" s="167">
        <v>114.0</v>
      </c>
      <c r="E1872" s="160" t="s">
        <v>1171</v>
      </c>
      <c r="F1872" s="11" t="s">
        <v>37</v>
      </c>
      <c r="G1872" s="168"/>
      <c r="H1872" s="178">
        <v>3624.8</v>
      </c>
      <c r="I1872" s="170">
        <v>10.0</v>
      </c>
      <c r="J1872" s="15" t="s">
        <v>38</v>
      </c>
      <c r="K1872" s="16">
        <v>0.5</v>
      </c>
      <c r="L1872" s="164">
        <f t="shared" si="7"/>
        <v>5</v>
      </c>
      <c r="M1872" s="17">
        <f t="shared" si="2"/>
        <v>5</v>
      </c>
      <c r="N1872" s="18">
        <f t="shared" si="8"/>
        <v>1812.4</v>
      </c>
      <c r="O1872" s="18">
        <f t="shared" si="9"/>
        <v>1812.4</v>
      </c>
      <c r="P1872" s="18">
        <f t="shared" si="5"/>
        <v>1812.4</v>
      </c>
      <c r="Q1872" s="8">
        <v>0.0</v>
      </c>
      <c r="R1872" s="18">
        <f t="shared" si="6"/>
        <v>362.48</v>
      </c>
      <c r="S1872" s="19" t="s">
        <v>29</v>
      </c>
      <c r="T1872" s="19" t="s">
        <v>30</v>
      </c>
      <c r="U1872" s="179" t="s">
        <v>304</v>
      </c>
      <c r="V1872" s="145"/>
      <c r="W1872" s="7"/>
      <c r="X1872" s="7"/>
      <c r="Y1872" s="7"/>
      <c r="Z1872" s="7"/>
      <c r="AA1872" s="7"/>
    </row>
    <row r="1873" ht="18.75" customHeight="1">
      <c r="A1873" s="113" t="s">
        <v>1952</v>
      </c>
      <c r="B1873" s="113" t="s">
        <v>1028</v>
      </c>
      <c r="C1873" s="157" t="s">
        <v>1953</v>
      </c>
      <c r="D1873" s="159">
        <v>171.0</v>
      </c>
      <c r="E1873" s="157" t="s">
        <v>1171</v>
      </c>
      <c r="F1873" s="25" t="s">
        <v>37</v>
      </c>
      <c r="G1873" s="161"/>
      <c r="H1873" s="177">
        <v>3624.8</v>
      </c>
      <c r="I1873" s="163">
        <v>10.0</v>
      </c>
      <c r="J1873" s="29" t="s">
        <v>38</v>
      </c>
      <c r="K1873" s="30">
        <v>0.5</v>
      </c>
      <c r="L1873" s="155">
        <f t="shared" si="7"/>
        <v>5</v>
      </c>
      <c r="M1873" s="31">
        <f t="shared" si="2"/>
        <v>5</v>
      </c>
      <c r="N1873" s="32">
        <f t="shared" si="8"/>
        <v>1812.4</v>
      </c>
      <c r="O1873" s="32">
        <f t="shared" si="9"/>
        <v>1812.4</v>
      </c>
      <c r="P1873" s="32">
        <f t="shared" si="5"/>
        <v>1812.4</v>
      </c>
      <c r="Q1873" s="22">
        <v>0.0</v>
      </c>
      <c r="R1873" s="32">
        <f t="shared" si="6"/>
        <v>362.48</v>
      </c>
      <c r="S1873" s="33" t="s">
        <v>29</v>
      </c>
      <c r="T1873" s="33" t="s">
        <v>30</v>
      </c>
      <c r="U1873" s="180" t="s">
        <v>304</v>
      </c>
      <c r="V1873" s="57"/>
      <c r="W1873" s="7"/>
      <c r="X1873" s="7"/>
      <c r="Y1873" s="7"/>
      <c r="Z1873" s="7"/>
      <c r="AA1873" s="7"/>
    </row>
    <row r="1874" ht="18.75" customHeight="1">
      <c r="A1874" s="166" t="s">
        <v>1952</v>
      </c>
      <c r="B1874" s="166" t="s">
        <v>1028</v>
      </c>
      <c r="C1874" s="160" t="s">
        <v>1957</v>
      </c>
      <c r="D1874" s="167">
        <v>231.0</v>
      </c>
      <c r="E1874" s="160" t="s">
        <v>1958</v>
      </c>
      <c r="F1874" s="11" t="s">
        <v>37</v>
      </c>
      <c r="G1874" s="168"/>
      <c r="H1874" s="178">
        <v>1300.12</v>
      </c>
      <c r="I1874" s="170">
        <v>15.0</v>
      </c>
      <c r="J1874" s="15" t="s">
        <v>38</v>
      </c>
      <c r="K1874" s="16">
        <v>0.5</v>
      </c>
      <c r="L1874" s="164">
        <f t="shared" si="7"/>
        <v>7.5</v>
      </c>
      <c r="M1874" s="17">
        <f t="shared" si="2"/>
        <v>7.5</v>
      </c>
      <c r="N1874" s="18">
        <f t="shared" si="8"/>
        <v>650.06</v>
      </c>
      <c r="O1874" s="18">
        <f t="shared" si="9"/>
        <v>650.06</v>
      </c>
      <c r="P1874" s="18">
        <f t="shared" si="5"/>
        <v>650.06</v>
      </c>
      <c r="Q1874" s="8">
        <v>0.0</v>
      </c>
      <c r="R1874" s="18">
        <f t="shared" si="6"/>
        <v>86.67466667</v>
      </c>
      <c r="S1874" s="19" t="s">
        <v>29</v>
      </c>
      <c r="T1874" s="19" t="s">
        <v>30</v>
      </c>
      <c r="U1874" s="179" t="s">
        <v>229</v>
      </c>
      <c r="V1874" s="145"/>
      <c r="W1874" s="7"/>
      <c r="X1874" s="7"/>
      <c r="Y1874" s="7"/>
      <c r="Z1874" s="7"/>
      <c r="AA1874" s="7"/>
    </row>
    <row r="1875" ht="18.75" customHeight="1">
      <c r="A1875" s="113" t="s">
        <v>1952</v>
      </c>
      <c r="B1875" s="113" t="s">
        <v>1028</v>
      </c>
      <c r="C1875" s="157" t="s">
        <v>1034</v>
      </c>
      <c r="D1875" s="159">
        <v>266.0</v>
      </c>
      <c r="E1875" s="157" t="s">
        <v>1959</v>
      </c>
      <c r="F1875" s="25" t="s">
        <v>37</v>
      </c>
      <c r="G1875" s="161"/>
      <c r="H1875" s="177">
        <v>3039.85</v>
      </c>
      <c r="I1875" s="163">
        <v>10.0</v>
      </c>
      <c r="J1875" s="29" t="s">
        <v>38</v>
      </c>
      <c r="K1875" s="30">
        <v>0.5</v>
      </c>
      <c r="L1875" s="155">
        <f t="shared" si="7"/>
        <v>5</v>
      </c>
      <c r="M1875" s="31">
        <f t="shared" si="2"/>
        <v>5</v>
      </c>
      <c r="N1875" s="32">
        <f t="shared" si="8"/>
        <v>1519.925</v>
      </c>
      <c r="O1875" s="32">
        <f t="shared" si="9"/>
        <v>1519.925</v>
      </c>
      <c r="P1875" s="32">
        <f t="shared" si="5"/>
        <v>1519.925</v>
      </c>
      <c r="Q1875" s="22">
        <v>0.0</v>
      </c>
      <c r="R1875" s="32">
        <f t="shared" si="6"/>
        <v>303.985</v>
      </c>
      <c r="S1875" s="33" t="s">
        <v>29</v>
      </c>
      <c r="T1875" s="33" t="s">
        <v>30</v>
      </c>
      <c r="U1875" s="173" t="s">
        <v>784</v>
      </c>
      <c r="V1875" s="57"/>
      <c r="W1875" s="7"/>
      <c r="X1875" s="7"/>
      <c r="Y1875" s="7"/>
      <c r="Z1875" s="7"/>
      <c r="AA1875" s="7"/>
    </row>
    <row r="1876" ht="18.75" customHeight="1">
      <c r="A1876" s="166" t="s">
        <v>1952</v>
      </c>
      <c r="B1876" s="166" t="s">
        <v>1028</v>
      </c>
      <c r="C1876" s="160" t="s">
        <v>1034</v>
      </c>
      <c r="D1876" s="167">
        <v>274.0</v>
      </c>
      <c r="E1876" s="160" t="s">
        <v>1960</v>
      </c>
      <c r="F1876" s="11" t="s">
        <v>37</v>
      </c>
      <c r="G1876" s="168"/>
      <c r="H1876" s="178">
        <v>945.0</v>
      </c>
      <c r="I1876" s="170">
        <v>15.0</v>
      </c>
      <c r="J1876" s="15" t="s">
        <v>28</v>
      </c>
      <c r="K1876" s="16">
        <v>0.4</v>
      </c>
      <c r="L1876" s="164">
        <f t="shared" si="7"/>
        <v>6</v>
      </c>
      <c r="M1876" s="17">
        <f t="shared" si="2"/>
        <v>9</v>
      </c>
      <c r="N1876" s="18">
        <f t="shared" si="8"/>
        <v>378</v>
      </c>
      <c r="O1876" s="18">
        <f t="shared" si="9"/>
        <v>567</v>
      </c>
      <c r="P1876" s="18">
        <f t="shared" si="5"/>
        <v>567</v>
      </c>
      <c r="Q1876" s="8">
        <v>0.0</v>
      </c>
      <c r="R1876" s="18">
        <f t="shared" si="6"/>
        <v>63</v>
      </c>
      <c r="S1876" s="19" t="s">
        <v>29</v>
      </c>
      <c r="T1876" s="19" t="s">
        <v>30</v>
      </c>
      <c r="U1876" s="179" t="s">
        <v>205</v>
      </c>
      <c r="V1876" s="145"/>
      <c r="W1876" s="7"/>
      <c r="X1876" s="7"/>
      <c r="Y1876" s="7"/>
      <c r="Z1876" s="7"/>
      <c r="AA1876" s="7"/>
    </row>
    <row r="1877" ht="18.75" customHeight="1">
      <c r="A1877" s="113" t="s">
        <v>1952</v>
      </c>
      <c r="B1877" s="113" t="s">
        <v>1028</v>
      </c>
      <c r="C1877" s="157" t="s">
        <v>1034</v>
      </c>
      <c r="D1877" s="159">
        <v>276.0</v>
      </c>
      <c r="E1877" s="157" t="s">
        <v>675</v>
      </c>
      <c r="F1877" s="25" t="s">
        <v>37</v>
      </c>
      <c r="G1877" s="161"/>
      <c r="H1877" s="177">
        <v>1300.12</v>
      </c>
      <c r="I1877" s="163">
        <v>15.0</v>
      </c>
      <c r="J1877" s="29" t="s">
        <v>28</v>
      </c>
      <c r="K1877" s="30">
        <v>0.4</v>
      </c>
      <c r="L1877" s="155">
        <f t="shared" si="7"/>
        <v>6</v>
      </c>
      <c r="M1877" s="31">
        <f t="shared" si="2"/>
        <v>9</v>
      </c>
      <c r="N1877" s="32">
        <f t="shared" si="8"/>
        <v>520.048</v>
      </c>
      <c r="O1877" s="32">
        <f t="shared" si="9"/>
        <v>780.072</v>
      </c>
      <c r="P1877" s="32">
        <f t="shared" si="5"/>
        <v>780.072</v>
      </c>
      <c r="Q1877" s="22">
        <v>0.0</v>
      </c>
      <c r="R1877" s="32">
        <f t="shared" si="6"/>
        <v>86.67466667</v>
      </c>
      <c r="S1877" s="33" t="s">
        <v>29</v>
      </c>
      <c r="T1877" s="33" t="s">
        <v>30</v>
      </c>
      <c r="U1877" s="180" t="s">
        <v>229</v>
      </c>
      <c r="V1877" s="57"/>
      <c r="W1877" s="7"/>
      <c r="X1877" s="7"/>
      <c r="Y1877" s="7"/>
      <c r="Z1877" s="7"/>
      <c r="AA1877" s="7"/>
    </row>
    <row r="1878" ht="18.75" customHeight="1">
      <c r="A1878" s="166" t="s">
        <v>1952</v>
      </c>
      <c r="B1878" s="166" t="s">
        <v>1028</v>
      </c>
      <c r="C1878" s="160" t="s">
        <v>1034</v>
      </c>
      <c r="D1878" s="167">
        <v>323.0</v>
      </c>
      <c r="E1878" s="160" t="s">
        <v>1961</v>
      </c>
      <c r="F1878" s="11" t="s">
        <v>37</v>
      </c>
      <c r="G1878" s="168"/>
      <c r="H1878" s="178">
        <v>1300.12</v>
      </c>
      <c r="I1878" s="170">
        <v>15.0</v>
      </c>
      <c r="J1878" s="15" t="s">
        <v>28</v>
      </c>
      <c r="K1878" s="16">
        <v>0.4</v>
      </c>
      <c r="L1878" s="164">
        <f t="shared" si="7"/>
        <v>6</v>
      </c>
      <c r="M1878" s="17">
        <f t="shared" si="2"/>
        <v>9</v>
      </c>
      <c r="N1878" s="18">
        <f t="shared" si="8"/>
        <v>520.048</v>
      </c>
      <c r="O1878" s="18">
        <f t="shared" si="9"/>
        <v>780.072</v>
      </c>
      <c r="P1878" s="18">
        <f t="shared" si="5"/>
        <v>780.072</v>
      </c>
      <c r="Q1878" s="8">
        <v>0.0</v>
      </c>
      <c r="R1878" s="18">
        <f t="shared" si="6"/>
        <v>86.67466667</v>
      </c>
      <c r="S1878" s="19" t="s">
        <v>29</v>
      </c>
      <c r="T1878" s="19" t="s">
        <v>30</v>
      </c>
      <c r="U1878" s="179" t="s">
        <v>229</v>
      </c>
      <c r="V1878" s="145"/>
      <c r="W1878" s="7"/>
      <c r="X1878" s="7"/>
      <c r="Y1878" s="7"/>
      <c r="Z1878" s="7"/>
      <c r="AA1878" s="7"/>
    </row>
    <row r="1879" ht="18.75" customHeight="1">
      <c r="A1879" s="113" t="s">
        <v>1952</v>
      </c>
      <c r="B1879" s="113" t="s">
        <v>1028</v>
      </c>
      <c r="C1879" s="157" t="s">
        <v>1034</v>
      </c>
      <c r="D1879" s="159">
        <v>362.0</v>
      </c>
      <c r="E1879" s="157" t="s">
        <v>1962</v>
      </c>
      <c r="F1879" s="25" t="s">
        <v>37</v>
      </c>
      <c r="G1879" s="161"/>
      <c r="H1879" s="177">
        <v>255.7</v>
      </c>
      <c r="I1879" s="163">
        <v>15.0</v>
      </c>
      <c r="J1879" s="29" t="s">
        <v>28</v>
      </c>
      <c r="K1879" s="30">
        <v>0.4</v>
      </c>
      <c r="L1879" s="155">
        <f t="shared" si="7"/>
        <v>6</v>
      </c>
      <c r="M1879" s="31">
        <f t="shared" si="2"/>
        <v>9</v>
      </c>
      <c r="N1879" s="32">
        <f t="shared" si="8"/>
        <v>102.28</v>
      </c>
      <c r="O1879" s="32">
        <f t="shared" si="9"/>
        <v>153.42</v>
      </c>
      <c r="P1879" s="32">
        <f t="shared" si="5"/>
        <v>153.42</v>
      </c>
      <c r="Q1879" s="22">
        <v>0.0</v>
      </c>
      <c r="R1879" s="32">
        <f t="shared" si="6"/>
        <v>17.04666667</v>
      </c>
      <c r="S1879" s="33" t="s">
        <v>29</v>
      </c>
      <c r="T1879" s="33" t="s">
        <v>30</v>
      </c>
      <c r="U1879" s="180" t="s">
        <v>300</v>
      </c>
      <c r="V1879" s="57"/>
      <c r="W1879" s="7"/>
      <c r="X1879" s="7"/>
      <c r="Y1879" s="7"/>
      <c r="Z1879" s="7"/>
      <c r="AA1879" s="7"/>
    </row>
    <row r="1880" ht="18.75" customHeight="1">
      <c r="A1880" s="166" t="s">
        <v>1952</v>
      </c>
      <c r="B1880" s="166" t="s">
        <v>1028</v>
      </c>
      <c r="C1880" s="160" t="s">
        <v>1957</v>
      </c>
      <c r="D1880" s="167">
        <v>706.0</v>
      </c>
      <c r="E1880" s="160" t="s">
        <v>1065</v>
      </c>
      <c r="F1880" s="11" t="s">
        <v>37</v>
      </c>
      <c r="G1880" s="168"/>
      <c r="H1880" s="178">
        <v>945.0</v>
      </c>
      <c r="I1880" s="170">
        <v>15.0</v>
      </c>
      <c r="J1880" s="46" t="s">
        <v>63</v>
      </c>
      <c r="K1880" s="16">
        <v>0.700000000000008</v>
      </c>
      <c r="L1880" s="164">
        <f t="shared" si="7"/>
        <v>10.5</v>
      </c>
      <c r="M1880" s="17">
        <f t="shared" si="2"/>
        <v>4.5</v>
      </c>
      <c r="N1880" s="18">
        <f t="shared" si="8"/>
        <v>661.5</v>
      </c>
      <c r="O1880" s="18">
        <f t="shared" si="9"/>
        <v>283.5</v>
      </c>
      <c r="P1880" s="18">
        <f t="shared" si="5"/>
        <v>283.5</v>
      </c>
      <c r="Q1880" s="8">
        <v>0.0</v>
      </c>
      <c r="R1880" s="18">
        <f t="shared" si="6"/>
        <v>63</v>
      </c>
      <c r="S1880" s="19" t="s">
        <v>29</v>
      </c>
      <c r="T1880" s="19" t="s">
        <v>30</v>
      </c>
      <c r="U1880" s="179" t="s">
        <v>205</v>
      </c>
      <c r="V1880" s="145"/>
      <c r="W1880" s="7"/>
      <c r="X1880" s="7"/>
      <c r="Y1880" s="7"/>
      <c r="Z1880" s="7"/>
      <c r="AA1880" s="7"/>
    </row>
    <row r="1881" ht="18.75" customHeight="1">
      <c r="A1881" s="113" t="s">
        <v>1952</v>
      </c>
      <c r="B1881" s="113" t="s">
        <v>1028</v>
      </c>
      <c r="C1881" s="157" t="s">
        <v>1034</v>
      </c>
      <c r="D1881" s="159">
        <v>1628.0</v>
      </c>
      <c r="E1881" s="157" t="s">
        <v>1963</v>
      </c>
      <c r="F1881" s="25" t="s">
        <v>128</v>
      </c>
      <c r="G1881" s="161"/>
      <c r="H1881" s="177">
        <v>1669.0</v>
      </c>
      <c r="I1881" s="163">
        <v>5.0</v>
      </c>
      <c r="J1881" s="173" t="s">
        <v>54</v>
      </c>
      <c r="K1881" s="30">
        <v>0.3</v>
      </c>
      <c r="L1881" s="155">
        <f t="shared" si="7"/>
        <v>1.5</v>
      </c>
      <c r="M1881" s="31">
        <f t="shared" si="2"/>
        <v>3.5</v>
      </c>
      <c r="N1881" s="32">
        <f t="shared" si="8"/>
        <v>500.7</v>
      </c>
      <c r="O1881" s="32">
        <f t="shared" si="9"/>
        <v>1168.3</v>
      </c>
      <c r="P1881" s="32">
        <f t="shared" si="5"/>
        <v>1168.3</v>
      </c>
      <c r="Q1881" s="22">
        <v>0.0</v>
      </c>
      <c r="R1881" s="32">
        <f t="shared" si="6"/>
        <v>333.8</v>
      </c>
      <c r="S1881" s="33" t="s">
        <v>29</v>
      </c>
      <c r="T1881" s="33" t="s">
        <v>30</v>
      </c>
      <c r="U1881" s="173" t="s">
        <v>129</v>
      </c>
      <c r="V1881" s="57"/>
      <c r="W1881" s="7"/>
      <c r="X1881" s="7"/>
      <c r="Y1881" s="7"/>
      <c r="Z1881" s="7"/>
      <c r="AA1881" s="7"/>
    </row>
    <row r="1882" ht="18.75" customHeight="1">
      <c r="A1882" s="166" t="s">
        <v>1952</v>
      </c>
      <c r="B1882" s="166" t="s">
        <v>1028</v>
      </c>
      <c r="C1882" s="160" t="s">
        <v>626</v>
      </c>
      <c r="D1882" s="167">
        <v>1725.0</v>
      </c>
      <c r="E1882" s="160" t="s">
        <v>1963</v>
      </c>
      <c r="F1882" s="11" t="s">
        <v>128</v>
      </c>
      <c r="G1882" s="168"/>
      <c r="H1882" s="178">
        <v>1669.0</v>
      </c>
      <c r="I1882" s="170">
        <v>5.0</v>
      </c>
      <c r="J1882" s="171" t="s">
        <v>54</v>
      </c>
      <c r="K1882" s="16">
        <v>0.3</v>
      </c>
      <c r="L1882" s="164">
        <f t="shared" si="7"/>
        <v>1.5</v>
      </c>
      <c r="M1882" s="17">
        <f t="shared" si="2"/>
        <v>3.5</v>
      </c>
      <c r="N1882" s="18">
        <f t="shared" si="8"/>
        <v>500.7</v>
      </c>
      <c r="O1882" s="18">
        <f t="shared" si="9"/>
        <v>1168.3</v>
      </c>
      <c r="P1882" s="18">
        <f t="shared" si="5"/>
        <v>1168.3</v>
      </c>
      <c r="Q1882" s="8">
        <v>0.0</v>
      </c>
      <c r="R1882" s="18">
        <f t="shared" si="6"/>
        <v>333.8</v>
      </c>
      <c r="S1882" s="19" t="s">
        <v>29</v>
      </c>
      <c r="T1882" s="19" t="s">
        <v>30</v>
      </c>
      <c r="U1882" s="171" t="s">
        <v>129</v>
      </c>
      <c r="V1882" s="145"/>
      <c r="W1882" s="7"/>
      <c r="X1882" s="7"/>
      <c r="Y1882" s="7"/>
      <c r="Z1882" s="7"/>
      <c r="AA1882" s="7"/>
    </row>
    <row r="1883" ht="18.75" customHeight="1">
      <c r="A1883" s="113" t="s">
        <v>1952</v>
      </c>
      <c r="B1883" s="113" t="s">
        <v>1028</v>
      </c>
      <c r="C1883" s="157" t="s">
        <v>1957</v>
      </c>
      <c r="D1883" s="159">
        <v>1853.0</v>
      </c>
      <c r="E1883" s="157" t="s">
        <v>1963</v>
      </c>
      <c r="F1883" s="25" t="s">
        <v>128</v>
      </c>
      <c r="G1883" s="161"/>
      <c r="H1883" s="177">
        <v>1669.0</v>
      </c>
      <c r="I1883" s="163">
        <v>5.0</v>
      </c>
      <c r="J1883" s="173" t="s">
        <v>54</v>
      </c>
      <c r="K1883" s="30">
        <v>0.3</v>
      </c>
      <c r="L1883" s="155">
        <f t="shared" si="7"/>
        <v>1.5</v>
      </c>
      <c r="M1883" s="31">
        <f t="shared" si="2"/>
        <v>3.5</v>
      </c>
      <c r="N1883" s="32">
        <f t="shared" si="8"/>
        <v>500.7</v>
      </c>
      <c r="O1883" s="32">
        <f t="shared" si="9"/>
        <v>1168.3</v>
      </c>
      <c r="P1883" s="32">
        <f t="shared" si="5"/>
        <v>1168.3</v>
      </c>
      <c r="Q1883" s="22">
        <v>0.0</v>
      </c>
      <c r="R1883" s="32">
        <f t="shared" si="6"/>
        <v>333.8</v>
      </c>
      <c r="S1883" s="33" t="s">
        <v>29</v>
      </c>
      <c r="T1883" s="33" t="s">
        <v>30</v>
      </c>
      <c r="U1883" s="173" t="s">
        <v>129</v>
      </c>
      <c r="V1883" s="57"/>
      <c r="W1883" s="7"/>
      <c r="X1883" s="7"/>
      <c r="Y1883" s="7"/>
      <c r="Z1883" s="7"/>
      <c r="AA1883" s="7"/>
    </row>
    <row r="1884" ht="18.75" customHeight="1">
      <c r="A1884" s="166" t="s">
        <v>1952</v>
      </c>
      <c r="B1884" s="166" t="s">
        <v>1028</v>
      </c>
      <c r="C1884" s="160" t="s">
        <v>1034</v>
      </c>
      <c r="D1884" s="167">
        <v>1884.0</v>
      </c>
      <c r="E1884" s="160" t="s">
        <v>1961</v>
      </c>
      <c r="F1884" s="11" t="s">
        <v>37</v>
      </c>
      <c r="G1884" s="168"/>
      <c r="H1884" s="178">
        <v>1300.12</v>
      </c>
      <c r="I1884" s="170">
        <v>15.0</v>
      </c>
      <c r="J1884" s="15" t="s">
        <v>28</v>
      </c>
      <c r="K1884" s="16">
        <v>0.4</v>
      </c>
      <c r="L1884" s="164">
        <f t="shared" si="7"/>
        <v>6</v>
      </c>
      <c r="M1884" s="17">
        <f t="shared" si="2"/>
        <v>9</v>
      </c>
      <c r="N1884" s="18">
        <f t="shared" si="8"/>
        <v>520.048</v>
      </c>
      <c r="O1884" s="18">
        <f t="shared" si="9"/>
        <v>780.072</v>
      </c>
      <c r="P1884" s="18">
        <f t="shared" si="5"/>
        <v>780.072</v>
      </c>
      <c r="Q1884" s="8">
        <v>0.0</v>
      </c>
      <c r="R1884" s="18">
        <f t="shared" si="6"/>
        <v>86.67466667</v>
      </c>
      <c r="S1884" s="19" t="s">
        <v>29</v>
      </c>
      <c r="T1884" s="19" t="s">
        <v>30</v>
      </c>
      <c r="U1884" s="179" t="s">
        <v>229</v>
      </c>
      <c r="V1884" s="145"/>
      <c r="W1884" s="7"/>
      <c r="X1884" s="7"/>
      <c r="Y1884" s="7"/>
      <c r="Z1884" s="7"/>
      <c r="AA1884" s="7"/>
    </row>
    <row r="1885" ht="18.75" customHeight="1">
      <c r="A1885" s="113" t="s">
        <v>1952</v>
      </c>
      <c r="B1885" s="113" t="s">
        <v>1028</v>
      </c>
      <c r="C1885" s="157" t="s">
        <v>1954</v>
      </c>
      <c r="D1885" s="159">
        <v>1978.0</v>
      </c>
      <c r="E1885" s="157" t="s">
        <v>1964</v>
      </c>
      <c r="F1885" s="25" t="s">
        <v>202</v>
      </c>
      <c r="G1885" s="161"/>
      <c r="H1885" s="177">
        <v>1954.45</v>
      </c>
      <c r="I1885" s="163">
        <v>5.0</v>
      </c>
      <c r="J1885" s="29" t="s">
        <v>38</v>
      </c>
      <c r="K1885" s="30">
        <v>0.5</v>
      </c>
      <c r="L1885" s="155">
        <f t="shared" si="7"/>
        <v>2.5</v>
      </c>
      <c r="M1885" s="31">
        <f t="shared" si="2"/>
        <v>2.5</v>
      </c>
      <c r="N1885" s="32">
        <f t="shared" si="8"/>
        <v>977.225</v>
      </c>
      <c r="O1885" s="32">
        <f t="shared" si="9"/>
        <v>977.225</v>
      </c>
      <c r="P1885" s="32">
        <f t="shared" si="5"/>
        <v>977.225</v>
      </c>
      <c r="Q1885" s="22">
        <v>0.0</v>
      </c>
      <c r="R1885" s="32">
        <f t="shared" si="6"/>
        <v>390.89</v>
      </c>
      <c r="S1885" s="33" t="s">
        <v>29</v>
      </c>
      <c r="T1885" s="33" t="s">
        <v>30</v>
      </c>
      <c r="U1885" s="173" t="s">
        <v>1486</v>
      </c>
      <c r="V1885" s="57"/>
      <c r="W1885" s="7"/>
      <c r="X1885" s="7"/>
      <c r="Y1885" s="7"/>
      <c r="Z1885" s="7"/>
      <c r="AA1885" s="7"/>
    </row>
    <row r="1886" ht="18.75" customHeight="1">
      <c r="A1886" s="166" t="s">
        <v>1952</v>
      </c>
      <c r="B1886" s="166" t="s">
        <v>1028</v>
      </c>
      <c r="C1886" s="160" t="s">
        <v>1965</v>
      </c>
      <c r="D1886" s="167">
        <v>2088.0</v>
      </c>
      <c r="E1886" s="160" t="s">
        <v>1966</v>
      </c>
      <c r="F1886" s="11" t="s">
        <v>26</v>
      </c>
      <c r="G1886" s="168"/>
      <c r="H1886" s="178">
        <v>1178.73</v>
      </c>
      <c r="I1886" s="170">
        <v>10.0</v>
      </c>
      <c r="J1886" s="171" t="s">
        <v>54</v>
      </c>
      <c r="K1886" s="16">
        <v>0.3</v>
      </c>
      <c r="L1886" s="164">
        <f t="shared" si="7"/>
        <v>3</v>
      </c>
      <c r="M1886" s="17">
        <f t="shared" si="2"/>
        <v>7</v>
      </c>
      <c r="N1886" s="18">
        <f t="shared" si="8"/>
        <v>353.619</v>
      </c>
      <c r="O1886" s="18">
        <f t="shared" si="9"/>
        <v>825.111</v>
      </c>
      <c r="P1886" s="18">
        <f t="shared" si="5"/>
        <v>825.111</v>
      </c>
      <c r="Q1886" s="8">
        <v>0.0</v>
      </c>
      <c r="R1886" s="18">
        <f t="shared" si="6"/>
        <v>117.873</v>
      </c>
      <c r="S1886" s="19" t="s">
        <v>29</v>
      </c>
      <c r="T1886" s="19" t="s">
        <v>30</v>
      </c>
      <c r="U1886" s="179" t="s">
        <v>220</v>
      </c>
      <c r="V1886" s="145"/>
      <c r="W1886" s="7"/>
      <c r="X1886" s="7"/>
      <c r="Y1886" s="7"/>
      <c r="Z1886" s="7"/>
      <c r="AA1886" s="7"/>
    </row>
    <row r="1887" ht="18.75" customHeight="1">
      <c r="A1887" s="113" t="s">
        <v>1952</v>
      </c>
      <c r="B1887" s="113" t="s">
        <v>1028</v>
      </c>
      <c r="C1887" s="157" t="s">
        <v>1967</v>
      </c>
      <c r="D1887" s="159">
        <v>2282.0</v>
      </c>
      <c r="E1887" s="157" t="s">
        <v>1968</v>
      </c>
      <c r="F1887" s="25" t="s">
        <v>202</v>
      </c>
      <c r="G1887" s="161"/>
      <c r="H1887" s="177">
        <v>205.0</v>
      </c>
      <c r="I1887" s="163">
        <v>5.0</v>
      </c>
      <c r="J1887" s="29" t="s">
        <v>38</v>
      </c>
      <c r="K1887" s="30">
        <v>0.5</v>
      </c>
      <c r="L1887" s="155">
        <f t="shared" si="7"/>
        <v>2.5</v>
      </c>
      <c r="M1887" s="31">
        <f t="shared" si="2"/>
        <v>2.5</v>
      </c>
      <c r="N1887" s="32">
        <f t="shared" si="8"/>
        <v>102.5</v>
      </c>
      <c r="O1887" s="32">
        <f t="shared" si="9"/>
        <v>102.5</v>
      </c>
      <c r="P1887" s="32">
        <f t="shared" si="5"/>
        <v>102.5</v>
      </c>
      <c r="Q1887" s="22">
        <v>0.0</v>
      </c>
      <c r="R1887" s="32">
        <f t="shared" si="6"/>
        <v>41</v>
      </c>
      <c r="S1887" s="33" t="s">
        <v>29</v>
      </c>
      <c r="T1887" s="33" t="s">
        <v>30</v>
      </c>
      <c r="U1887" s="180" t="s">
        <v>216</v>
      </c>
      <c r="V1887" s="57"/>
      <c r="W1887" s="7"/>
      <c r="X1887" s="7"/>
      <c r="Y1887" s="7"/>
      <c r="Z1887" s="7"/>
      <c r="AA1887" s="7"/>
    </row>
    <row r="1888" ht="18.75" customHeight="1">
      <c r="A1888" s="166" t="s">
        <v>1952</v>
      </c>
      <c r="B1888" s="166" t="s">
        <v>1028</v>
      </c>
      <c r="C1888" s="160" t="s">
        <v>626</v>
      </c>
      <c r="D1888" s="167">
        <v>2283.0</v>
      </c>
      <c r="E1888" s="166" t="s">
        <v>1969</v>
      </c>
      <c r="F1888" s="11" t="s">
        <v>202</v>
      </c>
      <c r="G1888" s="168"/>
      <c r="H1888" s="169">
        <v>1089.0</v>
      </c>
      <c r="I1888" s="170">
        <v>5.0</v>
      </c>
      <c r="J1888" s="15" t="s">
        <v>38</v>
      </c>
      <c r="K1888" s="16">
        <v>0.5</v>
      </c>
      <c r="L1888" s="164">
        <f t="shared" si="7"/>
        <v>2.5</v>
      </c>
      <c r="M1888" s="17">
        <f t="shared" si="2"/>
        <v>2.5</v>
      </c>
      <c r="N1888" s="18">
        <f t="shared" si="8"/>
        <v>544.5</v>
      </c>
      <c r="O1888" s="18">
        <f t="shared" si="9"/>
        <v>544.5</v>
      </c>
      <c r="P1888" s="18">
        <f t="shared" si="5"/>
        <v>544.5</v>
      </c>
      <c r="Q1888" s="8">
        <v>0.0</v>
      </c>
      <c r="R1888" s="18">
        <f t="shared" si="6"/>
        <v>217.8</v>
      </c>
      <c r="S1888" s="19" t="s">
        <v>29</v>
      </c>
      <c r="T1888" s="19" t="s">
        <v>30</v>
      </c>
      <c r="U1888" s="186" t="s">
        <v>1970</v>
      </c>
      <c r="V1888" s="145"/>
      <c r="W1888" s="7"/>
      <c r="X1888" s="7"/>
      <c r="Y1888" s="7"/>
      <c r="Z1888" s="7"/>
      <c r="AA1888" s="7"/>
    </row>
    <row r="1889" ht="18.75" customHeight="1">
      <c r="A1889" s="113" t="s">
        <v>1952</v>
      </c>
      <c r="B1889" s="113" t="s">
        <v>1028</v>
      </c>
      <c r="C1889" s="157" t="s">
        <v>626</v>
      </c>
      <c r="D1889" s="159">
        <v>2371.0</v>
      </c>
      <c r="E1889" s="157" t="s">
        <v>1971</v>
      </c>
      <c r="F1889" s="25" t="s">
        <v>26</v>
      </c>
      <c r="G1889" s="161"/>
      <c r="H1889" s="177">
        <v>576.47</v>
      </c>
      <c r="I1889" s="163">
        <v>5.0</v>
      </c>
      <c r="J1889" s="29" t="s">
        <v>38</v>
      </c>
      <c r="K1889" s="30">
        <v>0.5</v>
      </c>
      <c r="L1889" s="155">
        <f t="shared" si="7"/>
        <v>2.5</v>
      </c>
      <c r="M1889" s="31">
        <f t="shared" si="2"/>
        <v>2.5</v>
      </c>
      <c r="N1889" s="32">
        <f t="shared" si="8"/>
        <v>288.235</v>
      </c>
      <c r="O1889" s="32">
        <f t="shared" si="9"/>
        <v>288.235</v>
      </c>
      <c r="P1889" s="32">
        <f t="shared" si="5"/>
        <v>288.235</v>
      </c>
      <c r="Q1889" s="22">
        <v>0.0</v>
      </c>
      <c r="R1889" s="32">
        <f t="shared" si="6"/>
        <v>115.294</v>
      </c>
      <c r="S1889" s="33" t="s">
        <v>29</v>
      </c>
      <c r="T1889" s="33" t="s">
        <v>30</v>
      </c>
      <c r="U1889" s="180" t="s">
        <v>114</v>
      </c>
      <c r="V1889" s="57"/>
      <c r="W1889" s="7"/>
      <c r="X1889" s="7"/>
      <c r="Y1889" s="7"/>
      <c r="Z1889" s="7"/>
      <c r="AA1889" s="7"/>
    </row>
    <row r="1890" ht="18.75" customHeight="1">
      <c r="A1890" s="166" t="s">
        <v>1952</v>
      </c>
      <c r="B1890" s="166" t="s">
        <v>1028</v>
      </c>
      <c r="C1890" s="160" t="s">
        <v>1972</v>
      </c>
      <c r="D1890" s="167">
        <v>2372.0</v>
      </c>
      <c r="E1890" s="160" t="s">
        <v>1971</v>
      </c>
      <c r="F1890" s="11" t="s">
        <v>26</v>
      </c>
      <c r="G1890" s="168"/>
      <c r="H1890" s="178">
        <v>576.47</v>
      </c>
      <c r="I1890" s="170">
        <v>5.0</v>
      </c>
      <c r="J1890" s="15" t="s">
        <v>38</v>
      </c>
      <c r="K1890" s="16">
        <v>0.5</v>
      </c>
      <c r="L1890" s="164">
        <f t="shared" si="7"/>
        <v>2.5</v>
      </c>
      <c r="M1890" s="17">
        <f t="shared" si="2"/>
        <v>2.5</v>
      </c>
      <c r="N1890" s="18">
        <f t="shared" si="8"/>
        <v>288.235</v>
      </c>
      <c r="O1890" s="18">
        <f t="shared" si="9"/>
        <v>288.235</v>
      </c>
      <c r="P1890" s="18">
        <f t="shared" si="5"/>
        <v>288.235</v>
      </c>
      <c r="Q1890" s="8">
        <v>0.0</v>
      </c>
      <c r="R1890" s="18">
        <f t="shared" si="6"/>
        <v>115.294</v>
      </c>
      <c r="S1890" s="19" t="s">
        <v>29</v>
      </c>
      <c r="T1890" s="19" t="s">
        <v>30</v>
      </c>
      <c r="U1890" s="179" t="s">
        <v>114</v>
      </c>
      <c r="V1890" s="145"/>
      <c r="W1890" s="7"/>
      <c r="X1890" s="7"/>
      <c r="Y1890" s="7"/>
      <c r="Z1890" s="7"/>
      <c r="AA1890" s="7"/>
    </row>
    <row r="1891" ht="18.75" customHeight="1">
      <c r="A1891" s="113" t="s">
        <v>1952</v>
      </c>
      <c r="B1891" s="113" t="s">
        <v>1028</v>
      </c>
      <c r="C1891" s="157" t="s">
        <v>1034</v>
      </c>
      <c r="D1891" s="159">
        <v>2377.0</v>
      </c>
      <c r="E1891" s="157" t="s">
        <v>1971</v>
      </c>
      <c r="F1891" s="25" t="s">
        <v>26</v>
      </c>
      <c r="G1891" s="161"/>
      <c r="H1891" s="177">
        <v>576.47</v>
      </c>
      <c r="I1891" s="163">
        <v>5.0</v>
      </c>
      <c r="J1891" s="29" t="s">
        <v>38</v>
      </c>
      <c r="K1891" s="30">
        <v>0.5</v>
      </c>
      <c r="L1891" s="155">
        <f t="shared" si="7"/>
        <v>2.5</v>
      </c>
      <c r="M1891" s="31">
        <f t="shared" si="2"/>
        <v>2.5</v>
      </c>
      <c r="N1891" s="32">
        <f t="shared" si="8"/>
        <v>288.235</v>
      </c>
      <c r="O1891" s="32">
        <f t="shared" si="9"/>
        <v>288.235</v>
      </c>
      <c r="P1891" s="32">
        <f t="shared" si="5"/>
        <v>288.235</v>
      </c>
      <c r="Q1891" s="22">
        <v>0.0</v>
      </c>
      <c r="R1891" s="32">
        <f t="shared" si="6"/>
        <v>115.294</v>
      </c>
      <c r="S1891" s="33" t="s">
        <v>29</v>
      </c>
      <c r="T1891" s="33" t="s">
        <v>30</v>
      </c>
      <c r="U1891" s="180" t="s">
        <v>114</v>
      </c>
      <c r="V1891" s="57"/>
      <c r="W1891" s="7"/>
      <c r="X1891" s="7"/>
      <c r="Y1891" s="7"/>
      <c r="Z1891" s="7"/>
      <c r="AA1891" s="7"/>
    </row>
    <row r="1892" ht="18.75" customHeight="1">
      <c r="A1892" s="166" t="s">
        <v>1952</v>
      </c>
      <c r="B1892" s="166" t="s">
        <v>1028</v>
      </c>
      <c r="C1892" s="160" t="s">
        <v>1957</v>
      </c>
      <c r="D1892" s="167">
        <v>2466.0</v>
      </c>
      <c r="E1892" s="160" t="s">
        <v>1973</v>
      </c>
      <c r="F1892" s="11" t="s">
        <v>202</v>
      </c>
      <c r="G1892" s="168"/>
      <c r="H1892" s="178">
        <v>205.0</v>
      </c>
      <c r="I1892" s="170">
        <v>5.0</v>
      </c>
      <c r="J1892" s="15" t="s">
        <v>38</v>
      </c>
      <c r="K1892" s="16">
        <v>0.5</v>
      </c>
      <c r="L1892" s="164">
        <f t="shared" si="7"/>
        <v>2.5</v>
      </c>
      <c r="M1892" s="17">
        <f t="shared" si="2"/>
        <v>2.5</v>
      </c>
      <c r="N1892" s="18">
        <f t="shared" si="8"/>
        <v>102.5</v>
      </c>
      <c r="O1892" s="18">
        <f t="shared" si="9"/>
        <v>102.5</v>
      </c>
      <c r="P1892" s="18">
        <f t="shared" si="5"/>
        <v>102.5</v>
      </c>
      <c r="Q1892" s="8">
        <v>0.0</v>
      </c>
      <c r="R1892" s="18">
        <f t="shared" si="6"/>
        <v>41</v>
      </c>
      <c r="S1892" s="19" t="s">
        <v>29</v>
      </c>
      <c r="T1892" s="19" t="s">
        <v>30</v>
      </c>
      <c r="U1892" s="179" t="s">
        <v>216</v>
      </c>
      <c r="V1892" s="145"/>
      <c r="W1892" s="7"/>
      <c r="X1892" s="7"/>
      <c r="Y1892" s="7"/>
      <c r="Z1892" s="7"/>
      <c r="AA1892" s="7"/>
    </row>
    <row r="1893" ht="18.75" customHeight="1">
      <c r="A1893" s="113" t="s">
        <v>1952</v>
      </c>
      <c r="B1893" s="113" t="s">
        <v>1028</v>
      </c>
      <c r="C1893" s="157" t="s">
        <v>626</v>
      </c>
      <c r="D1893" s="159">
        <v>2484.0</v>
      </c>
      <c r="E1893" s="157" t="s">
        <v>1973</v>
      </c>
      <c r="F1893" s="25" t="s">
        <v>202</v>
      </c>
      <c r="G1893" s="161"/>
      <c r="H1893" s="177">
        <v>205.0</v>
      </c>
      <c r="I1893" s="163">
        <v>5.0</v>
      </c>
      <c r="J1893" s="29" t="s">
        <v>38</v>
      </c>
      <c r="K1893" s="30">
        <v>0.5</v>
      </c>
      <c r="L1893" s="155">
        <f t="shared" si="7"/>
        <v>2.5</v>
      </c>
      <c r="M1893" s="31">
        <f t="shared" si="2"/>
        <v>2.5</v>
      </c>
      <c r="N1893" s="32">
        <f t="shared" si="8"/>
        <v>102.5</v>
      </c>
      <c r="O1893" s="32">
        <f t="shared" si="9"/>
        <v>102.5</v>
      </c>
      <c r="P1893" s="32">
        <f t="shared" si="5"/>
        <v>102.5</v>
      </c>
      <c r="Q1893" s="22">
        <v>0.0</v>
      </c>
      <c r="R1893" s="32">
        <f t="shared" si="6"/>
        <v>41</v>
      </c>
      <c r="S1893" s="33" t="s">
        <v>29</v>
      </c>
      <c r="T1893" s="33" t="s">
        <v>30</v>
      </c>
      <c r="U1893" s="180" t="s">
        <v>216</v>
      </c>
      <c r="V1893" s="57"/>
      <c r="W1893" s="7"/>
      <c r="X1893" s="7"/>
      <c r="Y1893" s="7"/>
      <c r="Z1893" s="7"/>
      <c r="AA1893" s="7"/>
    </row>
    <row r="1894" ht="18.75" customHeight="1">
      <c r="A1894" s="166" t="s">
        <v>1952</v>
      </c>
      <c r="B1894" s="166" t="s">
        <v>1028</v>
      </c>
      <c r="C1894" s="160" t="s">
        <v>1957</v>
      </c>
      <c r="D1894" s="167">
        <v>2492.0</v>
      </c>
      <c r="E1894" s="160" t="s">
        <v>1973</v>
      </c>
      <c r="F1894" s="11" t="s">
        <v>202</v>
      </c>
      <c r="G1894" s="168"/>
      <c r="H1894" s="178">
        <v>205.0</v>
      </c>
      <c r="I1894" s="170">
        <v>5.0</v>
      </c>
      <c r="J1894" s="15" t="s">
        <v>38</v>
      </c>
      <c r="K1894" s="16">
        <v>0.5</v>
      </c>
      <c r="L1894" s="164">
        <f t="shared" si="7"/>
        <v>2.5</v>
      </c>
      <c r="M1894" s="17">
        <f t="shared" si="2"/>
        <v>2.5</v>
      </c>
      <c r="N1894" s="18">
        <f t="shared" si="8"/>
        <v>102.5</v>
      </c>
      <c r="O1894" s="18">
        <f t="shared" si="9"/>
        <v>102.5</v>
      </c>
      <c r="P1894" s="18">
        <f t="shared" si="5"/>
        <v>102.5</v>
      </c>
      <c r="Q1894" s="8">
        <v>0.0</v>
      </c>
      <c r="R1894" s="18">
        <f t="shared" si="6"/>
        <v>41</v>
      </c>
      <c r="S1894" s="19" t="s">
        <v>29</v>
      </c>
      <c r="T1894" s="19" t="s">
        <v>30</v>
      </c>
      <c r="U1894" s="179" t="s">
        <v>216</v>
      </c>
      <c r="V1894" s="145"/>
      <c r="W1894" s="7"/>
      <c r="X1894" s="7"/>
      <c r="Y1894" s="7"/>
      <c r="Z1894" s="7"/>
      <c r="AA1894" s="7"/>
    </row>
    <row r="1895" ht="18.75" customHeight="1">
      <c r="A1895" s="113" t="s">
        <v>1952</v>
      </c>
      <c r="B1895" s="113" t="s">
        <v>1028</v>
      </c>
      <c r="C1895" s="157" t="s">
        <v>1965</v>
      </c>
      <c r="D1895" s="159">
        <v>2498.0</v>
      </c>
      <c r="E1895" s="157" t="s">
        <v>1963</v>
      </c>
      <c r="F1895" s="25" t="s">
        <v>128</v>
      </c>
      <c r="G1895" s="161"/>
      <c r="H1895" s="177">
        <v>1669.0</v>
      </c>
      <c r="I1895" s="163">
        <v>5.0</v>
      </c>
      <c r="J1895" s="173" t="s">
        <v>54</v>
      </c>
      <c r="K1895" s="30">
        <v>0.3</v>
      </c>
      <c r="L1895" s="155">
        <f t="shared" si="7"/>
        <v>1.5</v>
      </c>
      <c r="M1895" s="31">
        <f t="shared" si="2"/>
        <v>3.5</v>
      </c>
      <c r="N1895" s="32">
        <f t="shared" si="8"/>
        <v>500.7</v>
      </c>
      <c r="O1895" s="32">
        <f t="shared" si="9"/>
        <v>1168.3</v>
      </c>
      <c r="P1895" s="32">
        <f t="shared" si="5"/>
        <v>1168.3</v>
      </c>
      <c r="Q1895" s="22">
        <v>0.0</v>
      </c>
      <c r="R1895" s="32">
        <f t="shared" si="6"/>
        <v>333.8</v>
      </c>
      <c r="S1895" s="33" t="s">
        <v>29</v>
      </c>
      <c r="T1895" s="33" t="s">
        <v>30</v>
      </c>
      <c r="U1895" s="173" t="s">
        <v>129</v>
      </c>
      <c r="V1895" s="57"/>
      <c r="W1895" s="7"/>
      <c r="X1895" s="7"/>
      <c r="Y1895" s="7"/>
      <c r="Z1895" s="7"/>
      <c r="AA1895" s="7"/>
    </row>
    <row r="1896" ht="18.75" customHeight="1">
      <c r="A1896" s="166" t="s">
        <v>1952</v>
      </c>
      <c r="B1896" s="166" t="s">
        <v>1028</v>
      </c>
      <c r="C1896" s="160" t="s">
        <v>1957</v>
      </c>
      <c r="D1896" s="167">
        <v>2744.0</v>
      </c>
      <c r="E1896" s="160" t="s">
        <v>1974</v>
      </c>
      <c r="F1896" s="11" t="s">
        <v>26</v>
      </c>
      <c r="G1896" s="168"/>
      <c r="H1896" s="178">
        <v>1178.73</v>
      </c>
      <c r="I1896" s="170">
        <v>10.0</v>
      </c>
      <c r="J1896" s="171" t="s">
        <v>54</v>
      </c>
      <c r="K1896" s="16">
        <v>0.3</v>
      </c>
      <c r="L1896" s="164">
        <f t="shared" si="7"/>
        <v>3</v>
      </c>
      <c r="M1896" s="17">
        <f t="shared" si="2"/>
        <v>7</v>
      </c>
      <c r="N1896" s="18">
        <f t="shared" si="8"/>
        <v>353.619</v>
      </c>
      <c r="O1896" s="18">
        <f t="shared" si="9"/>
        <v>825.111</v>
      </c>
      <c r="P1896" s="18">
        <f t="shared" si="5"/>
        <v>825.111</v>
      </c>
      <c r="Q1896" s="8">
        <v>0.0</v>
      </c>
      <c r="R1896" s="18">
        <f t="shared" si="6"/>
        <v>117.873</v>
      </c>
      <c r="S1896" s="19" t="s">
        <v>29</v>
      </c>
      <c r="T1896" s="19" t="s">
        <v>30</v>
      </c>
      <c r="U1896" s="179" t="s">
        <v>220</v>
      </c>
      <c r="V1896" s="145"/>
      <c r="W1896" s="7"/>
      <c r="X1896" s="7"/>
      <c r="Y1896" s="7"/>
      <c r="Z1896" s="7"/>
      <c r="AA1896" s="7"/>
    </row>
    <row r="1897" ht="18.75" customHeight="1">
      <c r="A1897" s="113" t="s">
        <v>1952</v>
      </c>
      <c r="B1897" s="113" t="s">
        <v>1028</v>
      </c>
      <c r="C1897" s="157" t="s">
        <v>1119</v>
      </c>
      <c r="D1897" s="159">
        <v>2745.0</v>
      </c>
      <c r="E1897" s="157" t="s">
        <v>1974</v>
      </c>
      <c r="F1897" s="25" t="s">
        <v>26</v>
      </c>
      <c r="G1897" s="161"/>
      <c r="H1897" s="177">
        <v>1178.73</v>
      </c>
      <c r="I1897" s="163">
        <v>10.0</v>
      </c>
      <c r="J1897" s="173" t="s">
        <v>54</v>
      </c>
      <c r="K1897" s="30">
        <v>0.3</v>
      </c>
      <c r="L1897" s="155">
        <f t="shared" si="7"/>
        <v>3</v>
      </c>
      <c r="M1897" s="31">
        <f t="shared" si="2"/>
        <v>7</v>
      </c>
      <c r="N1897" s="32">
        <f t="shared" si="8"/>
        <v>353.619</v>
      </c>
      <c r="O1897" s="32">
        <f t="shared" si="9"/>
        <v>825.111</v>
      </c>
      <c r="P1897" s="32">
        <f t="shared" si="5"/>
        <v>825.111</v>
      </c>
      <c r="Q1897" s="22">
        <v>0.0</v>
      </c>
      <c r="R1897" s="32">
        <f t="shared" si="6"/>
        <v>117.873</v>
      </c>
      <c r="S1897" s="33" t="s">
        <v>29</v>
      </c>
      <c r="T1897" s="33" t="s">
        <v>30</v>
      </c>
      <c r="U1897" s="180" t="s">
        <v>220</v>
      </c>
      <c r="V1897" s="57"/>
      <c r="W1897" s="7"/>
      <c r="X1897" s="7"/>
      <c r="Y1897" s="7"/>
      <c r="Z1897" s="7"/>
      <c r="AA1897" s="7"/>
    </row>
    <row r="1898" ht="18.75" customHeight="1">
      <c r="A1898" s="166" t="s">
        <v>1952</v>
      </c>
      <c r="B1898" s="166" t="s">
        <v>1028</v>
      </c>
      <c r="C1898" s="160" t="s">
        <v>1954</v>
      </c>
      <c r="D1898" s="167">
        <v>2746.0</v>
      </c>
      <c r="E1898" s="160" t="s">
        <v>1966</v>
      </c>
      <c r="F1898" s="11" t="s">
        <v>26</v>
      </c>
      <c r="G1898" s="168"/>
      <c r="H1898" s="178">
        <v>1178.73</v>
      </c>
      <c r="I1898" s="170">
        <v>10.0</v>
      </c>
      <c r="J1898" s="171" t="s">
        <v>54</v>
      </c>
      <c r="K1898" s="16">
        <v>0.3</v>
      </c>
      <c r="L1898" s="164">
        <f t="shared" si="7"/>
        <v>3</v>
      </c>
      <c r="M1898" s="17">
        <f t="shared" si="2"/>
        <v>7</v>
      </c>
      <c r="N1898" s="18">
        <f t="shared" si="8"/>
        <v>353.619</v>
      </c>
      <c r="O1898" s="18">
        <f t="shared" si="9"/>
        <v>825.111</v>
      </c>
      <c r="P1898" s="18">
        <f t="shared" si="5"/>
        <v>825.111</v>
      </c>
      <c r="Q1898" s="8">
        <v>0.0</v>
      </c>
      <c r="R1898" s="18">
        <f t="shared" si="6"/>
        <v>117.873</v>
      </c>
      <c r="S1898" s="19" t="s">
        <v>29</v>
      </c>
      <c r="T1898" s="19" t="s">
        <v>30</v>
      </c>
      <c r="U1898" s="179" t="s">
        <v>220</v>
      </c>
      <c r="V1898" s="145"/>
      <c r="W1898" s="7"/>
      <c r="X1898" s="7"/>
      <c r="Y1898" s="7"/>
      <c r="Z1898" s="7"/>
      <c r="AA1898" s="7"/>
    </row>
    <row r="1899" ht="18.75" customHeight="1">
      <c r="A1899" s="113" t="s">
        <v>1952</v>
      </c>
      <c r="B1899" s="113" t="s">
        <v>1028</v>
      </c>
      <c r="C1899" s="157" t="s">
        <v>626</v>
      </c>
      <c r="D1899" s="159">
        <v>2747.0</v>
      </c>
      <c r="E1899" s="157" t="s">
        <v>1966</v>
      </c>
      <c r="F1899" s="25" t="s">
        <v>26</v>
      </c>
      <c r="G1899" s="161"/>
      <c r="H1899" s="177">
        <v>1178.73</v>
      </c>
      <c r="I1899" s="163">
        <v>10.0</v>
      </c>
      <c r="J1899" s="173" t="s">
        <v>54</v>
      </c>
      <c r="K1899" s="30">
        <v>0.3</v>
      </c>
      <c r="L1899" s="155">
        <f t="shared" si="7"/>
        <v>3</v>
      </c>
      <c r="M1899" s="31">
        <f t="shared" si="2"/>
        <v>7</v>
      </c>
      <c r="N1899" s="32">
        <f t="shared" si="8"/>
        <v>353.619</v>
      </c>
      <c r="O1899" s="32">
        <f t="shared" si="9"/>
        <v>825.111</v>
      </c>
      <c r="P1899" s="32">
        <f t="shared" si="5"/>
        <v>825.111</v>
      </c>
      <c r="Q1899" s="22">
        <v>0.0</v>
      </c>
      <c r="R1899" s="32">
        <f t="shared" si="6"/>
        <v>117.873</v>
      </c>
      <c r="S1899" s="33" t="s">
        <v>29</v>
      </c>
      <c r="T1899" s="33" t="s">
        <v>30</v>
      </c>
      <c r="U1899" s="180" t="s">
        <v>220</v>
      </c>
      <c r="V1899" s="57"/>
      <c r="W1899" s="7"/>
      <c r="X1899" s="7"/>
      <c r="Y1899" s="7"/>
      <c r="Z1899" s="7"/>
      <c r="AA1899" s="7"/>
    </row>
    <row r="1900" ht="18.75" customHeight="1">
      <c r="A1900" s="166" t="s">
        <v>1952</v>
      </c>
      <c r="B1900" s="166" t="s">
        <v>1028</v>
      </c>
      <c r="C1900" s="160" t="s">
        <v>1953</v>
      </c>
      <c r="D1900" s="167">
        <v>2749.0</v>
      </c>
      <c r="E1900" s="160" t="s">
        <v>1966</v>
      </c>
      <c r="F1900" s="11" t="s">
        <v>26</v>
      </c>
      <c r="G1900" s="168"/>
      <c r="H1900" s="178">
        <v>1178.73</v>
      </c>
      <c r="I1900" s="170">
        <v>10.0</v>
      </c>
      <c r="J1900" s="171" t="s">
        <v>54</v>
      </c>
      <c r="K1900" s="16">
        <v>0.3</v>
      </c>
      <c r="L1900" s="164">
        <f t="shared" si="7"/>
        <v>3</v>
      </c>
      <c r="M1900" s="17">
        <f t="shared" si="2"/>
        <v>7</v>
      </c>
      <c r="N1900" s="18">
        <f t="shared" si="8"/>
        <v>353.619</v>
      </c>
      <c r="O1900" s="18">
        <f t="shared" si="9"/>
        <v>825.111</v>
      </c>
      <c r="P1900" s="18">
        <f t="shared" si="5"/>
        <v>825.111</v>
      </c>
      <c r="Q1900" s="8">
        <v>0.0</v>
      </c>
      <c r="R1900" s="18">
        <f t="shared" si="6"/>
        <v>117.873</v>
      </c>
      <c r="S1900" s="19" t="s">
        <v>29</v>
      </c>
      <c r="T1900" s="19" t="s">
        <v>30</v>
      </c>
      <c r="U1900" s="179" t="s">
        <v>220</v>
      </c>
      <c r="V1900" s="145"/>
      <c r="W1900" s="7"/>
      <c r="X1900" s="7"/>
      <c r="Y1900" s="7"/>
      <c r="Z1900" s="7"/>
      <c r="AA1900" s="7"/>
    </row>
    <row r="1901" ht="18.75" customHeight="1">
      <c r="A1901" s="113" t="s">
        <v>1952</v>
      </c>
      <c r="B1901" s="113" t="s">
        <v>1028</v>
      </c>
      <c r="C1901" s="157" t="s">
        <v>1965</v>
      </c>
      <c r="D1901" s="159">
        <v>2750.0</v>
      </c>
      <c r="E1901" s="157" t="s">
        <v>1966</v>
      </c>
      <c r="F1901" s="25" t="s">
        <v>26</v>
      </c>
      <c r="G1901" s="161"/>
      <c r="H1901" s="177">
        <v>1178.73</v>
      </c>
      <c r="I1901" s="163">
        <v>10.0</v>
      </c>
      <c r="J1901" s="173" t="s">
        <v>54</v>
      </c>
      <c r="K1901" s="30">
        <v>0.3</v>
      </c>
      <c r="L1901" s="155">
        <f t="shared" si="7"/>
        <v>3</v>
      </c>
      <c r="M1901" s="31">
        <f t="shared" si="2"/>
        <v>7</v>
      </c>
      <c r="N1901" s="32">
        <f t="shared" si="8"/>
        <v>353.619</v>
      </c>
      <c r="O1901" s="32">
        <f t="shared" si="9"/>
        <v>825.111</v>
      </c>
      <c r="P1901" s="32">
        <f t="shared" si="5"/>
        <v>825.111</v>
      </c>
      <c r="Q1901" s="22">
        <v>0.0</v>
      </c>
      <c r="R1901" s="32">
        <f t="shared" si="6"/>
        <v>117.873</v>
      </c>
      <c r="S1901" s="33" t="s">
        <v>29</v>
      </c>
      <c r="T1901" s="33" t="s">
        <v>30</v>
      </c>
      <c r="U1901" s="180" t="s">
        <v>220</v>
      </c>
      <c r="V1901" s="57"/>
      <c r="W1901" s="7"/>
      <c r="X1901" s="7"/>
      <c r="Y1901" s="7"/>
      <c r="Z1901" s="7"/>
      <c r="AA1901" s="7"/>
    </row>
    <row r="1902" ht="18.75" customHeight="1">
      <c r="A1902" s="166" t="s">
        <v>1952</v>
      </c>
      <c r="B1902" s="166" t="s">
        <v>1028</v>
      </c>
      <c r="C1902" s="160" t="s">
        <v>1954</v>
      </c>
      <c r="D1902" s="167">
        <v>2828.0</v>
      </c>
      <c r="E1902" s="160" t="s">
        <v>1975</v>
      </c>
      <c r="F1902" s="11" t="s">
        <v>37</v>
      </c>
      <c r="G1902" s="168"/>
      <c r="H1902" s="178">
        <v>285.0</v>
      </c>
      <c r="I1902" s="170">
        <v>10.0</v>
      </c>
      <c r="J1902" s="171" t="s">
        <v>54</v>
      </c>
      <c r="K1902" s="16">
        <v>0.3</v>
      </c>
      <c r="L1902" s="164">
        <f t="shared" si="7"/>
        <v>3</v>
      </c>
      <c r="M1902" s="17">
        <f t="shared" si="2"/>
        <v>7</v>
      </c>
      <c r="N1902" s="18">
        <f t="shared" si="8"/>
        <v>85.5</v>
      </c>
      <c r="O1902" s="18">
        <f t="shared" si="9"/>
        <v>199.5</v>
      </c>
      <c r="P1902" s="18">
        <f t="shared" si="5"/>
        <v>199.5</v>
      </c>
      <c r="Q1902" s="8">
        <v>0.0</v>
      </c>
      <c r="R1902" s="18">
        <f t="shared" si="6"/>
        <v>28.5</v>
      </c>
      <c r="S1902" s="19" t="s">
        <v>29</v>
      </c>
      <c r="T1902" s="19" t="s">
        <v>30</v>
      </c>
      <c r="U1902" s="171" t="s">
        <v>527</v>
      </c>
      <c r="V1902" s="145"/>
      <c r="W1902" s="7"/>
      <c r="X1902" s="7"/>
      <c r="Y1902" s="7"/>
      <c r="Z1902" s="7"/>
      <c r="AA1902" s="7"/>
    </row>
    <row r="1903" ht="18.75" customHeight="1">
      <c r="A1903" s="113" t="s">
        <v>1952</v>
      </c>
      <c r="B1903" s="113" t="s">
        <v>1028</v>
      </c>
      <c r="C1903" s="157" t="s">
        <v>1967</v>
      </c>
      <c r="D1903" s="159">
        <v>2899.0</v>
      </c>
      <c r="E1903" s="157" t="s">
        <v>1976</v>
      </c>
      <c r="F1903" s="25" t="s">
        <v>202</v>
      </c>
      <c r="G1903" s="161"/>
      <c r="H1903" s="177">
        <v>205.0</v>
      </c>
      <c r="I1903" s="163">
        <v>5.0</v>
      </c>
      <c r="J1903" s="29" t="s">
        <v>28</v>
      </c>
      <c r="K1903" s="30">
        <v>0.4</v>
      </c>
      <c r="L1903" s="155">
        <f t="shared" si="7"/>
        <v>2</v>
      </c>
      <c r="M1903" s="31">
        <f t="shared" si="2"/>
        <v>3</v>
      </c>
      <c r="N1903" s="32">
        <f t="shared" si="8"/>
        <v>82</v>
      </c>
      <c r="O1903" s="32">
        <f t="shared" si="9"/>
        <v>123</v>
      </c>
      <c r="P1903" s="32">
        <f t="shared" si="5"/>
        <v>123</v>
      </c>
      <c r="Q1903" s="22">
        <v>0.0</v>
      </c>
      <c r="R1903" s="32">
        <f t="shared" si="6"/>
        <v>41</v>
      </c>
      <c r="S1903" s="33" t="s">
        <v>29</v>
      </c>
      <c r="T1903" s="33" t="s">
        <v>30</v>
      </c>
      <c r="U1903" s="180" t="s">
        <v>216</v>
      </c>
      <c r="V1903" s="57"/>
      <c r="W1903" s="7"/>
      <c r="X1903" s="7"/>
      <c r="Y1903" s="7"/>
      <c r="Z1903" s="7"/>
      <c r="AA1903" s="7"/>
    </row>
    <row r="1904" ht="18.75" customHeight="1">
      <c r="A1904" s="166" t="s">
        <v>1952</v>
      </c>
      <c r="B1904" s="166" t="s">
        <v>1028</v>
      </c>
      <c r="C1904" s="160" t="s">
        <v>1953</v>
      </c>
      <c r="D1904" s="167">
        <v>2915.0</v>
      </c>
      <c r="E1904" s="160" t="s">
        <v>1977</v>
      </c>
      <c r="F1904" s="11" t="s">
        <v>202</v>
      </c>
      <c r="G1904" s="168"/>
      <c r="H1904" s="178">
        <v>205.0</v>
      </c>
      <c r="I1904" s="170">
        <v>5.0</v>
      </c>
      <c r="J1904" s="15" t="s">
        <v>28</v>
      </c>
      <c r="K1904" s="16">
        <v>0.4</v>
      </c>
      <c r="L1904" s="164">
        <f t="shared" si="7"/>
        <v>2</v>
      </c>
      <c r="M1904" s="17">
        <f t="shared" si="2"/>
        <v>3</v>
      </c>
      <c r="N1904" s="18">
        <f t="shared" si="8"/>
        <v>82</v>
      </c>
      <c r="O1904" s="18">
        <f t="shared" si="9"/>
        <v>123</v>
      </c>
      <c r="P1904" s="18">
        <f t="shared" si="5"/>
        <v>123</v>
      </c>
      <c r="Q1904" s="8">
        <v>0.0</v>
      </c>
      <c r="R1904" s="18">
        <f t="shared" si="6"/>
        <v>41</v>
      </c>
      <c r="S1904" s="19" t="s">
        <v>29</v>
      </c>
      <c r="T1904" s="19" t="s">
        <v>30</v>
      </c>
      <c r="U1904" s="179" t="s">
        <v>216</v>
      </c>
      <c r="V1904" s="145"/>
      <c r="W1904" s="7"/>
      <c r="X1904" s="7"/>
      <c r="Y1904" s="7"/>
      <c r="Z1904" s="7"/>
      <c r="AA1904" s="7"/>
    </row>
    <row r="1905" ht="18.75" customHeight="1">
      <c r="A1905" s="113" t="s">
        <v>1952</v>
      </c>
      <c r="B1905" s="113" t="s">
        <v>1028</v>
      </c>
      <c r="C1905" s="157" t="s">
        <v>1954</v>
      </c>
      <c r="D1905" s="159">
        <v>2919.0</v>
      </c>
      <c r="E1905" s="157" t="s">
        <v>1429</v>
      </c>
      <c r="F1905" s="25" t="s">
        <v>37</v>
      </c>
      <c r="G1905" s="161"/>
      <c r="H1905" s="177">
        <v>492.2</v>
      </c>
      <c r="I1905" s="163">
        <v>10.0</v>
      </c>
      <c r="J1905" s="29" t="s">
        <v>81</v>
      </c>
      <c r="K1905" s="30">
        <v>0.150000000000003</v>
      </c>
      <c r="L1905" s="155">
        <f t="shared" si="7"/>
        <v>1.5</v>
      </c>
      <c r="M1905" s="31">
        <f t="shared" si="2"/>
        <v>8.5</v>
      </c>
      <c r="N1905" s="32">
        <f t="shared" si="8"/>
        <v>73.83</v>
      </c>
      <c r="O1905" s="32">
        <f t="shared" si="9"/>
        <v>418.37</v>
      </c>
      <c r="P1905" s="32">
        <f t="shared" si="5"/>
        <v>418.37</v>
      </c>
      <c r="Q1905" s="22">
        <v>0.0</v>
      </c>
      <c r="R1905" s="32">
        <f t="shared" si="6"/>
        <v>49.22</v>
      </c>
      <c r="S1905" s="33" t="s">
        <v>29</v>
      </c>
      <c r="T1905" s="33" t="s">
        <v>30</v>
      </c>
      <c r="U1905" s="173" t="s">
        <v>787</v>
      </c>
      <c r="V1905" s="57"/>
      <c r="W1905" s="7"/>
      <c r="X1905" s="7"/>
      <c r="Y1905" s="7"/>
      <c r="Z1905" s="7"/>
      <c r="AA1905" s="7"/>
    </row>
    <row r="1906" ht="18.75" customHeight="1">
      <c r="A1906" s="166" t="s">
        <v>1952</v>
      </c>
      <c r="B1906" s="166" t="s">
        <v>1028</v>
      </c>
      <c r="C1906" s="160" t="s">
        <v>1954</v>
      </c>
      <c r="D1906" s="167">
        <v>2920.0</v>
      </c>
      <c r="E1906" s="160" t="s">
        <v>1429</v>
      </c>
      <c r="F1906" s="11" t="s">
        <v>37</v>
      </c>
      <c r="G1906" s="168"/>
      <c r="H1906" s="178">
        <v>492.2</v>
      </c>
      <c r="I1906" s="170">
        <v>10.0</v>
      </c>
      <c r="J1906" s="15" t="s">
        <v>81</v>
      </c>
      <c r="K1906" s="16">
        <v>0.150000000000003</v>
      </c>
      <c r="L1906" s="164">
        <f t="shared" si="7"/>
        <v>1.5</v>
      </c>
      <c r="M1906" s="17">
        <f t="shared" si="2"/>
        <v>8.5</v>
      </c>
      <c r="N1906" s="18">
        <f t="shared" si="8"/>
        <v>73.83</v>
      </c>
      <c r="O1906" s="18">
        <f t="shared" si="9"/>
        <v>418.37</v>
      </c>
      <c r="P1906" s="18">
        <f t="shared" si="5"/>
        <v>418.37</v>
      </c>
      <c r="Q1906" s="8">
        <v>0.0</v>
      </c>
      <c r="R1906" s="18">
        <f t="shared" si="6"/>
        <v>49.22</v>
      </c>
      <c r="S1906" s="19" t="s">
        <v>29</v>
      </c>
      <c r="T1906" s="19" t="s">
        <v>30</v>
      </c>
      <c r="U1906" s="171" t="s">
        <v>787</v>
      </c>
      <c r="V1906" s="145"/>
      <c r="W1906" s="7"/>
      <c r="X1906" s="7"/>
      <c r="Y1906" s="7"/>
      <c r="Z1906" s="7"/>
      <c r="AA1906" s="7"/>
    </row>
    <row r="1907" ht="18.75" customHeight="1">
      <c r="A1907" s="113" t="s">
        <v>1952</v>
      </c>
      <c r="B1907" s="113" t="s">
        <v>1028</v>
      </c>
      <c r="C1907" s="157" t="s">
        <v>1954</v>
      </c>
      <c r="D1907" s="159">
        <v>2921.0</v>
      </c>
      <c r="E1907" s="157" t="s">
        <v>1432</v>
      </c>
      <c r="F1907" s="25" t="s">
        <v>37</v>
      </c>
      <c r="G1907" s="187">
        <v>45532.0</v>
      </c>
      <c r="H1907" s="177">
        <v>6533.63</v>
      </c>
      <c r="I1907" s="163">
        <v>10.0</v>
      </c>
      <c r="J1907" s="29" t="s">
        <v>81</v>
      </c>
      <c r="K1907" s="30">
        <v>0.150000000000003</v>
      </c>
      <c r="L1907" s="155">
        <f t="shared" si="7"/>
        <v>1.5</v>
      </c>
      <c r="M1907" s="31">
        <f t="shared" si="2"/>
        <v>8.5</v>
      </c>
      <c r="N1907" s="32">
        <f t="shared" si="8"/>
        <v>980.0445</v>
      </c>
      <c r="O1907" s="32">
        <f t="shared" si="9"/>
        <v>5553.5855</v>
      </c>
      <c r="P1907" s="32">
        <f t="shared" si="5"/>
        <v>5553.5855</v>
      </c>
      <c r="Q1907" s="22">
        <v>0.0</v>
      </c>
      <c r="R1907" s="32">
        <f t="shared" si="6"/>
        <v>653.363</v>
      </c>
      <c r="S1907" s="33" t="s">
        <v>29</v>
      </c>
      <c r="T1907" s="33" t="s">
        <v>30</v>
      </c>
      <c r="U1907" s="173" t="s">
        <v>674</v>
      </c>
      <c r="V1907" s="57"/>
      <c r="W1907" s="7"/>
      <c r="X1907" s="7"/>
      <c r="Y1907" s="7"/>
      <c r="Z1907" s="7"/>
      <c r="AA1907" s="7"/>
    </row>
    <row r="1908" ht="18.75" customHeight="1">
      <c r="A1908" s="166" t="s">
        <v>1952</v>
      </c>
      <c r="B1908" s="166" t="s">
        <v>1028</v>
      </c>
      <c r="C1908" s="160" t="s">
        <v>1954</v>
      </c>
      <c r="D1908" s="167">
        <v>2922.0</v>
      </c>
      <c r="E1908" s="160" t="s">
        <v>1432</v>
      </c>
      <c r="F1908" s="11" t="s">
        <v>37</v>
      </c>
      <c r="G1908" s="188">
        <v>45532.0</v>
      </c>
      <c r="H1908" s="178">
        <v>6533.63</v>
      </c>
      <c r="I1908" s="170">
        <v>10.0</v>
      </c>
      <c r="J1908" s="15" t="s">
        <v>81</v>
      </c>
      <c r="K1908" s="16">
        <v>0.150000000000003</v>
      </c>
      <c r="L1908" s="164">
        <f t="shared" si="7"/>
        <v>1.5</v>
      </c>
      <c r="M1908" s="17">
        <f t="shared" si="2"/>
        <v>8.5</v>
      </c>
      <c r="N1908" s="18">
        <f t="shared" si="8"/>
        <v>980.0445</v>
      </c>
      <c r="O1908" s="18">
        <f t="shared" si="9"/>
        <v>5553.5855</v>
      </c>
      <c r="P1908" s="18">
        <f t="shared" si="5"/>
        <v>5553.5855</v>
      </c>
      <c r="Q1908" s="8">
        <v>0.0</v>
      </c>
      <c r="R1908" s="18">
        <f t="shared" si="6"/>
        <v>653.363</v>
      </c>
      <c r="S1908" s="19" t="s">
        <v>29</v>
      </c>
      <c r="T1908" s="19" t="s">
        <v>30</v>
      </c>
      <c r="U1908" s="171" t="s">
        <v>674</v>
      </c>
      <c r="V1908" s="145"/>
      <c r="W1908" s="7"/>
      <c r="X1908" s="7"/>
      <c r="Y1908" s="7"/>
      <c r="Z1908" s="7"/>
      <c r="AA1908" s="7"/>
    </row>
    <row r="1909" ht="18.75" customHeight="1">
      <c r="A1909" s="113" t="s">
        <v>1952</v>
      </c>
      <c r="B1909" s="113" t="s">
        <v>1028</v>
      </c>
      <c r="C1909" s="157" t="s">
        <v>1965</v>
      </c>
      <c r="D1909" s="159">
        <v>2941.0</v>
      </c>
      <c r="E1909" s="157" t="s">
        <v>1978</v>
      </c>
      <c r="F1909" s="25" t="s">
        <v>37</v>
      </c>
      <c r="G1909" s="187">
        <v>45532.0</v>
      </c>
      <c r="H1909" s="177">
        <v>2513.9</v>
      </c>
      <c r="I1909" s="170">
        <v>10.0</v>
      </c>
      <c r="J1909" s="29" t="s">
        <v>81</v>
      </c>
      <c r="K1909" s="30">
        <v>0.150000000000003</v>
      </c>
      <c r="L1909" s="155">
        <f t="shared" si="7"/>
        <v>1.5</v>
      </c>
      <c r="M1909" s="31">
        <f t="shared" si="2"/>
        <v>8.5</v>
      </c>
      <c r="N1909" s="32">
        <f t="shared" si="8"/>
        <v>377.085</v>
      </c>
      <c r="O1909" s="32">
        <f t="shared" si="9"/>
        <v>2136.815</v>
      </c>
      <c r="P1909" s="32">
        <f t="shared" si="5"/>
        <v>2136.815</v>
      </c>
      <c r="Q1909" s="22">
        <v>0.0</v>
      </c>
      <c r="R1909" s="32">
        <f t="shared" si="6"/>
        <v>251.39</v>
      </c>
      <c r="S1909" s="33" t="s">
        <v>29</v>
      </c>
      <c r="T1909" s="33" t="s">
        <v>30</v>
      </c>
      <c r="U1909" s="189"/>
      <c r="V1909" s="57"/>
      <c r="W1909" s="7"/>
      <c r="X1909" s="7"/>
      <c r="Y1909" s="7"/>
      <c r="Z1909" s="7"/>
      <c r="AA1909" s="7"/>
    </row>
    <row r="1910" ht="18.75" customHeight="1">
      <c r="A1910" s="166" t="s">
        <v>1952</v>
      </c>
      <c r="B1910" s="166" t="s">
        <v>1028</v>
      </c>
      <c r="C1910" s="160" t="s">
        <v>1965</v>
      </c>
      <c r="D1910" s="167">
        <v>2942.0</v>
      </c>
      <c r="E1910" s="160" t="s">
        <v>1978</v>
      </c>
      <c r="F1910" s="11" t="s">
        <v>37</v>
      </c>
      <c r="G1910" s="188">
        <v>45532.0</v>
      </c>
      <c r="H1910" s="178">
        <v>2513.9</v>
      </c>
      <c r="I1910" s="170">
        <v>10.0</v>
      </c>
      <c r="J1910" s="15" t="s">
        <v>81</v>
      </c>
      <c r="K1910" s="16">
        <v>0.150000000000003</v>
      </c>
      <c r="L1910" s="164">
        <f t="shared" si="7"/>
        <v>1.5</v>
      </c>
      <c r="M1910" s="17">
        <f t="shared" si="2"/>
        <v>8.5</v>
      </c>
      <c r="N1910" s="18">
        <f t="shared" si="8"/>
        <v>377.085</v>
      </c>
      <c r="O1910" s="18">
        <f t="shared" si="9"/>
        <v>2136.815</v>
      </c>
      <c r="P1910" s="18">
        <f t="shared" si="5"/>
        <v>2136.815</v>
      </c>
      <c r="Q1910" s="8">
        <v>0.0</v>
      </c>
      <c r="R1910" s="18">
        <f t="shared" si="6"/>
        <v>251.39</v>
      </c>
      <c r="S1910" s="19" t="s">
        <v>29</v>
      </c>
      <c r="T1910" s="19" t="s">
        <v>30</v>
      </c>
      <c r="U1910" s="190"/>
      <c r="V1910" s="145"/>
      <c r="W1910" s="7"/>
      <c r="X1910" s="7"/>
      <c r="Y1910" s="7"/>
      <c r="Z1910" s="7"/>
      <c r="AA1910" s="7"/>
    </row>
    <row r="1911" ht="18.75" customHeight="1">
      <c r="A1911" s="113" t="s">
        <v>1952</v>
      </c>
      <c r="B1911" s="113" t="s">
        <v>1028</v>
      </c>
      <c r="C1911" s="157" t="s">
        <v>1965</v>
      </c>
      <c r="D1911" s="159">
        <v>2943.0</v>
      </c>
      <c r="E1911" s="157" t="s">
        <v>1979</v>
      </c>
      <c r="F1911" s="25" t="s">
        <v>37</v>
      </c>
      <c r="G1911" s="187">
        <v>45532.0</v>
      </c>
      <c r="H1911" s="177">
        <v>2186.15</v>
      </c>
      <c r="I1911" s="170">
        <v>10.0</v>
      </c>
      <c r="J1911" s="29" t="s">
        <v>81</v>
      </c>
      <c r="K1911" s="30">
        <v>0.150000000000003</v>
      </c>
      <c r="L1911" s="155">
        <f t="shared" si="7"/>
        <v>1.5</v>
      </c>
      <c r="M1911" s="31">
        <f t="shared" si="2"/>
        <v>8.5</v>
      </c>
      <c r="N1911" s="32">
        <f t="shared" si="8"/>
        <v>327.9225</v>
      </c>
      <c r="O1911" s="32">
        <f t="shared" si="9"/>
        <v>1858.2275</v>
      </c>
      <c r="P1911" s="32">
        <f t="shared" si="5"/>
        <v>1858.2275</v>
      </c>
      <c r="Q1911" s="22">
        <v>0.0</v>
      </c>
      <c r="R1911" s="32">
        <f t="shared" si="6"/>
        <v>218.615</v>
      </c>
      <c r="S1911" s="33" t="s">
        <v>29</v>
      </c>
      <c r="T1911" s="33" t="s">
        <v>30</v>
      </c>
      <c r="U1911" s="189"/>
      <c r="V1911" s="57"/>
      <c r="W1911" s="7"/>
      <c r="X1911" s="7"/>
      <c r="Y1911" s="7"/>
      <c r="Z1911" s="7"/>
      <c r="AA1911" s="7"/>
    </row>
    <row r="1912" ht="18.75" customHeight="1">
      <c r="A1912" s="166" t="s">
        <v>1952</v>
      </c>
      <c r="B1912" s="166" t="s">
        <v>1028</v>
      </c>
      <c r="C1912" s="160" t="s">
        <v>1965</v>
      </c>
      <c r="D1912" s="167">
        <v>2944.0</v>
      </c>
      <c r="E1912" s="160" t="s">
        <v>1979</v>
      </c>
      <c r="F1912" s="11" t="s">
        <v>37</v>
      </c>
      <c r="G1912" s="188">
        <v>45532.0</v>
      </c>
      <c r="H1912" s="178">
        <v>2186.15</v>
      </c>
      <c r="I1912" s="170">
        <v>10.0</v>
      </c>
      <c r="J1912" s="15" t="s">
        <v>81</v>
      </c>
      <c r="K1912" s="16">
        <v>0.150000000000003</v>
      </c>
      <c r="L1912" s="164">
        <f t="shared" si="7"/>
        <v>1.5</v>
      </c>
      <c r="M1912" s="17">
        <f t="shared" si="2"/>
        <v>8.5</v>
      </c>
      <c r="N1912" s="18">
        <f t="shared" si="8"/>
        <v>327.9225</v>
      </c>
      <c r="O1912" s="18">
        <f t="shared" si="9"/>
        <v>1858.2275</v>
      </c>
      <c r="P1912" s="18">
        <f t="shared" si="5"/>
        <v>1858.2275</v>
      </c>
      <c r="Q1912" s="8">
        <v>0.0</v>
      </c>
      <c r="R1912" s="18">
        <f t="shared" si="6"/>
        <v>218.615</v>
      </c>
      <c r="S1912" s="19" t="s">
        <v>29</v>
      </c>
      <c r="T1912" s="19" t="s">
        <v>30</v>
      </c>
      <c r="U1912" s="190"/>
      <c r="V1912" s="145"/>
      <c r="W1912" s="7"/>
      <c r="X1912" s="7"/>
      <c r="Y1912" s="7"/>
      <c r="Z1912" s="7"/>
      <c r="AA1912" s="7"/>
    </row>
    <row r="1913" ht="18.75" customHeight="1">
      <c r="A1913" s="113" t="s">
        <v>1952</v>
      </c>
      <c r="B1913" s="113" t="s">
        <v>1028</v>
      </c>
      <c r="C1913" s="157" t="s">
        <v>1965</v>
      </c>
      <c r="D1913" s="159">
        <v>2945.0</v>
      </c>
      <c r="E1913" s="157" t="s">
        <v>1979</v>
      </c>
      <c r="F1913" s="25" t="s">
        <v>37</v>
      </c>
      <c r="G1913" s="187">
        <v>45532.0</v>
      </c>
      <c r="H1913" s="177">
        <v>2186.15</v>
      </c>
      <c r="I1913" s="170">
        <v>10.0</v>
      </c>
      <c r="J1913" s="29" t="s">
        <v>81</v>
      </c>
      <c r="K1913" s="30">
        <v>0.150000000000003</v>
      </c>
      <c r="L1913" s="155">
        <f t="shared" si="7"/>
        <v>1.5</v>
      </c>
      <c r="M1913" s="31">
        <f t="shared" si="2"/>
        <v>8.5</v>
      </c>
      <c r="N1913" s="32">
        <f t="shared" si="8"/>
        <v>327.9225</v>
      </c>
      <c r="O1913" s="32">
        <f t="shared" si="9"/>
        <v>1858.2275</v>
      </c>
      <c r="P1913" s="32">
        <f t="shared" si="5"/>
        <v>1858.2275</v>
      </c>
      <c r="Q1913" s="22">
        <v>0.0</v>
      </c>
      <c r="R1913" s="32">
        <f t="shared" si="6"/>
        <v>218.615</v>
      </c>
      <c r="S1913" s="33" t="s">
        <v>29</v>
      </c>
      <c r="T1913" s="33" t="s">
        <v>30</v>
      </c>
      <c r="U1913" s="189"/>
      <c r="V1913" s="57"/>
      <c r="W1913" s="7"/>
      <c r="X1913" s="7"/>
      <c r="Y1913" s="7"/>
      <c r="Z1913" s="7"/>
      <c r="AA1913" s="7"/>
    </row>
    <row r="1914" ht="18.75" customHeight="1">
      <c r="A1914" s="166" t="s">
        <v>1952</v>
      </c>
      <c r="B1914" s="166" t="s">
        <v>1028</v>
      </c>
      <c r="C1914" s="160" t="s">
        <v>1965</v>
      </c>
      <c r="D1914" s="167">
        <v>2946.0</v>
      </c>
      <c r="E1914" s="160" t="s">
        <v>1979</v>
      </c>
      <c r="F1914" s="11" t="s">
        <v>37</v>
      </c>
      <c r="G1914" s="188">
        <v>45532.0</v>
      </c>
      <c r="H1914" s="178">
        <v>2186.15</v>
      </c>
      <c r="I1914" s="170">
        <v>10.0</v>
      </c>
      <c r="J1914" s="15" t="s">
        <v>81</v>
      </c>
      <c r="K1914" s="16">
        <v>0.150000000000003</v>
      </c>
      <c r="L1914" s="164">
        <f t="shared" si="7"/>
        <v>1.5</v>
      </c>
      <c r="M1914" s="17">
        <f t="shared" si="2"/>
        <v>8.5</v>
      </c>
      <c r="N1914" s="18">
        <f t="shared" si="8"/>
        <v>327.9225</v>
      </c>
      <c r="O1914" s="18">
        <f t="shared" si="9"/>
        <v>1858.2275</v>
      </c>
      <c r="P1914" s="18">
        <f t="shared" si="5"/>
        <v>1858.2275</v>
      </c>
      <c r="Q1914" s="8">
        <v>0.0</v>
      </c>
      <c r="R1914" s="18">
        <f t="shared" si="6"/>
        <v>218.615</v>
      </c>
      <c r="S1914" s="19" t="s">
        <v>29</v>
      </c>
      <c r="T1914" s="19" t="s">
        <v>30</v>
      </c>
      <c r="U1914" s="190"/>
      <c r="V1914" s="145"/>
      <c r="W1914" s="7"/>
      <c r="X1914" s="7"/>
      <c r="Y1914" s="7"/>
      <c r="Z1914" s="7"/>
      <c r="AA1914" s="7"/>
    </row>
    <row r="1915" ht="18.75" customHeight="1">
      <c r="A1915" s="113" t="s">
        <v>1952</v>
      </c>
      <c r="B1915" s="113" t="s">
        <v>1028</v>
      </c>
      <c r="C1915" s="157" t="s">
        <v>1965</v>
      </c>
      <c r="D1915" s="159">
        <v>2947.0</v>
      </c>
      <c r="E1915" s="157" t="s">
        <v>1979</v>
      </c>
      <c r="F1915" s="25" t="s">
        <v>37</v>
      </c>
      <c r="G1915" s="187">
        <v>45532.0</v>
      </c>
      <c r="H1915" s="177">
        <v>2186.15</v>
      </c>
      <c r="I1915" s="170">
        <v>10.0</v>
      </c>
      <c r="J1915" s="29" t="s">
        <v>81</v>
      </c>
      <c r="K1915" s="30">
        <v>0.150000000000003</v>
      </c>
      <c r="L1915" s="155">
        <f t="shared" si="7"/>
        <v>1.5</v>
      </c>
      <c r="M1915" s="31">
        <f t="shared" si="2"/>
        <v>8.5</v>
      </c>
      <c r="N1915" s="32">
        <f t="shared" si="8"/>
        <v>327.9225</v>
      </c>
      <c r="O1915" s="32">
        <f t="shared" si="9"/>
        <v>1858.2275</v>
      </c>
      <c r="P1915" s="32">
        <f t="shared" si="5"/>
        <v>1858.2275</v>
      </c>
      <c r="Q1915" s="22">
        <v>0.0</v>
      </c>
      <c r="R1915" s="32">
        <f t="shared" si="6"/>
        <v>218.615</v>
      </c>
      <c r="S1915" s="33" t="s">
        <v>29</v>
      </c>
      <c r="T1915" s="33" t="s">
        <v>30</v>
      </c>
      <c r="U1915" s="189"/>
      <c r="V1915" s="57"/>
      <c r="W1915" s="7"/>
      <c r="X1915" s="7"/>
      <c r="Y1915" s="7"/>
      <c r="Z1915" s="7"/>
      <c r="AA1915" s="7"/>
    </row>
    <row r="1916" ht="18.75" customHeight="1">
      <c r="A1916" s="166" t="s">
        <v>1952</v>
      </c>
      <c r="B1916" s="166" t="s">
        <v>1028</v>
      </c>
      <c r="C1916" s="160" t="s">
        <v>1965</v>
      </c>
      <c r="D1916" s="167">
        <v>2948.0</v>
      </c>
      <c r="E1916" s="160" t="s">
        <v>1979</v>
      </c>
      <c r="F1916" s="11" t="s">
        <v>37</v>
      </c>
      <c r="G1916" s="188">
        <v>45532.0</v>
      </c>
      <c r="H1916" s="178">
        <v>2186.15</v>
      </c>
      <c r="I1916" s="170">
        <v>10.0</v>
      </c>
      <c r="J1916" s="15" t="s">
        <v>81</v>
      </c>
      <c r="K1916" s="16">
        <v>0.150000000000003</v>
      </c>
      <c r="L1916" s="164">
        <f t="shared" si="7"/>
        <v>1.5</v>
      </c>
      <c r="M1916" s="17">
        <f t="shared" si="2"/>
        <v>8.5</v>
      </c>
      <c r="N1916" s="18">
        <f t="shared" si="8"/>
        <v>327.9225</v>
      </c>
      <c r="O1916" s="18">
        <f t="shared" si="9"/>
        <v>1858.2275</v>
      </c>
      <c r="P1916" s="18">
        <f t="shared" si="5"/>
        <v>1858.2275</v>
      </c>
      <c r="Q1916" s="8">
        <v>0.0</v>
      </c>
      <c r="R1916" s="18">
        <f t="shared" si="6"/>
        <v>218.615</v>
      </c>
      <c r="S1916" s="19" t="s">
        <v>29</v>
      </c>
      <c r="T1916" s="19" t="s">
        <v>30</v>
      </c>
      <c r="U1916" s="190"/>
      <c r="V1916" s="145"/>
      <c r="W1916" s="7"/>
      <c r="X1916" s="7"/>
      <c r="Y1916" s="7"/>
      <c r="Z1916" s="7"/>
      <c r="AA1916" s="7"/>
    </row>
    <row r="1917" ht="18.75" customHeight="1">
      <c r="A1917" s="113" t="s">
        <v>1952</v>
      </c>
      <c r="B1917" s="113" t="s">
        <v>1028</v>
      </c>
      <c r="C1917" s="157" t="s">
        <v>1965</v>
      </c>
      <c r="D1917" s="159">
        <v>2949.0</v>
      </c>
      <c r="E1917" s="157" t="s">
        <v>1979</v>
      </c>
      <c r="F1917" s="25" t="s">
        <v>37</v>
      </c>
      <c r="G1917" s="187">
        <v>45532.0</v>
      </c>
      <c r="H1917" s="177">
        <v>2186.15</v>
      </c>
      <c r="I1917" s="170">
        <v>10.0</v>
      </c>
      <c r="J1917" s="29" t="s">
        <v>81</v>
      </c>
      <c r="K1917" s="30">
        <v>0.150000000000003</v>
      </c>
      <c r="L1917" s="155">
        <f t="shared" si="7"/>
        <v>1.5</v>
      </c>
      <c r="M1917" s="31">
        <f t="shared" si="2"/>
        <v>8.5</v>
      </c>
      <c r="N1917" s="32">
        <f t="shared" si="8"/>
        <v>327.9225</v>
      </c>
      <c r="O1917" s="32">
        <f t="shared" si="9"/>
        <v>1858.2275</v>
      </c>
      <c r="P1917" s="32">
        <f t="shared" si="5"/>
        <v>1858.2275</v>
      </c>
      <c r="Q1917" s="22">
        <v>0.0</v>
      </c>
      <c r="R1917" s="32">
        <f t="shared" si="6"/>
        <v>218.615</v>
      </c>
      <c r="S1917" s="33" t="s">
        <v>29</v>
      </c>
      <c r="T1917" s="33" t="s">
        <v>30</v>
      </c>
      <c r="U1917" s="189"/>
      <c r="V1917" s="57"/>
      <c r="W1917" s="7"/>
      <c r="X1917" s="7"/>
      <c r="Y1917" s="7"/>
      <c r="Z1917" s="7"/>
      <c r="AA1917" s="7"/>
    </row>
    <row r="1918" ht="18.75" customHeight="1">
      <c r="A1918" s="166" t="s">
        <v>1952</v>
      </c>
      <c r="B1918" s="166" t="s">
        <v>1028</v>
      </c>
      <c r="C1918" s="160" t="s">
        <v>1965</v>
      </c>
      <c r="D1918" s="167">
        <v>2950.0</v>
      </c>
      <c r="E1918" s="160" t="s">
        <v>1979</v>
      </c>
      <c r="F1918" s="11" t="s">
        <v>37</v>
      </c>
      <c r="G1918" s="188">
        <v>45532.0</v>
      </c>
      <c r="H1918" s="178">
        <v>2186.15</v>
      </c>
      <c r="I1918" s="170">
        <v>10.0</v>
      </c>
      <c r="J1918" s="15" t="s">
        <v>81</v>
      </c>
      <c r="K1918" s="16">
        <v>0.150000000000003</v>
      </c>
      <c r="L1918" s="164">
        <f t="shared" si="7"/>
        <v>1.5</v>
      </c>
      <c r="M1918" s="17">
        <f t="shared" si="2"/>
        <v>8.5</v>
      </c>
      <c r="N1918" s="18">
        <f t="shared" si="8"/>
        <v>327.9225</v>
      </c>
      <c r="O1918" s="18">
        <f t="shared" si="9"/>
        <v>1858.2275</v>
      </c>
      <c r="P1918" s="18">
        <f t="shared" si="5"/>
        <v>1858.2275</v>
      </c>
      <c r="Q1918" s="8">
        <v>0.0</v>
      </c>
      <c r="R1918" s="18">
        <f t="shared" si="6"/>
        <v>218.615</v>
      </c>
      <c r="S1918" s="19" t="s">
        <v>29</v>
      </c>
      <c r="T1918" s="19" t="s">
        <v>30</v>
      </c>
      <c r="U1918" s="190"/>
      <c r="V1918" s="145"/>
      <c r="W1918" s="7"/>
      <c r="X1918" s="7"/>
      <c r="Y1918" s="7"/>
      <c r="Z1918" s="7"/>
      <c r="AA1918" s="7"/>
    </row>
    <row r="1919" ht="18.75" customHeight="1">
      <c r="A1919" s="113" t="s">
        <v>1952</v>
      </c>
      <c r="B1919" s="113" t="s">
        <v>1028</v>
      </c>
      <c r="C1919" s="157" t="s">
        <v>1980</v>
      </c>
      <c r="D1919" s="159">
        <v>2951.0</v>
      </c>
      <c r="E1919" s="157" t="s">
        <v>1981</v>
      </c>
      <c r="F1919" s="25" t="s">
        <v>37</v>
      </c>
      <c r="G1919" s="187">
        <v>45532.0</v>
      </c>
      <c r="H1919" s="177">
        <v>3624.8</v>
      </c>
      <c r="I1919" s="170">
        <v>10.0</v>
      </c>
      <c r="J1919" s="29" t="s">
        <v>81</v>
      </c>
      <c r="K1919" s="30">
        <v>0.150000000000003</v>
      </c>
      <c r="L1919" s="155">
        <f t="shared" si="7"/>
        <v>1.5</v>
      </c>
      <c r="M1919" s="31">
        <f t="shared" si="2"/>
        <v>8.5</v>
      </c>
      <c r="N1919" s="32">
        <f t="shared" si="8"/>
        <v>543.72</v>
      </c>
      <c r="O1919" s="32">
        <f t="shared" si="9"/>
        <v>3081.08</v>
      </c>
      <c r="P1919" s="32">
        <f t="shared" si="5"/>
        <v>3081.08</v>
      </c>
      <c r="Q1919" s="22">
        <v>0.0</v>
      </c>
      <c r="R1919" s="32">
        <f t="shared" si="6"/>
        <v>362.48</v>
      </c>
      <c r="S1919" s="33" t="s">
        <v>29</v>
      </c>
      <c r="T1919" s="33" t="s">
        <v>30</v>
      </c>
      <c r="U1919" s="189"/>
      <c r="V1919" s="57"/>
      <c r="W1919" s="7"/>
      <c r="X1919" s="7"/>
      <c r="Y1919" s="7"/>
      <c r="Z1919" s="7"/>
      <c r="AA1919" s="7"/>
    </row>
    <row r="1920" ht="18.75" customHeight="1">
      <c r="A1920" s="166" t="s">
        <v>1952</v>
      </c>
      <c r="B1920" s="166" t="s">
        <v>1028</v>
      </c>
      <c r="C1920" s="160" t="s">
        <v>1972</v>
      </c>
      <c r="D1920" s="167">
        <v>2952.0</v>
      </c>
      <c r="E1920" s="160" t="s">
        <v>1981</v>
      </c>
      <c r="F1920" s="11" t="s">
        <v>37</v>
      </c>
      <c r="G1920" s="188">
        <v>45532.0</v>
      </c>
      <c r="H1920" s="178">
        <v>3624.8</v>
      </c>
      <c r="I1920" s="170">
        <v>10.0</v>
      </c>
      <c r="J1920" s="15" t="s">
        <v>81</v>
      </c>
      <c r="K1920" s="16">
        <v>0.150000000000003</v>
      </c>
      <c r="L1920" s="164">
        <f t="shared" si="7"/>
        <v>1.5</v>
      </c>
      <c r="M1920" s="17">
        <f t="shared" si="2"/>
        <v>8.5</v>
      </c>
      <c r="N1920" s="18">
        <f t="shared" si="8"/>
        <v>543.72</v>
      </c>
      <c r="O1920" s="18">
        <f t="shared" si="9"/>
        <v>3081.08</v>
      </c>
      <c r="P1920" s="18">
        <f t="shared" si="5"/>
        <v>3081.08</v>
      </c>
      <c r="Q1920" s="8">
        <v>0.0</v>
      </c>
      <c r="R1920" s="18">
        <f t="shared" si="6"/>
        <v>362.48</v>
      </c>
      <c r="S1920" s="19" t="s">
        <v>29</v>
      </c>
      <c r="T1920" s="19" t="s">
        <v>30</v>
      </c>
      <c r="U1920" s="190"/>
      <c r="V1920" s="145"/>
      <c r="W1920" s="7"/>
      <c r="X1920" s="7"/>
      <c r="Y1920" s="7"/>
      <c r="Z1920" s="7"/>
      <c r="AA1920" s="7"/>
    </row>
    <row r="1921" ht="18.75" customHeight="1">
      <c r="A1921" s="113" t="s">
        <v>1952</v>
      </c>
      <c r="B1921" s="113" t="s">
        <v>1028</v>
      </c>
      <c r="C1921" s="157" t="s">
        <v>1967</v>
      </c>
      <c r="D1921" s="159">
        <v>2953.0</v>
      </c>
      <c r="E1921" s="157" t="s">
        <v>1981</v>
      </c>
      <c r="F1921" s="25" t="s">
        <v>37</v>
      </c>
      <c r="G1921" s="187">
        <v>45532.0</v>
      </c>
      <c r="H1921" s="177">
        <v>3624.8</v>
      </c>
      <c r="I1921" s="163">
        <v>10.0</v>
      </c>
      <c r="J1921" s="29" t="s">
        <v>81</v>
      </c>
      <c r="K1921" s="30">
        <v>0.150000000000003</v>
      </c>
      <c r="L1921" s="155">
        <f t="shared" si="7"/>
        <v>1.5</v>
      </c>
      <c r="M1921" s="31">
        <f t="shared" si="2"/>
        <v>8.5</v>
      </c>
      <c r="N1921" s="32">
        <f t="shared" si="8"/>
        <v>543.72</v>
      </c>
      <c r="O1921" s="32">
        <f t="shared" si="9"/>
        <v>3081.08</v>
      </c>
      <c r="P1921" s="32">
        <f t="shared" si="5"/>
        <v>3081.08</v>
      </c>
      <c r="Q1921" s="22">
        <v>0.0</v>
      </c>
      <c r="R1921" s="32">
        <f t="shared" si="6"/>
        <v>362.48</v>
      </c>
      <c r="S1921" s="33" t="s">
        <v>29</v>
      </c>
      <c r="T1921" s="33" t="s">
        <v>30</v>
      </c>
      <c r="U1921" s="189"/>
      <c r="V1921" s="57"/>
      <c r="W1921" s="7"/>
      <c r="X1921" s="7"/>
      <c r="Y1921" s="7"/>
      <c r="Z1921" s="7"/>
      <c r="AA1921" s="7"/>
    </row>
    <row r="1922" ht="18.75" customHeight="1">
      <c r="A1922" s="166" t="s">
        <v>1952</v>
      </c>
      <c r="B1922" s="166" t="s">
        <v>1028</v>
      </c>
      <c r="C1922" s="160" t="s">
        <v>1982</v>
      </c>
      <c r="D1922" s="167">
        <v>2954.0</v>
      </c>
      <c r="E1922" s="160" t="s">
        <v>1981</v>
      </c>
      <c r="F1922" s="11" t="s">
        <v>37</v>
      </c>
      <c r="G1922" s="188">
        <v>45532.0</v>
      </c>
      <c r="H1922" s="178">
        <v>3624.8</v>
      </c>
      <c r="I1922" s="170">
        <v>10.0</v>
      </c>
      <c r="J1922" s="15" t="s">
        <v>81</v>
      </c>
      <c r="K1922" s="16">
        <v>0.150000000000003</v>
      </c>
      <c r="L1922" s="164">
        <f t="shared" si="7"/>
        <v>1.5</v>
      </c>
      <c r="M1922" s="17">
        <f t="shared" si="2"/>
        <v>8.5</v>
      </c>
      <c r="N1922" s="18">
        <f t="shared" si="8"/>
        <v>543.72</v>
      </c>
      <c r="O1922" s="18">
        <f t="shared" si="9"/>
        <v>3081.08</v>
      </c>
      <c r="P1922" s="18">
        <f t="shared" si="5"/>
        <v>3081.08</v>
      </c>
      <c r="Q1922" s="8">
        <v>0.0</v>
      </c>
      <c r="R1922" s="18">
        <f t="shared" si="6"/>
        <v>362.48</v>
      </c>
      <c r="S1922" s="19" t="s">
        <v>29</v>
      </c>
      <c r="T1922" s="19" t="s">
        <v>30</v>
      </c>
      <c r="U1922" s="190"/>
      <c r="V1922" s="145"/>
      <c r="W1922" s="7"/>
      <c r="X1922" s="7"/>
      <c r="Y1922" s="7"/>
      <c r="Z1922" s="7"/>
      <c r="AA1922" s="7"/>
    </row>
    <row r="1923" ht="18.75" customHeight="1">
      <c r="A1923" s="113" t="s">
        <v>1952</v>
      </c>
      <c r="B1923" s="113" t="s">
        <v>1028</v>
      </c>
      <c r="C1923" s="157" t="s">
        <v>1982</v>
      </c>
      <c r="D1923" s="159">
        <v>2955.0</v>
      </c>
      <c r="E1923" s="157" t="s">
        <v>1435</v>
      </c>
      <c r="F1923" s="25" t="s">
        <v>37</v>
      </c>
      <c r="G1923" s="161"/>
      <c r="H1923" s="177">
        <v>2014.8</v>
      </c>
      <c r="I1923" s="163">
        <v>10.0</v>
      </c>
      <c r="J1923" s="29" t="s">
        <v>81</v>
      </c>
      <c r="K1923" s="30">
        <v>0.150000000000003</v>
      </c>
      <c r="L1923" s="155">
        <f t="shared" si="7"/>
        <v>1.5</v>
      </c>
      <c r="M1923" s="31">
        <f t="shared" si="2"/>
        <v>8.5</v>
      </c>
      <c r="N1923" s="32">
        <f t="shared" si="8"/>
        <v>302.22</v>
      </c>
      <c r="O1923" s="32">
        <f t="shared" si="9"/>
        <v>1712.58</v>
      </c>
      <c r="P1923" s="32">
        <f t="shared" si="5"/>
        <v>1712.58</v>
      </c>
      <c r="Q1923" s="22">
        <v>0.0</v>
      </c>
      <c r="R1923" s="32">
        <f t="shared" si="6"/>
        <v>201.48</v>
      </c>
      <c r="S1923" s="33" t="s">
        <v>29</v>
      </c>
      <c r="T1923" s="33" t="s">
        <v>30</v>
      </c>
      <c r="U1923" s="173" t="s">
        <v>527</v>
      </c>
      <c r="V1923" s="57"/>
      <c r="W1923" s="7"/>
      <c r="X1923" s="7"/>
      <c r="Y1923" s="7"/>
      <c r="Z1923" s="7"/>
      <c r="AA1923" s="7"/>
    </row>
    <row r="1924" ht="18.75" customHeight="1">
      <c r="A1924" s="166" t="s">
        <v>1952</v>
      </c>
      <c r="B1924" s="166" t="s">
        <v>1028</v>
      </c>
      <c r="C1924" s="160" t="s">
        <v>626</v>
      </c>
      <c r="D1924" s="167">
        <v>2956.0</v>
      </c>
      <c r="E1924" s="160" t="s">
        <v>1435</v>
      </c>
      <c r="F1924" s="11" t="s">
        <v>37</v>
      </c>
      <c r="G1924" s="168"/>
      <c r="H1924" s="178">
        <v>2014.8</v>
      </c>
      <c r="I1924" s="170">
        <v>10.0</v>
      </c>
      <c r="J1924" s="15" t="s">
        <v>81</v>
      </c>
      <c r="K1924" s="16">
        <v>0.150000000000003</v>
      </c>
      <c r="L1924" s="164">
        <f t="shared" si="7"/>
        <v>1.5</v>
      </c>
      <c r="M1924" s="17">
        <f t="shared" si="2"/>
        <v>8.5</v>
      </c>
      <c r="N1924" s="18">
        <f t="shared" si="8"/>
        <v>302.22</v>
      </c>
      <c r="O1924" s="18">
        <f t="shared" si="9"/>
        <v>1712.58</v>
      </c>
      <c r="P1924" s="18">
        <f t="shared" si="5"/>
        <v>1712.58</v>
      </c>
      <c r="Q1924" s="8">
        <v>0.0</v>
      </c>
      <c r="R1924" s="18">
        <f t="shared" si="6"/>
        <v>201.48</v>
      </c>
      <c r="S1924" s="19" t="s">
        <v>29</v>
      </c>
      <c r="T1924" s="19" t="s">
        <v>30</v>
      </c>
      <c r="U1924" s="171" t="s">
        <v>527</v>
      </c>
      <c r="V1924" s="145"/>
      <c r="W1924" s="7"/>
      <c r="X1924" s="7"/>
      <c r="Y1924" s="7"/>
      <c r="Z1924" s="7"/>
      <c r="AA1924" s="7"/>
    </row>
    <row r="1925" ht="18.75" customHeight="1">
      <c r="A1925" s="113" t="s">
        <v>1952</v>
      </c>
      <c r="B1925" s="113" t="s">
        <v>1028</v>
      </c>
      <c r="C1925" s="157" t="s">
        <v>1972</v>
      </c>
      <c r="D1925" s="159">
        <v>2957.0</v>
      </c>
      <c r="E1925" s="157" t="s">
        <v>1435</v>
      </c>
      <c r="F1925" s="25" t="s">
        <v>37</v>
      </c>
      <c r="G1925" s="161"/>
      <c r="H1925" s="177">
        <v>2014.8</v>
      </c>
      <c r="I1925" s="163">
        <v>10.0</v>
      </c>
      <c r="J1925" s="29" t="s">
        <v>81</v>
      </c>
      <c r="K1925" s="30">
        <v>0.150000000000003</v>
      </c>
      <c r="L1925" s="155">
        <f t="shared" si="7"/>
        <v>1.5</v>
      </c>
      <c r="M1925" s="31">
        <f t="shared" si="2"/>
        <v>8.5</v>
      </c>
      <c r="N1925" s="32">
        <f t="shared" si="8"/>
        <v>302.22</v>
      </c>
      <c r="O1925" s="32">
        <f t="shared" si="9"/>
        <v>1712.58</v>
      </c>
      <c r="P1925" s="32">
        <f t="shared" si="5"/>
        <v>1712.58</v>
      </c>
      <c r="Q1925" s="22">
        <v>0.0</v>
      </c>
      <c r="R1925" s="32">
        <f t="shared" si="6"/>
        <v>201.48</v>
      </c>
      <c r="S1925" s="33" t="s">
        <v>29</v>
      </c>
      <c r="T1925" s="33" t="s">
        <v>30</v>
      </c>
      <c r="U1925" s="173" t="s">
        <v>527</v>
      </c>
      <c r="V1925" s="57"/>
      <c r="W1925" s="7"/>
      <c r="X1925" s="7"/>
      <c r="Y1925" s="7"/>
      <c r="Z1925" s="7"/>
      <c r="AA1925" s="7"/>
    </row>
    <row r="1926" ht="18.75" customHeight="1">
      <c r="A1926" s="166" t="s">
        <v>1952</v>
      </c>
      <c r="B1926" s="166" t="s">
        <v>1028</v>
      </c>
      <c r="C1926" s="160" t="s">
        <v>1980</v>
      </c>
      <c r="D1926" s="167">
        <v>2958.0</v>
      </c>
      <c r="E1926" s="160" t="s">
        <v>1435</v>
      </c>
      <c r="F1926" s="11" t="s">
        <v>37</v>
      </c>
      <c r="G1926" s="168"/>
      <c r="H1926" s="178">
        <v>2014.8</v>
      </c>
      <c r="I1926" s="170">
        <v>10.0</v>
      </c>
      <c r="J1926" s="15" t="s">
        <v>81</v>
      </c>
      <c r="K1926" s="16">
        <v>0.150000000000003</v>
      </c>
      <c r="L1926" s="164">
        <f t="shared" si="7"/>
        <v>1.5</v>
      </c>
      <c r="M1926" s="17">
        <f t="shared" si="2"/>
        <v>8.5</v>
      </c>
      <c r="N1926" s="18">
        <f t="shared" si="8"/>
        <v>302.22</v>
      </c>
      <c r="O1926" s="18">
        <f t="shared" si="9"/>
        <v>1712.58</v>
      </c>
      <c r="P1926" s="18">
        <f t="shared" si="5"/>
        <v>1712.58</v>
      </c>
      <c r="Q1926" s="8">
        <v>0.0</v>
      </c>
      <c r="R1926" s="18">
        <f t="shared" si="6"/>
        <v>201.48</v>
      </c>
      <c r="S1926" s="19" t="s">
        <v>29</v>
      </c>
      <c r="T1926" s="19" t="s">
        <v>30</v>
      </c>
      <c r="U1926" s="171" t="s">
        <v>527</v>
      </c>
      <c r="V1926" s="145"/>
      <c r="W1926" s="7"/>
      <c r="X1926" s="7"/>
      <c r="Y1926" s="7"/>
      <c r="Z1926" s="7"/>
      <c r="AA1926" s="7"/>
    </row>
    <row r="1927" ht="18.75" customHeight="1">
      <c r="A1927" s="113" t="s">
        <v>1952</v>
      </c>
      <c r="B1927" s="113" t="s">
        <v>1028</v>
      </c>
      <c r="C1927" s="157" t="s">
        <v>1119</v>
      </c>
      <c r="D1927" s="159">
        <v>2959.0</v>
      </c>
      <c r="E1927" s="157" t="s">
        <v>1444</v>
      </c>
      <c r="F1927" s="25" t="s">
        <v>37</v>
      </c>
      <c r="G1927" s="161"/>
      <c r="H1927" s="177">
        <v>492.2</v>
      </c>
      <c r="I1927" s="163">
        <v>10.0</v>
      </c>
      <c r="J1927" s="29" t="s">
        <v>81</v>
      </c>
      <c r="K1927" s="30">
        <v>0.150000000000003</v>
      </c>
      <c r="L1927" s="155">
        <f t="shared" si="7"/>
        <v>1.5</v>
      </c>
      <c r="M1927" s="31">
        <f t="shared" si="2"/>
        <v>8.5</v>
      </c>
      <c r="N1927" s="32">
        <f t="shared" si="8"/>
        <v>73.83</v>
      </c>
      <c r="O1927" s="32">
        <f t="shared" si="9"/>
        <v>418.37</v>
      </c>
      <c r="P1927" s="32">
        <f t="shared" si="5"/>
        <v>418.37</v>
      </c>
      <c r="Q1927" s="22">
        <v>0.0</v>
      </c>
      <c r="R1927" s="32">
        <f t="shared" si="6"/>
        <v>49.22</v>
      </c>
      <c r="S1927" s="33" t="s">
        <v>29</v>
      </c>
      <c r="T1927" s="33" t="s">
        <v>30</v>
      </c>
      <c r="U1927" s="180" t="s">
        <v>223</v>
      </c>
      <c r="V1927" s="57"/>
      <c r="W1927" s="7"/>
      <c r="X1927" s="7"/>
      <c r="Y1927" s="7"/>
      <c r="Z1927" s="7"/>
      <c r="AA1927" s="7"/>
    </row>
    <row r="1928" ht="18.75" customHeight="1">
      <c r="A1928" s="166" t="s">
        <v>1952</v>
      </c>
      <c r="B1928" s="166" t="s">
        <v>1028</v>
      </c>
      <c r="C1928" s="160" t="s">
        <v>1119</v>
      </c>
      <c r="D1928" s="167">
        <v>2960.0</v>
      </c>
      <c r="E1928" s="160" t="s">
        <v>1444</v>
      </c>
      <c r="F1928" s="11" t="s">
        <v>37</v>
      </c>
      <c r="G1928" s="168"/>
      <c r="H1928" s="178">
        <v>492.2</v>
      </c>
      <c r="I1928" s="170">
        <v>10.0</v>
      </c>
      <c r="J1928" s="15" t="s">
        <v>81</v>
      </c>
      <c r="K1928" s="16">
        <v>0.150000000000003</v>
      </c>
      <c r="L1928" s="164">
        <f t="shared" si="7"/>
        <v>1.5</v>
      </c>
      <c r="M1928" s="17">
        <f t="shared" si="2"/>
        <v>8.5</v>
      </c>
      <c r="N1928" s="18">
        <f t="shared" si="8"/>
        <v>73.83</v>
      </c>
      <c r="O1928" s="18">
        <f t="shared" si="9"/>
        <v>418.37</v>
      </c>
      <c r="P1928" s="18">
        <f t="shared" si="5"/>
        <v>418.37</v>
      </c>
      <c r="Q1928" s="8">
        <v>0.0</v>
      </c>
      <c r="R1928" s="18">
        <f t="shared" si="6"/>
        <v>49.22</v>
      </c>
      <c r="S1928" s="19" t="s">
        <v>29</v>
      </c>
      <c r="T1928" s="19" t="s">
        <v>30</v>
      </c>
      <c r="U1928" s="179" t="s">
        <v>223</v>
      </c>
      <c r="V1928" s="145"/>
      <c r="W1928" s="7"/>
      <c r="X1928" s="7"/>
      <c r="Y1928" s="7"/>
      <c r="Z1928" s="7"/>
      <c r="AA1928" s="7"/>
    </row>
    <row r="1929" ht="18.75" customHeight="1">
      <c r="A1929" s="113" t="s">
        <v>1952</v>
      </c>
      <c r="B1929" s="113" t="s">
        <v>1028</v>
      </c>
      <c r="C1929" s="157" t="s">
        <v>1119</v>
      </c>
      <c r="D1929" s="159">
        <v>2961.0</v>
      </c>
      <c r="E1929" s="157" t="s">
        <v>1444</v>
      </c>
      <c r="F1929" s="25" t="s">
        <v>37</v>
      </c>
      <c r="G1929" s="161"/>
      <c r="H1929" s="177">
        <v>492.2</v>
      </c>
      <c r="I1929" s="163">
        <v>10.0</v>
      </c>
      <c r="J1929" s="29" t="s">
        <v>81</v>
      </c>
      <c r="K1929" s="30">
        <v>0.150000000000003</v>
      </c>
      <c r="L1929" s="155">
        <f t="shared" si="7"/>
        <v>1.5</v>
      </c>
      <c r="M1929" s="31">
        <f t="shared" si="2"/>
        <v>8.5</v>
      </c>
      <c r="N1929" s="32">
        <f t="shared" si="8"/>
        <v>73.83</v>
      </c>
      <c r="O1929" s="32">
        <f t="shared" si="9"/>
        <v>418.37</v>
      </c>
      <c r="P1929" s="32">
        <f t="shared" si="5"/>
        <v>418.37</v>
      </c>
      <c r="Q1929" s="22">
        <v>0.0</v>
      </c>
      <c r="R1929" s="32">
        <f t="shared" si="6"/>
        <v>49.22</v>
      </c>
      <c r="S1929" s="33" t="s">
        <v>29</v>
      </c>
      <c r="T1929" s="33" t="s">
        <v>30</v>
      </c>
      <c r="U1929" s="180" t="s">
        <v>223</v>
      </c>
      <c r="V1929" s="57"/>
      <c r="W1929" s="7"/>
      <c r="X1929" s="7"/>
      <c r="Y1929" s="7"/>
      <c r="Z1929" s="7"/>
      <c r="AA1929" s="7"/>
    </row>
    <row r="1930" ht="18.75" customHeight="1">
      <c r="A1930" s="166" t="s">
        <v>1952</v>
      </c>
      <c r="B1930" s="166" t="s">
        <v>1028</v>
      </c>
      <c r="C1930" s="160" t="s">
        <v>1119</v>
      </c>
      <c r="D1930" s="167">
        <v>2963.0</v>
      </c>
      <c r="E1930" s="160" t="s">
        <v>1432</v>
      </c>
      <c r="F1930" s="11" t="s">
        <v>37</v>
      </c>
      <c r="G1930" s="188">
        <v>45532.0</v>
      </c>
      <c r="H1930" s="178">
        <v>6533.63</v>
      </c>
      <c r="I1930" s="170">
        <v>10.0</v>
      </c>
      <c r="J1930" s="15" t="s">
        <v>81</v>
      </c>
      <c r="K1930" s="16">
        <v>0.150000000000003</v>
      </c>
      <c r="L1930" s="164">
        <f t="shared" si="7"/>
        <v>1.5</v>
      </c>
      <c r="M1930" s="17">
        <f t="shared" si="2"/>
        <v>8.5</v>
      </c>
      <c r="N1930" s="18">
        <f t="shared" si="8"/>
        <v>980.0445</v>
      </c>
      <c r="O1930" s="18">
        <f t="shared" si="9"/>
        <v>5553.5855</v>
      </c>
      <c r="P1930" s="18">
        <f t="shared" si="5"/>
        <v>5553.5855</v>
      </c>
      <c r="Q1930" s="8">
        <v>0.0</v>
      </c>
      <c r="R1930" s="18">
        <f t="shared" si="6"/>
        <v>653.363</v>
      </c>
      <c r="S1930" s="19" t="s">
        <v>29</v>
      </c>
      <c r="T1930" s="19" t="s">
        <v>30</v>
      </c>
      <c r="U1930" s="171" t="s">
        <v>674</v>
      </c>
      <c r="V1930" s="145"/>
      <c r="W1930" s="7"/>
      <c r="X1930" s="7"/>
      <c r="Y1930" s="7"/>
      <c r="Z1930" s="7"/>
      <c r="AA1930" s="7"/>
    </row>
    <row r="1931" ht="18.75" customHeight="1">
      <c r="A1931" s="113" t="s">
        <v>1952</v>
      </c>
      <c r="B1931" s="113" t="s">
        <v>1028</v>
      </c>
      <c r="C1931" s="157" t="s">
        <v>1119</v>
      </c>
      <c r="D1931" s="159">
        <v>2964.0</v>
      </c>
      <c r="E1931" s="157" t="s">
        <v>1435</v>
      </c>
      <c r="F1931" s="25" t="s">
        <v>37</v>
      </c>
      <c r="G1931" s="161"/>
      <c r="H1931" s="177">
        <v>2014.8</v>
      </c>
      <c r="I1931" s="163">
        <v>10.0</v>
      </c>
      <c r="J1931" s="29" t="s">
        <v>81</v>
      </c>
      <c r="K1931" s="30">
        <v>0.150000000000003</v>
      </c>
      <c r="L1931" s="155">
        <f t="shared" si="7"/>
        <v>1.5</v>
      </c>
      <c r="M1931" s="31">
        <f t="shared" si="2"/>
        <v>8.5</v>
      </c>
      <c r="N1931" s="32">
        <f t="shared" si="8"/>
        <v>302.22</v>
      </c>
      <c r="O1931" s="32">
        <f t="shared" si="9"/>
        <v>1712.58</v>
      </c>
      <c r="P1931" s="32">
        <f t="shared" si="5"/>
        <v>1712.58</v>
      </c>
      <c r="Q1931" s="22">
        <v>0.0</v>
      </c>
      <c r="R1931" s="32">
        <f t="shared" si="6"/>
        <v>201.48</v>
      </c>
      <c r="S1931" s="33" t="s">
        <v>29</v>
      </c>
      <c r="T1931" s="33" t="s">
        <v>30</v>
      </c>
      <c r="U1931" s="173" t="s">
        <v>527</v>
      </c>
      <c r="V1931" s="57"/>
      <c r="W1931" s="7"/>
      <c r="X1931" s="7"/>
      <c r="Y1931" s="7"/>
      <c r="Z1931" s="7"/>
      <c r="AA1931" s="7"/>
    </row>
    <row r="1932" ht="18.75" customHeight="1">
      <c r="A1932" s="166" t="s">
        <v>1952</v>
      </c>
      <c r="B1932" s="166" t="s">
        <v>1028</v>
      </c>
      <c r="C1932" s="160" t="s">
        <v>1983</v>
      </c>
      <c r="D1932" s="167">
        <v>2983.0</v>
      </c>
      <c r="E1932" s="160" t="s">
        <v>1433</v>
      </c>
      <c r="F1932" s="11" t="s">
        <v>37</v>
      </c>
      <c r="G1932" s="188">
        <v>45532.0</v>
      </c>
      <c r="H1932" s="178">
        <v>3039.85</v>
      </c>
      <c r="I1932" s="170">
        <v>10.0</v>
      </c>
      <c r="J1932" s="15" t="s">
        <v>81</v>
      </c>
      <c r="K1932" s="16">
        <v>0.150000000000003</v>
      </c>
      <c r="L1932" s="164">
        <f t="shared" si="7"/>
        <v>1.5</v>
      </c>
      <c r="M1932" s="17">
        <f t="shared" si="2"/>
        <v>8.5</v>
      </c>
      <c r="N1932" s="18">
        <f t="shared" si="8"/>
        <v>455.9775</v>
      </c>
      <c r="O1932" s="18">
        <f t="shared" si="9"/>
        <v>2583.8725</v>
      </c>
      <c r="P1932" s="18">
        <f t="shared" si="5"/>
        <v>2583.8725</v>
      </c>
      <c r="Q1932" s="8">
        <v>0.0</v>
      </c>
      <c r="R1932" s="18">
        <f t="shared" si="6"/>
        <v>303.985</v>
      </c>
      <c r="S1932" s="19" t="s">
        <v>29</v>
      </c>
      <c r="T1932" s="19" t="s">
        <v>30</v>
      </c>
      <c r="U1932" s="171" t="s">
        <v>905</v>
      </c>
      <c r="V1932" s="145"/>
      <c r="W1932" s="7"/>
      <c r="X1932" s="7"/>
      <c r="Y1932" s="7"/>
      <c r="Z1932" s="7"/>
      <c r="AA1932" s="7"/>
    </row>
    <row r="1933" ht="18.75" customHeight="1">
      <c r="A1933" s="113" t="s">
        <v>1952</v>
      </c>
      <c r="B1933" s="113" t="s">
        <v>1028</v>
      </c>
      <c r="C1933" s="157" t="s">
        <v>1034</v>
      </c>
      <c r="D1933" s="159">
        <v>2985.0</v>
      </c>
      <c r="E1933" s="157" t="s">
        <v>1429</v>
      </c>
      <c r="F1933" s="25" t="s">
        <v>37</v>
      </c>
      <c r="G1933" s="161"/>
      <c r="H1933" s="177">
        <v>492.2</v>
      </c>
      <c r="I1933" s="163">
        <v>10.0</v>
      </c>
      <c r="J1933" s="29" t="s">
        <v>81</v>
      </c>
      <c r="K1933" s="30">
        <v>0.150000000000003</v>
      </c>
      <c r="L1933" s="155">
        <f t="shared" si="7"/>
        <v>1.5</v>
      </c>
      <c r="M1933" s="31">
        <f t="shared" si="2"/>
        <v>8.5</v>
      </c>
      <c r="N1933" s="32">
        <f t="shared" si="8"/>
        <v>73.83</v>
      </c>
      <c r="O1933" s="32">
        <f t="shared" si="9"/>
        <v>418.37</v>
      </c>
      <c r="P1933" s="32">
        <f t="shared" si="5"/>
        <v>418.37</v>
      </c>
      <c r="Q1933" s="22">
        <v>0.0</v>
      </c>
      <c r="R1933" s="32">
        <f t="shared" si="6"/>
        <v>49.22</v>
      </c>
      <c r="S1933" s="33" t="s">
        <v>29</v>
      </c>
      <c r="T1933" s="33" t="s">
        <v>30</v>
      </c>
      <c r="U1933" s="173" t="s">
        <v>787</v>
      </c>
      <c r="V1933" s="57"/>
      <c r="W1933" s="7"/>
      <c r="X1933" s="7"/>
      <c r="Y1933" s="7"/>
      <c r="Z1933" s="7"/>
      <c r="AA1933" s="7"/>
    </row>
    <row r="1934" ht="18.75" customHeight="1">
      <c r="A1934" s="166" t="s">
        <v>1952</v>
      </c>
      <c r="B1934" s="166" t="s">
        <v>1028</v>
      </c>
      <c r="C1934" s="160" t="s">
        <v>1953</v>
      </c>
      <c r="D1934" s="167">
        <v>2990.0</v>
      </c>
      <c r="E1934" s="160" t="s">
        <v>1429</v>
      </c>
      <c r="F1934" s="11" t="s">
        <v>37</v>
      </c>
      <c r="G1934" s="168"/>
      <c r="H1934" s="178">
        <v>492.2</v>
      </c>
      <c r="I1934" s="170">
        <v>10.0</v>
      </c>
      <c r="J1934" s="15" t="s">
        <v>81</v>
      </c>
      <c r="K1934" s="16">
        <v>0.150000000000003</v>
      </c>
      <c r="L1934" s="164">
        <f t="shared" si="7"/>
        <v>1.5</v>
      </c>
      <c r="M1934" s="17">
        <f t="shared" si="2"/>
        <v>8.5</v>
      </c>
      <c r="N1934" s="18">
        <f t="shared" si="8"/>
        <v>73.83</v>
      </c>
      <c r="O1934" s="18">
        <f t="shared" si="9"/>
        <v>418.37</v>
      </c>
      <c r="P1934" s="18">
        <f t="shared" si="5"/>
        <v>418.37</v>
      </c>
      <c r="Q1934" s="8">
        <v>0.0</v>
      </c>
      <c r="R1934" s="18">
        <f t="shared" si="6"/>
        <v>49.22</v>
      </c>
      <c r="S1934" s="19" t="s">
        <v>29</v>
      </c>
      <c r="T1934" s="19" t="s">
        <v>30</v>
      </c>
      <c r="U1934" s="171" t="s">
        <v>787</v>
      </c>
      <c r="V1934" s="145"/>
      <c r="W1934" s="7"/>
      <c r="X1934" s="7"/>
      <c r="Y1934" s="7"/>
      <c r="Z1934" s="7"/>
      <c r="AA1934" s="7"/>
    </row>
    <row r="1935" ht="18.75" customHeight="1">
      <c r="A1935" s="113" t="s">
        <v>1952</v>
      </c>
      <c r="B1935" s="113" t="s">
        <v>1028</v>
      </c>
      <c r="C1935" s="157" t="s">
        <v>626</v>
      </c>
      <c r="D1935" s="159">
        <v>2991.0</v>
      </c>
      <c r="E1935" s="157" t="s">
        <v>1429</v>
      </c>
      <c r="F1935" s="25" t="s">
        <v>37</v>
      </c>
      <c r="G1935" s="161"/>
      <c r="H1935" s="177">
        <v>492.2</v>
      </c>
      <c r="I1935" s="163">
        <v>10.0</v>
      </c>
      <c r="J1935" s="29" t="s">
        <v>81</v>
      </c>
      <c r="K1935" s="30">
        <v>0.150000000000003</v>
      </c>
      <c r="L1935" s="155">
        <f t="shared" si="7"/>
        <v>1.5</v>
      </c>
      <c r="M1935" s="31">
        <f t="shared" si="2"/>
        <v>8.5</v>
      </c>
      <c r="N1935" s="32">
        <f t="shared" si="8"/>
        <v>73.83</v>
      </c>
      <c r="O1935" s="32">
        <f t="shared" si="9"/>
        <v>418.37</v>
      </c>
      <c r="P1935" s="32">
        <f t="shared" si="5"/>
        <v>418.37</v>
      </c>
      <c r="Q1935" s="22">
        <v>0.0</v>
      </c>
      <c r="R1935" s="32">
        <f t="shared" si="6"/>
        <v>49.22</v>
      </c>
      <c r="S1935" s="33" t="s">
        <v>29</v>
      </c>
      <c r="T1935" s="33" t="s">
        <v>30</v>
      </c>
      <c r="U1935" s="173" t="s">
        <v>787</v>
      </c>
      <c r="V1935" s="57"/>
      <c r="W1935" s="7"/>
      <c r="X1935" s="7"/>
      <c r="Y1935" s="7"/>
      <c r="Z1935" s="7"/>
      <c r="AA1935" s="7"/>
    </row>
    <row r="1936" ht="18.75" customHeight="1">
      <c r="A1936" s="166" t="s">
        <v>1952</v>
      </c>
      <c r="B1936" s="166" t="s">
        <v>1028</v>
      </c>
      <c r="C1936" s="160" t="s">
        <v>1034</v>
      </c>
      <c r="D1936" s="167">
        <v>2992.0</v>
      </c>
      <c r="E1936" s="160" t="s">
        <v>1429</v>
      </c>
      <c r="F1936" s="11" t="s">
        <v>37</v>
      </c>
      <c r="G1936" s="168"/>
      <c r="H1936" s="178">
        <v>492.2</v>
      </c>
      <c r="I1936" s="170">
        <v>10.0</v>
      </c>
      <c r="J1936" s="15" t="s">
        <v>81</v>
      </c>
      <c r="K1936" s="16">
        <v>0.150000000000003</v>
      </c>
      <c r="L1936" s="164">
        <f t="shared" si="7"/>
        <v>1.5</v>
      </c>
      <c r="M1936" s="17">
        <f t="shared" si="2"/>
        <v>8.5</v>
      </c>
      <c r="N1936" s="18">
        <f t="shared" si="8"/>
        <v>73.83</v>
      </c>
      <c r="O1936" s="18">
        <f t="shared" si="9"/>
        <v>418.37</v>
      </c>
      <c r="P1936" s="18">
        <f t="shared" si="5"/>
        <v>418.37</v>
      </c>
      <c r="Q1936" s="8">
        <v>0.0</v>
      </c>
      <c r="R1936" s="18">
        <f t="shared" si="6"/>
        <v>49.22</v>
      </c>
      <c r="S1936" s="19" t="s">
        <v>29</v>
      </c>
      <c r="T1936" s="19" t="s">
        <v>30</v>
      </c>
      <c r="U1936" s="171" t="s">
        <v>787</v>
      </c>
      <c r="V1936" s="145"/>
      <c r="W1936" s="7"/>
      <c r="X1936" s="7"/>
      <c r="Y1936" s="7"/>
      <c r="Z1936" s="7"/>
      <c r="AA1936" s="7"/>
    </row>
    <row r="1937" ht="18.75" customHeight="1">
      <c r="A1937" s="113" t="s">
        <v>1952</v>
      </c>
      <c r="B1937" s="113" t="s">
        <v>1028</v>
      </c>
      <c r="C1937" s="157" t="s">
        <v>626</v>
      </c>
      <c r="D1937" s="159">
        <v>2993.0</v>
      </c>
      <c r="E1937" s="157" t="s">
        <v>1432</v>
      </c>
      <c r="F1937" s="25" t="s">
        <v>37</v>
      </c>
      <c r="G1937" s="187">
        <v>45532.0</v>
      </c>
      <c r="H1937" s="177">
        <v>6533.63</v>
      </c>
      <c r="I1937" s="163">
        <v>10.0</v>
      </c>
      <c r="J1937" s="29" t="s">
        <v>81</v>
      </c>
      <c r="K1937" s="30">
        <v>0.150000000000003</v>
      </c>
      <c r="L1937" s="155">
        <f t="shared" si="7"/>
        <v>1.5</v>
      </c>
      <c r="M1937" s="31">
        <f t="shared" si="2"/>
        <v>8.5</v>
      </c>
      <c r="N1937" s="32">
        <f t="shared" si="8"/>
        <v>980.0445</v>
      </c>
      <c r="O1937" s="32">
        <f t="shared" si="9"/>
        <v>5553.5855</v>
      </c>
      <c r="P1937" s="32">
        <f t="shared" si="5"/>
        <v>5553.5855</v>
      </c>
      <c r="Q1937" s="22">
        <v>0.0</v>
      </c>
      <c r="R1937" s="32">
        <f t="shared" si="6"/>
        <v>653.363</v>
      </c>
      <c r="S1937" s="33" t="s">
        <v>29</v>
      </c>
      <c r="T1937" s="33" t="s">
        <v>30</v>
      </c>
      <c r="U1937" s="173" t="s">
        <v>674</v>
      </c>
      <c r="V1937" s="57"/>
      <c r="W1937" s="7"/>
      <c r="X1937" s="7"/>
      <c r="Y1937" s="7"/>
      <c r="Z1937" s="7"/>
      <c r="AA1937" s="7"/>
    </row>
    <row r="1938" ht="18.75" customHeight="1">
      <c r="A1938" s="166" t="s">
        <v>1952</v>
      </c>
      <c r="B1938" s="166" t="s">
        <v>1028</v>
      </c>
      <c r="C1938" s="160" t="s">
        <v>626</v>
      </c>
      <c r="D1938" s="167">
        <v>2994.0</v>
      </c>
      <c r="E1938" s="160" t="s">
        <v>1432</v>
      </c>
      <c r="F1938" s="11" t="s">
        <v>37</v>
      </c>
      <c r="G1938" s="188">
        <v>45532.0</v>
      </c>
      <c r="H1938" s="178">
        <v>6533.63</v>
      </c>
      <c r="I1938" s="170">
        <v>10.0</v>
      </c>
      <c r="J1938" s="15" t="s">
        <v>81</v>
      </c>
      <c r="K1938" s="16">
        <v>0.150000000000003</v>
      </c>
      <c r="L1938" s="164">
        <f t="shared" si="7"/>
        <v>1.5</v>
      </c>
      <c r="M1938" s="17">
        <f t="shared" si="2"/>
        <v>8.5</v>
      </c>
      <c r="N1938" s="18">
        <f t="shared" si="8"/>
        <v>980.0445</v>
      </c>
      <c r="O1938" s="18">
        <f t="shared" si="9"/>
        <v>5553.5855</v>
      </c>
      <c r="P1938" s="18">
        <f t="shared" si="5"/>
        <v>5553.5855</v>
      </c>
      <c r="Q1938" s="8">
        <v>0.0</v>
      </c>
      <c r="R1938" s="18">
        <f t="shared" si="6"/>
        <v>653.363</v>
      </c>
      <c r="S1938" s="19" t="s">
        <v>29</v>
      </c>
      <c r="T1938" s="19" t="s">
        <v>30</v>
      </c>
      <c r="U1938" s="171" t="s">
        <v>674</v>
      </c>
      <c r="V1938" s="145"/>
      <c r="W1938" s="7"/>
      <c r="X1938" s="7"/>
      <c r="Y1938" s="7"/>
      <c r="Z1938" s="7"/>
      <c r="AA1938" s="7"/>
    </row>
    <row r="1939" ht="18.75" customHeight="1">
      <c r="A1939" s="113" t="s">
        <v>1952</v>
      </c>
      <c r="B1939" s="113" t="s">
        <v>1028</v>
      </c>
      <c r="C1939" s="157" t="s">
        <v>626</v>
      </c>
      <c r="D1939" s="159">
        <v>2995.0</v>
      </c>
      <c r="E1939" s="157" t="s">
        <v>1432</v>
      </c>
      <c r="F1939" s="25" t="s">
        <v>37</v>
      </c>
      <c r="G1939" s="187">
        <v>45532.0</v>
      </c>
      <c r="H1939" s="177">
        <v>6533.63</v>
      </c>
      <c r="I1939" s="163">
        <v>10.0</v>
      </c>
      <c r="J1939" s="29" t="s">
        <v>81</v>
      </c>
      <c r="K1939" s="30">
        <v>0.150000000000003</v>
      </c>
      <c r="L1939" s="155">
        <f t="shared" si="7"/>
        <v>1.5</v>
      </c>
      <c r="M1939" s="31">
        <f t="shared" si="2"/>
        <v>8.5</v>
      </c>
      <c r="N1939" s="32">
        <f t="shared" si="8"/>
        <v>980.0445</v>
      </c>
      <c r="O1939" s="32">
        <f t="shared" si="9"/>
        <v>5553.5855</v>
      </c>
      <c r="P1939" s="32">
        <f t="shared" si="5"/>
        <v>5553.5855</v>
      </c>
      <c r="Q1939" s="22">
        <v>0.0</v>
      </c>
      <c r="R1939" s="32">
        <f t="shared" si="6"/>
        <v>653.363</v>
      </c>
      <c r="S1939" s="33" t="s">
        <v>29</v>
      </c>
      <c r="T1939" s="33" t="s">
        <v>30</v>
      </c>
      <c r="U1939" s="173" t="s">
        <v>674</v>
      </c>
      <c r="V1939" s="57"/>
      <c r="W1939" s="7"/>
      <c r="X1939" s="7"/>
      <c r="Y1939" s="7"/>
      <c r="Z1939" s="7"/>
      <c r="AA1939" s="7"/>
    </row>
    <row r="1940" ht="18.75" customHeight="1">
      <c r="A1940" s="166" t="s">
        <v>1952</v>
      </c>
      <c r="B1940" s="166" t="s">
        <v>1028</v>
      </c>
      <c r="C1940" s="160" t="s">
        <v>1967</v>
      </c>
      <c r="D1940" s="167">
        <v>2996.0</v>
      </c>
      <c r="E1940" s="160" t="s">
        <v>1435</v>
      </c>
      <c r="F1940" s="11" t="s">
        <v>37</v>
      </c>
      <c r="G1940" s="168"/>
      <c r="H1940" s="178">
        <v>2014.8</v>
      </c>
      <c r="I1940" s="170">
        <v>10.0</v>
      </c>
      <c r="J1940" s="15" t="s">
        <v>81</v>
      </c>
      <c r="K1940" s="16">
        <v>0.150000000000003</v>
      </c>
      <c r="L1940" s="164">
        <f t="shared" si="7"/>
        <v>1.5</v>
      </c>
      <c r="M1940" s="17">
        <f t="shared" si="2"/>
        <v>8.5</v>
      </c>
      <c r="N1940" s="18">
        <f t="shared" si="8"/>
        <v>302.22</v>
      </c>
      <c r="O1940" s="18">
        <f t="shared" si="9"/>
        <v>1712.58</v>
      </c>
      <c r="P1940" s="18">
        <f t="shared" si="5"/>
        <v>1712.58</v>
      </c>
      <c r="Q1940" s="8">
        <v>0.0</v>
      </c>
      <c r="R1940" s="18">
        <f t="shared" si="6"/>
        <v>201.48</v>
      </c>
      <c r="S1940" s="19" t="s">
        <v>29</v>
      </c>
      <c r="T1940" s="19" t="s">
        <v>30</v>
      </c>
      <c r="U1940" s="171" t="s">
        <v>527</v>
      </c>
      <c r="V1940" s="145"/>
      <c r="W1940" s="7"/>
      <c r="X1940" s="7"/>
      <c r="Y1940" s="7"/>
      <c r="Z1940" s="7"/>
      <c r="AA1940" s="7"/>
    </row>
    <row r="1941" ht="18.75" customHeight="1">
      <c r="A1941" s="113" t="s">
        <v>1952</v>
      </c>
      <c r="B1941" s="113" t="s">
        <v>1028</v>
      </c>
      <c r="C1941" s="157" t="s">
        <v>626</v>
      </c>
      <c r="D1941" s="159">
        <v>2997.0</v>
      </c>
      <c r="E1941" s="157" t="s">
        <v>1435</v>
      </c>
      <c r="F1941" s="25" t="s">
        <v>37</v>
      </c>
      <c r="G1941" s="161"/>
      <c r="H1941" s="177">
        <v>2014.8</v>
      </c>
      <c r="I1941" s="163">
        <v>10.0</v>
      </c>
      <c r="J1941" s="29" t="s">
        <v>81</v>
      </c>
      <c r="K1941" s="30">
        <v>0.150000000000003</v>
      </c>
      <c r="L1941" s="155">
        <f t="shared" si="7"/>
        <v>1.5</v>
      </c>
      <c r="M1941" s="31">
        <f t="shared" si="2"/>
        <v>8.5</v>
      </c>
      <c r="N1941" s="32">
        <f t="shared" si="8"/>
        <v>302.22</v>
      </c>
      <c r="O1941" s="32">
        <f t="shared" si="9"/>
        <v>1712.58</v>
      </c>
      <c r="P1941" s="32">
        <f t="shared" si="5"/>
        <v>1712.58</v>
      </c>
      <c r="Q1941" s="22">
        <v>0.0</v>
      </c>
      <c r="R1941" s="32">
        <f t="shared" si="6"/>
        <v>201.48</v>
      </c>
      <c r="S1941" s="33" t="s">
        <v>29</v>
      </c>
      <c r="T1941" s="33" t="s">
        <v>30</v>
      </c>
      <c r="U1941" s="173" t="s">
        <v>527</v>
      </c>
      <c r="V1941" s="57"/>
      <c r="W1941" s="7"/>
      <c r="X1941" s="7"/>
      <c r="Y1941" s="7"/>
      <c r="Z1941" s="7"/>
      <c r="AA1941" s="7"/>
    </row>
    <row r="1942" ht="18.75" customHeight="1">
      <c r="A1942" s="166" t="s">
        <v>1952</v>
      </c>
      <c r="B1942" s="166" t="s">
        <v>1028</v>
      </c>
      <c r="C1942" s="160" t="s">
        <v>1953</v>
      </c>
      <c r="D1942" s="167">
        <v>3000.0</v>
      </c>
      <c r="E1942" s="160" t="s">
        <v>1984</v>
      </c>
      <c r="F1942" s="11" t="s">
        <v>37</v>
      </c>
      <c r="G1942" s="168"/>
      <c r="H1942" s="178">
        <v>2014.8</v>
      </c>
      <c r="I1942" s="170">
        <v>10.0</v>
      </c>
      <c r="J1942" s="15" t="s">
        <v>81</v>
      </c>
      <c r="K1942" s="16">
        <v>0.150000000000003</v>
      </c>
      <c r="L1942" s="164">
        <f t="shared" si="7"/>
        <v>1.5</v>
      </c>
      <c r="M1942" s="17">
        <f t="shared" si="2"/>
        <v>8.5</v>
      </c>
      <c r="N1942" s="18">
        <f t="shared" si="8"/>
        <v>302.22</v>
      </c>
      <c r="O1942" s="18">
        <f t="shared" si="9"/>
        <v>1712.58</v>
      </c>
      <c r="P1942" s="18">
        <f t="shared" si="5"/>
        <v>1712.58</v>
      </c>
      <c r="Q1942" s="8">
        <v>0.0</v>
      </c>
      <c r="R1942" s="18">
        <f t="shared" si="6"/>
        <v>201.48</v>
      </c>
      <c r="S1942" s="19" t="s">
        <v>29</v>
      </c>
      <c r="T1942" s="19" t="s">
        <v>30</v>
      </c>
      <c r="U1942" s="171" t="s">
        <v>787</v>
      </c>
      <c r="V1942" s="145"/>
      <c r="W1942" s="7"/>
      <c r="X1942" s="7"/>
      <c r="Y1942" s="7"/>
      <c r="Z1942" s="7"/>
      <c r="AA1942" s="7"/>
    </row>
    <row r="1943" ht="18.75" customHeight="1">
      <c r="A1943" s="113" t="s">
        <v>1952</v>
      </c>
      <c r="B1943" s="113" t="s">
        <v>1028</v>
      </c>
      <c r="C1943" s="157" t="s">
        <v>1953</v>
      </c>
      <c r="D1943" s="159">
        <v>3001.0</v>
      </c>
      <c r="E1943" s="157" t="s">
        <v>1985</v>
      </c>
      <c r="F1943" s="25" t="s">
        <v>37</v>
      </c>
      <c r="G1943" s="187">
        <v>45532.0</v>
      </c>
      <c r="H1943" s="177">
        <v>6533.63</v>
      </c>
      <c r="I1943" s="163">
        <v>10.0</v>
      </c>
      <c r="J1943" s="29" t="s">
        <v>81</v>
      </c>
      <c r="K1943" s="30">
        <v>0.150000000000003</v>
      </c>
      <c r="L1943" s="155">
        <f t="shared" si="7"/>
        <v>1.5</v>
      </c>
      <c r="M1943" s="31">
        <f t="shared" si="2"/>
        <v>8.5</v>
      </c>
      <c r="N1943" s="32">
        <f t="shared" si="8"/>
        <v>980.0445</v>
      </c>
      <c r="O1943" s="32">
        <f t="shared" si="9"/>
        <v>5553.5855</v>
      </c>
      <c r="P1943" s="32">
        <f t="shared" si="5"/>
        <v>5553.5855</v>
      </c>
      <c r="Q1943" s="22">
        <v>0.0</v>
      </c>
      <c r="R1943" s="32">
        <f t="shared" si="6"/>
        <v>653.363</v>
      </c>
      <c r="S1943" s="33" t="s">
        <v>29</v>
      </c>
      <c r="T1943" s="33" t="s">
        <v>30</v>
      </c>
      <c r="U1943" s="180" t="s">
        <v>366</v>
      </c>
      <c r="V1943" s="57"/>
      <c r="W1943" s="7"/>
      <c r="X1943" s="7"/>
      <c r="Y1943" s="7"/>
      <c r="Z1943" s="7"/>
      <c r="AA1943" s="7"/>
    </row>
    <row r="1944" ht="18.75" customHeight="1">
      <c r="A1944" s="166" t="s">
        <v>1952</v>
      </c>
      <c r="B1944" s="166" t="s">
        <v>1028</v>
      </c>
      <c r="C1944" s="160" t="s">
        <v>1953</v>
      </c>
      <c r="D1944" s="167">
        <v>3002.0</v>
      </c>
      <c r="E1944" s="160" t="s">
        <v>1986</v>
      </c>
      <c r="F1944" s="11" t="s">
        <v>37</v>
      </c>
      <c r="G1944" s="168"/>
      <c r="H1944" s="178">
        <v>2562.76</v>
      </c>
      <c r="I1944" s="170">
        <v>10.0</v>
      </c>
      <c r="J1944" s="15" t="s">
        <v>81</v>
      </c>
      <c r="K1944" s="16">
        <v>0.150000000000003</v>
      </c>
      <c r="L1944" s="164">
        <f t="shared" si="7"/>
        <v>1.5</v>
      </c>
      <c r="M1944" s="17">
        <f t="shared" si="2"/>
        <v>8.5</v>
      </c>
      <c r="N1944" s="18">
        <f t="shared" si="8"/>
        <v>384.414</v>
      </c>
      <c r="O1944" s="18">
        <f t="shared" si="9"/>
        <v>2178.346</v>
      </c>
      <c r="P1944" s="18">
        <f t="shared" si="5"/>
        <v>2178.346</v>
      </c>
      <c r="Q1944" s="8">
        <v>0.0</v>
      </c>
      <c r="R1944" s="18">
        <f t="shared" si="6"/>
        <v>256.276</v>
      </c>
      <c r="S1944" s="19" t="s">
        <v>29</v>
      </c>
      <c r="T1944" s="19" t="s">
        <v>30</v>
      </c>
      <c r="U1944" s="179" t="s">
        <v>374</v>
      </c>
      <c r="V1944" s="145"/>
      <c r="W1944" s="7"/>
      <c r="X1944" s="7"/>
      <c r="Y1944" s="7"/>
      <c r="Z1944" s="7"/>
      <c r="AA1944" s="7"/>
    </row>
    <row r="1945" ht="18.75" customHeight="1">
      <c r="A1945" s="113" t="s">
        <v>1952</v>
      </c>
      <c r="B1945" s="113" t="s">
        <v>1028</v>
      </c>
      <c r="C1945" s="157" t="s">
        <v>1983</v>
      </c>
      <c r="D1945" s="159">
        <v>3003.0</v>
      </c>
      <c r="E1945" s="157" t="s">
        <v>1432</v>
      </c>
      <c r="F1945" s="25" t="s">
        <v>37</v>
      </c>
      <c r="G1945" s="187">
        <v>45532.0</v>
      </c>
      <c r="H1945" s="177">
        <v>6533.63</v>
      </c>
      <c r="I1945" s="163">
        <v>10.0</v>
      </c>
      <c r="J1945" s="29" t="s">
        <v>81</v>
      </c>
      <c r="K1945" s="30">
        <v>0.150000000000003</v>
      </c>
      <c r="L1945" s="155">
        <f t="shared" si="7"/>
        <v>1.5</v>
      </c>
      <c r="M1945" s="31">
        <f t="shared" si="2"/>
        <v>8.5</v>
      </c>
      <c r="N1945" s="32">
        <f t="shared" si="8"/>
        <v>980.0445</v>
      </c>
      <c r="O1945" s="32">
        <f t="shared" si="9"/>
        <v>5553.5855</v>
      </c>
      <c r="P1945" s="32">
        <f t="shared" si="5"/>
        <v>5553.5855</v>
      </c>
      <c r="Q1945" s="22">
        <v>0.0</v>
      </c>
      <c r="R1945" s="32">
        <f t="shared" si="6"/>
        <v>653.363</v>
      </c>
      <c r="S1945" s="33" t="s">
        <v>29</v>
      </c>
      <c r="T1945" s="33" t="s">
        <v>30</v>
      </c>
      <c r="U1945" s="173" t="s">
        <v>674</v>
      </c>
      <c r="V1945" s="57"/>
      <c r="W1945" s="7"/>
      <c r="X1945" s="7"/>
      <c r="Y1945" s="7"/>
      <c r="Z1945" s="7"/>
      <c r="AA1945" s="7"/>
    </row>
    <row r="1946" ht="18.75" customHeight="1">
      <c r="A1946" s="166" t="s">
        <v>1952</v>
      </c>
      <c r="B1946" s="166" t="s">
        <v>1028</v>
      </c>
      <c r="C1946" s="160" t="s">
        <v>1983</v>
      </c>
      <c r="D1946" s="167">
        <v>3004.0</v>
      </c>
      <c r="E1946" s="160" t="s">
        <v>1432</v>
      </c>
      <c r="F1946" s="11" t="s">
        <v>37</v>
      </c>
      <c r="G1946" s="188">
        <v>45532.0</v>
      </c>
      <c r="H1946" s="178">
        <v>6533.63</v>
      </c>
      <c r="I1946" s="170">
        <v>10.0</v>
      </c>
      <c r="J1946" s="15" t="s">
        <v>81</v>
      </c>
      <c r="K1946" s="16">
        <v>0.150000000000003</v>
      </c>
      <c r="L1946" s="164">
        <f t="shared" si="7"/>
        <v>1.5</v>
      </c>
      <c r="M1946" s="17">
        <f t="shared" si="2"/>
        <v>8.5</v>
      </c>
      <c r="N1946" s="18">
        <f t="shared" si="8"/>
        <v>980.0445</v>
      </c>
      <c r="O1946" s="18">
        <f t="shared" si="9"/>
        <v>5553.5855</v>
      </c>
      <c r="P1946" s="18">
        <f t="shared" si="5"/>
        <v>5553.5855</v>
      </c>
      <c r="Q1946" s="8">
        <v>0.0</v>
      </c>
      <c r="R1946" s="18">
        <f t="shared" si="6"/>
        <v>653.363</v>
      </c>
      <c r="S1946" s="19" t="s">
        <v>29</v>
      </c>
      <c r="T1946" s="19" t="s">
        <v>30</v>
      </c>
      <c r="U1946" s="171" t="s">
        <v>674</v>
      </c>
      <c r="V1946" s="145"/>
      <c r="W1946" s="7"/>
      <c r="X1946" s="7"/>
      <c r="Y1946" s="7"/>
      <c r="Z1946" s="7"/>
      <c r="AA1946" s="7"/>
    </row>
    <row r="1947" ht="18.75" customHeight="1">
      <c r="A1947" s="113" t="s">
        <v>1952</v>
      </c>
      <c r="B1947" s="113" t="s">
        <v>1028</v>
      </c>
      <c r="C1947" s="157" t="s">
        <v>1983</v>
      </c>
      <c r="D1947" s="159">
        <v>3005.0</v>
      </c>
      <c r="E1947" s="157" t="s">
        <v>1435</v>
      </c>
      <c r="F1947" s="25" t="s">
        <v>37</v>
      </c>
      <c r="G1947" s="161"/>
      <c r="H1947" s="177">
        <v>2014.8</v>
      </c>
      <c r="I1947" s="163">
        <v>10.0</v>
      </c>
      <c r="J1947" s="29" t="s">
        <v>81</v>
      </c>
      <c r="K1947" s="30">
        <v>0.150000000000003</v>
      </c>
      <c r="L1947" s="155">
        <f t="shared" si="7"/>
        <v>1.5</v>
      </c>
      <c r="M1947" s="31">
        <f t="shared" si="2"/>
        <v>8.5</v>
      </c>
      <c r="N1947" s="32">
        <f t="shared" si="8"/>
        <v>302.22</v>
      </c>
      <c r="O1947" s="32">
        <f t="shared" si="9"/>
        <v>1712.58</v>
      </c>
      <c r="P1947" s="32">
        <f t="shared" si="5"/>
        <v>1712.58</v>
      </c>
      <c r="Q1947" s="22">
        <v>0.0</v>
      </c>
      <c r="R1947" s="32">
        <f t="shared" si="6"/>
        <v>201.48</v>
      </c>
      <c r="S1947" s="33" t="s">
        <v>29</v>
      </c>
      <c r="T1947" s="33" t="s">
        <v>30</v>
      </c>
      <c r="U1947" s="173" t="s">
        <v>527</v>
      </c>
      <c r="V1947" s="57"/>
      <c r="W1947" s="7"/>
      <c r="X1947" s="7"/>
      <c r="Y1947" s="7"/>
      <c r="Z1947" s="7"/>
      <c r="AA1947" s="7"/>
    </row>
    <row r="1948" ht="18.75" customHeight="1">
      <c r="A1948" s="166" t="s">
        <v>1952</v>
      </c>
      <c r="B1948" s="166" t="s">
        <v>1028</v>
      </c>
      <c r="C1948" s="160" t="s">
        <v>1983</v>
      </c>
      <c r="D1948" s="167">
        <v>3006.0</v>
      </c>
      <c r="E1948" s="160" t="s">
        <v>1435</v>
      </c>
      <c r="F1948" s="11" t="s">
        <v>37</v>
      </c>
      <c r="G1948" s="168"/>
      <c r="H1948" s="178">
        <v>2014.8</v>
      </c>
      <c r="I1948" s="170">
        <v>10.0</v>
      </c>
      <c r="J1948" s="15" t="s">
        <v>81</v>
      </c>
      <c r="K1948" s="16">
        <v>0.150000000000003</v>
      </c>
      <c r="L1948" s="164">
        <f t="shared" si="7"/>
        <v>1.5</v>
      </c>
      <c r="M1948" s="17">
        <f t="shared" si="2"/>
        <v>8.5</v>
      </c>
      <c r="N1948" s="18">
        <f t="shared" si="8"/>
        <v>302.22</v>
      </c>
      <c r="O1948" s="18">
        <f t="shared" si="9"/>
        <v>1712.58</v>
      </c>
      <c r="P1948" s="18">
        <f t="shared" si="5"/>
        <v>1712.58</v>
      </c>
      <c r="Q1948" s="8">
        <v>0.0</v>
      </c>
      <c r="R1948" s="18">
        <f t="shared" si="6"/>
        <v>201.48</v>
      </c>
      <c r="S1948" s="19" t="s">
        <v>29</v>
      </c>
      <c r="T1948" s="19" t="s">
        <v>30</v>
      </c>
      <c r="U1948" s="171" t="s">
        <v>527</v>
      </c>
      <c r="V1948" s="145"/>
      <c r="W1948" s="7"/>
      <c r="X1948" s="7"/>
      <c r="Y1948" s="7"/>
      <c r="Z1948" s="7"/>
      <c r="AA1948" s="7"/>
    </row>
    <row r="1949" ht="18.75" customHeight="1">
      <c r="A1949" s="113" t="s">
        <v>1952</v>
      </c>
      <c r="B1949" s="113" t="s">
        <v>1028</v>
      </c>
      <c r="C1949" s="157" t="s">
        <v>1957</v>
      </c>
      <c r="D1949" s="159">
        <v>3007.0</v>
      </c>
      <c r="E1949" s="157" t="s">
        <v>1444</v>
      </c>
      <c r="F1949" s="25" t="s">
        <v>37</v>
      </c>
      <c r="G1949" s="161"/>
      <c r="H1949" s="177">
        <v>492.2</v>
      </c>
      <c r="I1949" s="163">
        <v>10.0</v>
      </c>
      <c r="J1949" s="29" t="s">
        <v>81</v>
      </c>
      <c r="K1949" s="30">
        <v>0.150000000000003</v>
      </c>
      <c r="L1949" s="155">
        <f t="shared" si="7"/>
        <v>1.5</v>
      </c>
      <c r="M1949" s="31">
        <f t="shared" si="2"/>
        <v>8.5</v>
      </c>
      <c r="N1949" s="32">
        <f t="shared" si="8"/>
        <v>73.83</v>
      </c>
      <c r="O1949" s="32">
        <f t="shared" si="9"/>
        <v>418.37</v>
      </c>
      <c r="P1949" s="32">
        <f t="shared" si="5"/>
        <v>418.37</v>
      </c>
      <c r="Q1949" s="22">
        <v>0.0</v>
      </c>
      <c r="R1949" s="32">
        <f t="shared" si="6"/>
        <v>49.22</v>
      </c>
      <c r="S1949" s="33" t="s">
        <v>29</v>
      </c>
      <c r="T1949" s="33" t="s">
        <v>30</v>
      </c>
      <c r="U1949" s="180" t="s">
        <v>223</v>
      </c>
      <c r="V1949" s="57"/>
      <c r="W1949" s="7"/>
      <c r="X1949" s="7"/>
      <c r="Y1949" s="7"/>
      <c r="Z1949" s="7"/>
      <c r="AA1949" s="7"/>
    </row>
    <row r="1950" ht="18.75" customHeight="1">
      <c r="A1950" s="166" t="s">
        <v>1952</v>
      </c>
      <c r="B1950" s="166" t="s">
        <v>1028</v>
      </c>
      <c r="C1950" s="160" t="s">
        <v>1119</v>
      </c>
      <c r="D1950" s="167">
        <v>3008.0</v>
      </c>
      <c r="E1950" s="160" t="s">
        <v>1444</v>
      </c>
      <c r="F1950" s="11" t="s">
        <v>37</v>
      </c>
      <c r="G1950" s="168"/>
      <c r="H1950" s="178">
        <v>492.2</v>
      </c>
      <c r="I1950" s="170">
        <v>10.0</v>
      </c>
      <c r="J1950" s="15" t="s">
        <v>81</v>
      </c>
      <c r="K1950" s="16">
        <v>0.150000000000003</v>
      </c>
      <c r="L1950" s="164">
        <f t="shared" si="7"/>
        <v>1.5</v>
      </c>
      <c r="M1950" s="17">
        <f t="shared" si="2"/>
        <v>8.5</v>
      </c>
      <c r="N1950" s="18">
        <f t="shared" si="8"/>
        <v>73.83</v>
      </c>
      <c r="O1950" s="18">
        <f t="shared" si="9"/>
        <v>418.37</v>
      </c>
      <c r="P1950" s="18">
        <f t="shared" si="5"/>
        <v>418.37</v>
      </c>
      <c r="Q1950" s="8">
        <v>0.0</v>
      </c>
      <c r="R1950" s="18">
        <f t="shared" si="6"/>
        <v>49.22</v>
      </c>
      <c r="S1950" s="19" t="s">
        <v>29</v>
      </c>
      <c r="T1950" s="19" t="s">
        <v>30</v>
      </c>
      <c r="U1950" s="179" t="s">
        <v>223</v>
      </c>
      <c r="V1950" s="145"/>
      <c r="W1950" s="7"/>
      <c r="X1950" s="7"/>
      <c r="Y1950" s="7"/>
      <c r="Z1950" s="7"/>
      <c r="AA1950" s="7"/>
    </row>
    <row r="1951" ht="18.75" customHeight="1">
      <c r="A1951" s="113" t="s">
        <v>1952</v>
      </c>
      <c r="B1951" s="113" t="s">
        <v>1028</v>
      </c>
      <c r="C1951" s="157" t="s">
        <v>1957</v>
      </c>
      <c r="D1951" s="159">
        <v>3009.0</v>
      </c>
      <c r="E1951" s="157" t="s">
        <v>1432</v>
      </c>
      <c r="F1951" s="25" t="s">
        <v>37</v>
      </c>
      <c r="G1951" s="187">
        <v>45532.0</v>
      </c>
      <c r="H1951" s="177">
        <v>6533.63</v>
      </c>
      <c r="I1951" s="163">
        <v>10.0</v>
      </c>
      <c r="J1951" s="29" t="s">
        <v>81</v>
      </c>
      <c r="K1951" s="30">
        <v>0.150000000000003</v>
      </c>
      <c r="L1951" s="155">
        <f t="shared" si="7"/>
        <v>1.5</v>
      </c>
      <c r="M1951" s="31">
        <f t="shared" si="2"/>
        <v>8.5</v>
      </c>
      <c r="N1951" s="32">
        <f t="shared" si="8"/>
        <v>980.0445</v>
      </c>
      <c r="O1951" s="32">
        <f t="shared" si="9"/>
        <v>5553.5855</v>
      </c>
      <c r="P1951" s="32">
        <f t="shared" si="5"/>
        <v>5553.5855</v>
      </c>
      <c r="Q1951" s="22">
        <v>0.0</v>
      </c>
      <c r="R1951" s="32">
        <f t="shared" si="6"/>
        <v>653.363</v>
      </c>
      <c r="S1951" s="33" t="s">
        <v>29</v>
      </c>
      <c r="T1951" s="33" t="s">
        <v>30</v>
      </c>
      <c r="U1951" s="173" t="s">
        <v>674</v>
      </c>
      <c r="V1951" s="57"/>
      <c r="W1951" s="7"/>
      <c r="X1951" s="7"/>
      <c r="Y1951" s="7"/>
      <c r="Z1951" s="7"/>
      <c r="AA1951" s="7"/>
    </row>
    <row r="1952" ht="18.75" customHeight="1">
      <c r="A1952" s="166" t="s">
        <v>1952</v>
      </c>
      <c r="B1952" s="166" t="s">
        <v>1028</v>
      </c>
      <c r="C1952" s="160" t="s">
        <v>1957</v>
      </c>
      <c r="D1952" s="167">
        <v>3010.0</v>
      </c>
      <c r="E1952" s="160" t="s">
        <v>1432</v>
      </c>
      <c r="F1952" s="11" t="s">
        <v>37</v>
      </c>
      <c r="G1952" s="188">
        <v>45532.0</v>
      </c>
      <c r="H1952" s="178">
        <v>6533.63</v>
      </c>
      <c r="I1952" s="170">
        <v>10.0</v>
      </c>
      <c r="J1952" s="15" t="s">
        <v>81</v>
      </c>
      <c r="K1952" s="16">
        <v>0.150000000000003</v>
      </c>
      <c r="L1952" s="164">
        <f t="shared" si="7"/>
        <v>1.5</v>
      </c>
      <c r="M1952" s="17">
        <f t="shared" si="2"/>
        <v>8.5</v>
      </c>
      <c r="N1952" s="18">
        <f t="shared" si="8"/>
        <v>980.0445</v>
      </c>
      <c r="O1952" s="18">
        <f t="shared" si="9"/>
        <v>5553.5855</v>
      </c>
      <c r="P1952" s="18">
        <f t="shared" si="5"/>
        <v>5553.5855</v>
      </c>
      <c r="Q1952" s="8">
        <v>0.0</v>
      </c>
      <c r="R1952" s="18">
        <f t="shared" si="6"/>
        <v>653.363</v>
      </c>
      <c r="S1952" s="19" t="s">
        <v>29</v>
      </c>
      <c r="T1952" s="19" t="s">
        <v>30</v>
      </c>
      <c r="U1952" s="171" t="s">
        <v>674</v>
      </c>
      <c r="V1952" s="145"/>
      <c r="W1952" s="7"/>
      <c r="X1952" s="7"/>
      <c r="Y1952" s="7"/>
      <c r="Z1952" s="7"/>
      <c r="AA1952" s="7"/>
    </row>
    <row r="1953" ht="18.75" customHeight="1">
      <c r="A1953" s="113" t="s">
        <v>1952</v>
      </c>
      <c r="B1953" s="113" t="s">
        <v>1028</v>
      </c>
      <c r="C1953" s="157" t="s">
        <v>1957</v>
      </c>
      <c r="D1953" s="159">
        <v>3011.0</v>
      </c>
      <c r="E1953" s="157" t="s">
        <v>1432</v>
      </c>
      <c r="F1953" s="25" t="s">
        <v>37</v>
      </c>
      <c r="G1953" s="187">
        <v>45532.0</v>
      </c>
      <c r="H1953" s="177">
        <v>6533.63</v>
      </c>
      <c r="I1953" s="163">
        <v>10.0</v>
      </c>
      <c r="J1953" s="29" t="s">
        <v>81</v>
      </c>
      <c r="K1953" s="30">
        <v>0.150000000000003</v>
      </c>
      <c r="L1953" s="155">
        <f t="shared" si="7"/>
        <v>1.5</v>
      </c>
      <c r="M1953" s="31">
        <f t="shared" si="2"/>
        <v>8.5</v>
      </c>
      <c r="N1953" s="32">
        <f t="shared" si="8"/>
        <v>980.0445</v>
      </c>
      <c r="O1953" s="32">
        <f t="shared" si="9"/>
        <v>5553.5855</v>
      </c>
      <c r="P1953" s="32">
        <f t="shared" si="5"/>
        <v>5553.5855</v>
      </c>
      <c r="Q1953" s="22">
        <v>0.0</v>
      </c>
      <c r="R1953" s="32">
        <f t="shared" si="6"/>
        <v>653.363</v>
      </c>
      <c r="S1953" s="33" t="s">
        <v>29</v>
      </c>
      <c r="T1953" s="33" t="s">
        <v>30</v>
      </c>
      <c r="U1953" s="173" t="s">
        <v>674</v>
      </c>
      <c r="V1953" s="57"/>
      <c r="W1953" s="7"/>
      <c r="X1953" s="7"/>
      <c r="Y1953" s="7"/>
      <c r="Z1953" s="7"/>
      <c r="AA1953" s="7"/>
    </row>
    <row r="1954" ht="18.75" customHeight="1">
      <c r="A1954" s="166" t="s">
        <v>1952</v>
      </c>
      <c r="B1954" s="166" t="s">
        <v>1028</v>
      </c>
      <c r="C1954" s="160" t="s">
        <v>1957</v>
      </c>
      <c r="D1954" s="167">
        <v>3012.0</v>
      </c>
      <c r="E1954" s="160" t="s">
        <v>1435</v>
      </c>
      <c r="F1954" s="11" t="s">
        <v>37</v>
      </c>
      <c r="G1954" s="168"/>
      <c r="H1954" s="178">
        <v>2014.8</v>
      </c>
      <c r="I1954" s="170">
        <v>10.0</v>
      </c>
      <c r="J1954" s="15" t="s">
        <v>81</v>
      </c>
      <c r="K1954" s="16">
        <v>0.150000000000003</v>
      </c>
      <c r="L1954" s="164">
        <f t="shared" si="7"/>
        <v>1.5</v>
      </c>
      <c r="M1954" s="17">
        <f t="shared" si="2"/>
        <v>8.5</v>
      </c>
      <c r="N1954" s="18">
        <f t="shared" si="8"/>
        <v>302.22</v>
      </c>
      <c r="O1954" s="18">
        <f t="shared" si="9"/>
        <v>1712.58</v>
      </c>
      <c r="P1954" s="18">
        <f t="shared" si="5"/>
        <v>1712.58</v>
      </c>
      <c r="Q1954" s="8">
        <v>0.0</v>
      </c>
      <c r="R1954" s="18">
        <f t="shared" si="6"/>
        <v>201.48</v>
      </c>
      <c r="S1954" s="19" t="s">
        <v>29</v>
      </c>
      <c r="T1954" s="19" t="s">
        <v>30</v>
      </c>
      <c r="U1954" s="171" t="s">
        <v>527</v>
      </c>
      <c r="V1954" s="145"/>
      <c r="W1954" s="7"/>
      <c r="X1954" s="7"/>
      <c r="Y1954" s="7"/>
      <c r="Z1954" s="7"/>
      <c r="AA1954" s="7"/>
    </row>
    <row r="1955" ht="18.75" customHeight="1">
      <c r="A1955" s="113" t="s">
        <v>1952</v>
      </c>
      <c r="B1955" s="113" t="s">
        <v>1028</v>
      </c>
      <c r="C1955" s="157" t="s">
        <v>1034</v>
      </c>
      <c r="D1955" s="159">
        <v>3016.0</v>
      </c>
      <c r="E1955" s="157" t="s">
        <v>1433</v>
      </c>
      <c r="F1955" s="25" t="s">
        <v>37</v>
      </c>
      <c r="G1955" s="187">
        <v>45532.0</v>
      </c>
      <c r="H1955" s="177">
        <v>3039.85</v>
      </c>
      <c r="I1955" s="163">
        <v>10.0</v>
      </c>
      <c r="J1955" s="29" t="s">
        <v>81</v>
      </c>
      <c r="K1955" s="30">
        <v>0.150000000000003</v>
      </c>
      <c r="L1955" s="155">
        <f t="shared" si="7"/>
        <v>1.5</v>
      </c>
      <c r="M1955" s="31">
        <f t="shared" si="2"/>
        <v>8.5</v>
      </c>
      <c r="N1955" s="32">
        <f t="shared" si="8"/>
        <v>455.9775</v>
      </c>
      <c r="O1955" s="32">
        <f t="shared" si="9"/>
        <v>2583.8725</v>
      </c>
      <c r="P1955" s="32">
        <f t="shared" si="5"/>
        <v>2583.8725</v>
      </c>
      <c r="Q1955" s="22">
        <v>0.0</v>
      </c>
      <c r="R1955" s="32">
        <f t="shared" si="6"/>
        <v>303.985</v>
      </c>
      <c r="S1955" s="33" t="s">
        <v>29</v>
      </c>
      <c r="T1955" s="33" t="s">
        <v>30</v>
      </c>
      <c r="U1955" s="173" t="s">
        <v>905</v>
      </c>
      <c r="V1955" s="57"/>
      <c r="W1955" s="7"/>
      <c r="X1955" s="7"/>
      <c r="Y1955" s="7"/>
      <c r="Z1955" s="7"/>
      <c r="AA1955" s="7"/>
    </row>
    <row r="1956" ht="18.75" customHeight="1">
      <c r="A1956" s="166" t="s">
        <v>1952</v>
      </c>
      <c r="B1956" s="166" t="s">
        <v>1028</v>
      </c>
      <c r="C1956" s="160" t="s">
        <v>1034</v>
      </c>
      <c r="D1956" s="167">
        <v>3018.0</v>
      </c>
      <c r="E1956" s="160" t="s">
        <v>1987</v>
      </c>
      <c r="F1956" s="11" t="s">
        <v>37</v>
      </c>
      <c r="G1956" s="188">
        <v>45532.0</v>
      </c>
      <c r="H1956" s="178">
        <v>1707.18</v>
      </c>
      <c r="I1956" s="170">
        <v>10.0</v>
      </c>
      <c r="J1956" s="15" t="s">
        <v>81</v>
      </c>
      <c r="K1956" s="16">
        <v>0.150000000000003</v>
      </c>
      <c r="L1956" s="164">
        <f t="shared" si="7"/>
        <v>1.5</v>
      </c>
      <c r="M1956" s="17">
        <f t="shared" si="2"/>
        <v>8.5</v>
      </c>
      <c r="N1956" s="18">
        <f t="shared" si="8"/>
        <v>256.077</v>
      </c>
      <c r="O1956" s="18">
        <f t="shared" si="9"/>
        <v>1451.103</v>
      </c>
      <c r="P1956" s="18">
        <f t="shared" si="5"/>
        <v>1451.103</v>
      </c>
      <c r="Q1956" s="8">
        <v>0.0</v>
      </c>
      <c r="R1956" s="18">
        <f t="shared" si="6"/>
        <v>170.718</v>
      </c>
      <c r="S1956" s="19" t="s">
        <v>29</v>
      </c>
      <c r="T1956" s="19" t="s">
        <v>30</v>
      </c>
      <c r="U1956" s="179" t="s">
        <v>243</v>
      </c>
      <c r="V1956" s="145"/>
      <c r="W1956" s="7"/>
      <c r="X1956" s="7"/>
      <c r="Y1956" s="7"/>
      <c r="Z1956" s="7"/>
      <c r="AA1956" s="7"/>
    </row>
    <row r="1957" ht="18.75" customHeight="1">
      <c r="A1957" s="113" t="s">
        <v>1952</v>
      </c>
      <c r="B1957" s="113" t="s">
        <v>1028</v>
      </c>
      <c r="C1957" s="157" t="s">
        <v>1034</v>
      </c>
      <c r="D1957" s="159">
        <v>3019.0</v>
      </c>
      <c r="E1957" s="157" t="s">
        <v>1435</v>
      </c>
      <c r="F1957" s="25" t="s">
        <v>37</v>
      </c>
      <c r="G1957" s="161"/>
      <c r="H1957" s="177">
        <v>2014.8</v>
      </c>
      <c r="I1957" s="163">
        <v>10.0</v>
      </c>
      <c r="J1957" s="29" t="s">
        <v>81</v>
      </c>
      <c r="K1957" s="30">
        <v>0.150000000000003</v>
      </c>
      <c r="L1957" s="155">
        <f t="shared" si="7"/>
        <v>1.5</v>
      </c>
      <c r="M1957" s="31">
        <f t="shared" si="2"/>
        <v>8.5</v>
      </c>
      <c r="N1957" s="32">
        <f t="shared" si="8"/>
        <v>302.22</v>
      </c>
      <c r="O1957" s="32">
        <f t="shared" si="9"/>
        <v>1712.58</v>
      </c>
      <c r="P1957" s="32">
        <f t="shared" si="5"/>
        <v>1712.58</v>
      </c>
      <c r="Q1957" s="22">
        <v>0.0</v>
      </c>
      <c r="R1957" s="32">
        <f t="shared" si="6"/>
        <v>201.48</v>
      </c>
      <c r="S1957" s="33" t="s">
        <v>29</v>
      </c>
      <c r="T1957" s="33" t="s">
        <v>30</v>
      </c>
      <c r="U1957" s="173" t="s">
        <v>527</v>
      </c>
      <c r="V1957" s="57"/>
      <c r="W1957" s="7"/>
      <c r="X1957" s="7"/>
      <c r="Y1957" s="7"/>
      <c r="Z1957" s="7"/>
      <c r="AA1957" s="7"/>
    </row>
    <row r="1958" ht="18.75" customHeight="1">
      <c r="A1958" s="166" t="s">
        <v>1952</v>
      </c>
      <c r="B1958" s="166" t="s">
        <v>1028</v>
      </c>
      <c r="C1958" s="160" t="s">
        <v>1983</v>
      </c>
      <c r="D1958" s="167">
        <v>3020.0</v>
      </c>
      <c r="E1958" s="160" t="s">
        <v>1435</v>
      </c>
      <c r="F1958" s="11" t="s">
        <v>37</v>
      </c>
      <c r="G1958" s="168"/>
      <c r="H1958" s="178">
        <v>2014.8</v>
      </c>
      <c r="I1958" s="170">
        <v>10.0</v>
      </c>
      <c r="J1958" s="15" t="s">
        <v>81</v>
      </c>
      <c r="K1958" s="16">
        <v>0.150000000000003</v>
      </c>
      <c r="L1958" s="164">
        <f t="shared" si="7"/>
        <v>1.5</v>
      </c>
      <c r="M1958" s="17">
        <f t="shared" si="2"/>
        <v>8.5</v>
      </c>
      <c r="N1958" s="18">
        <f t="shared" si="8"/>
        <v>302.22</v>
      </c>
      <c r="O1958" s="18">
        <f t="shared" si="9"/>
        <v>1712.58</v>
      </c>
      <c r="P1958" s="18">
        <f t="shared" si="5"/>
        <v>1712.58</v>
      </c>
      <c r="Q1958" s="8">
        <v>0.0</v>
      </c>
      <c r="R1958" s="18">
        <f t="shared" si="6"/>
        <v>201.48</v>
      </c>
      <c r="S1958" s="19" t="s">
        <v>29</v>
      </c>
      <c r="T1958" s="19" t="s">
        <v>30</v>
      </c>
      <c r="U1958" s="171" t="s">
        <v>527</v>
      </c>
      <c r="V1958" s="145"/>
      <c r="W1958" s="7"/>
      <c r="X1958" s="7"/>
      <c r="Y1958" s="7"/>
      <c r="Z1958" s="7"/>
      <c r="AA1958" s="7"/>
    </row>
    <row r="1959" ht="18.75" customHeight="1">
      <c r="A1959" s="113" t="s">
        <v>1952</v>
      </c>
      <c r="B1959" s="113" t="s">
        <v>1028</v>
      </c>
      <c r="C1959" s="157" t="s">
        <v>1034</v>
      </c>
      <c r="D1959" s="159">
        <v>3021.0</v>
      </c>
      <c r="E1959" s="157" t="s">
        <v>1444</v>
      </c>
      <c r="F1959" s="25" t="s">
        <v>37</v>
      </c>
      <c r="G1959" s="161"/>
      <c r="H1959" s="177">
        <v>492.2</v>
      </c>
      <c r="I1959" s="163">
        <v>10.0</v>
      </c>
      <c r="J1959" s="29" t="s">
        <v>81</v>
      </c>
      <c r="K1959" s="30">
        <v>0.150000000000003</v>
      </c>
      <c r="L1959" s="155">
        <f t="shared" si="7"/>
        <v>1.5</v>
      </c>
      <c r="M1959" s="31">
        <f t="shared" si="2"/>
        <v>8.5</v>
      </c>
      <c r="N1959" s="32">
        <f t="shared" si="8"/>
        <v>73.83</v>
      </c>
      <c r="O1959" s="32">
        <f t="shared" si="9"/>
        <v>418.37</v>
      </c>
      <c r="P1959" s="32">
        <f t="shared" si="5"/>
        <v>418.37</v>
      </c>
      <c r="Q1959" s="22">
        <v>0.0</v>
      </c>
      <c r="R1959" s="32">
        <f t="shared" si="6"/>
        <v>49.22</v>
      </c>
      <c r="S1959" s="33" t="s">
        <v>29</v>
      </c>
      <c r="T1959" s="33" t="s">
        <v>30</v>
      </c>
      <c r="U1959" s="180" t="s">
        <v>223</v>
      </c>
      <c r="V1959" s="57"/>
      <c r="W1959" s="7"/>
      <c r="X1959" s="7"/>
      <c r="Y1959" s="7"/>
      <c r="Z1959" s="7"/>
      <c r="AA1959" s="7"/>
    </row>
    <row r="1960" ht="18.75" customHeight="1">
      <c r="A1960" s="166" t="s">
        <v>1952</v>
      </c>
      <c r="B1960" s="166" t="s">
        <v>1028</v>
      </c>
      <c r="C1960" s="160" t="s">
        <v>1034</v>
      </c>
      <c r="D1960" s="167">
        <v>3022.0</v>
      </c>
      <c r="E1960" s="160" t="s">
        <v>1444</v>
      </c>
      <c r="F1960" s="11" t="s">
        <v>37</v>
      </c>
      <c r="G1960" s="168"/>
      <c r="H1960" s="178">
        <v>492.2</v>
      </c>
      <c r="I1960" s="170">
        <v>10.0</v>
      </c>
      <c r="J1960" s="15" t="s">
        <v>81</v>
      </c>
      <c r="K1960" s="16">
        <v>0.150000000000003</v>
      </c>
      <c r="L1960" s="164">
        <f t="shared" si="7"/>
        <v>1.5</v>
      </c>
      <c r="M1960" s="17">
        <f t="shared" si="2"/>
        <v>8.5</v>
      </c>
      <c r="N1960" s="18">
        <f t="shared" si="8"/>
        <v>73.83</v>
      </c>
      <c r="O1960" s="18">
        <f t="shared" si="9"/>
        <v>418.37</v>
      </c>
      <c r="P1960" s="18">
        <f t="shared" si="5"/>
        <v>418.37</v>
      </c>
      <c r="Q1960" s="8">
        <v>0.0</v>
      </c>
      <c r="R1960" s="18">
        <f t="shared" si="6"/>
        <v>49.22</v>
      </c>
      <c r="S1960" s="19" t="s">
        <v>29</v>
      </c>
      <c r="T1960" s="19" t="s">
        <v>30</v>
      </c>
      <c r="U1960" s="179" t="s">
        <v>223</v>
      </c>
      <c r="V1960" s="145"/>
      <c r="W1960" s="7"/>
      <c r="X1960" s="7"/>
      <c r="Y1960" s="7"/>
      <c r="Z1960" s="7"/>
      <c r="AA1960" s="7"/>
    </row>
    <row r="1961" ht="18.75" customHeight="1">
      <c r="A1961" s="113" t="s">
        <v>1952</v>
      </c>
      <c r="B1961" s="113" t="s">
        <v>1028</v>
      </c>
      <c r="C1961" s="157" t="s">
        <v>1954</v>
      </c>
      <c r="D1961" s="159">
        <v>3121.0</v>
      </c>
      <c r="E1961" s="157" t="s">
        <v>1988</v>
      </c>
      <c r="F1961" s="25" t="s">
        <v>37</v>
      </c>
      <c r="G1961" s="161"/>
      <c r="H1961" s="177">
        <v>236.72</v>
      </c>
      <c r="I1961" s="163">
        <v>5.0</v>
      </c>
      <c r="J1961" s="29" t="s">
        <v>81</v>
      </c>
      <c r="K1961" s="30">
        <v>0.150000000000003</v>
      </c>
      <c r="L1961" s="155">
        <f t="shared" si="7"/>
        <v>0.75</v>
      </c>
      <c r="M1961" s="31">
        <f t="shared" si="2"/>
        <v>4.25</v>
      </c>
      <c r="N1961" s="32">
        <f t="shared" si="8"/>
        <v>35.508</v>
      </c>
      <c r="O1961" s="32">
        <f t="shared" si="9"/>
        <v>201.212</v>
      </c>
      <c r="P1961" s="32">
        <f t="shared" si="5"/>
        <v>201.212</v>
      </c>
      <c r="Q1961" s="22">
        <v>0.0</v>
      </c>
      <c r="R1961" s="32">
        <f t="shared" si="6"/>
        <v>47.344</v>
      </c>
      <c r="S1961" s="33" t="s">
        <v>29</v>
      </c>
      <c r="T1961" s="33" t="s">
        <v>30</v>
      </c>
      <c r="U1961" s="180" t="s">
        <v>247</v>
      </c>
      <c r="V1961" s="57"/>
      <c r="W1961" s="7"/>
      <c r="X1961" s="7"/>
      <c r="Y1961" s="7"/>
      <c r="Z1961" s="7"/>
      <c r="AA1961" s="7"/>
    </row>
    <row r="1962" ht="18.75" customHeight="1">
      <c r="A1962" s="166" t="s">
        <v>1952</v>
      </c>
      <c r="B1962" s="166" t="s">
        <v>1028</v>
      </c>
      <c r="C1962" s="160" t="s">
        <v>1983</v>
      </c>
      <c r="D1962" s="167">
        <v>3126.0</v>
      </c>
      <c r="E1962" s="160" t="s">
        <v>1989</v>
      </c>
      <c r="F1962" s="11" t="s">
        <v>202</v>
      </c>
      <c r="G1962" s="168"/>
      <c r="H1962" s="178">
        <v>3381.74</v>
      </c>
      <c r="I1962" s="170">
        <v>5.0</v>
      </c>
      <c r="J1962" s="15" t="s">
        <v>81</v>
      </c>
      <c r="K1962" s="16">
        <v>0.150000000000003</v>
      </c>
      <c r="L1962" s="164">
        <f t="shared" si="7"/>
        <v>0.75</v>
      </c>
      <c r="M1962" s="17">
        <f t="shared" si="2"/>
        <v>4.25</v>
      </c>
      <c r="N1962" s="18">
        <f t="shared" si="8"/>
        <v>507.261</v>
      </c>
      <c r="O1962" s="18">
        <f t="shared" si="9"/>
        <v>2874.479</v>
      </c>
      <c r="P1962" s="18">
        <f t="shared" si="5"/>
        <v>2874.479</v>
      </c>
      <c r="Q1962" s="8">
        <v>0.0</v>
      </c>
      <c r="R1962" s="18">
        <f t="shared" si="6"/>
        <v>676.348</v>
      </c>
      <c r="S1962" s="19" t="s">
        <v>29</v>
      </c>
      <c r="T1962" s="19" t="s">
        <v>30</v>
      </c>
      <c r="U1962" s="179" t="s">
        <v>125</v>
      </c>
      <c r="V1962" s="145"/>
      <c r="W1962" s="7"/>
      <c r="X1962" s="7"/>
      <c r="Y1962" s="7"/>
      <c r="Z1962" s="7"/>
      <c r="AA1962" s="7"/>
    </row>
    <row r="1963" ht="18.75" customHeight="1">
      <c r="A1963" s="113" t="s">
        <v>1952</v>
      </c>
      <c r="B1963" s="113" t="s">
        <v>1028</v>
      </c>
      <c r="C1963" s="157" t="s">
        <v>1983</v>
      </c>
      <c r="D1963" s="191">
        <v>3160.0</v>
      </c>
      <c r="E1963" s="157" t="s">
        <v>1990</v>
      </c>
      <c r="F1963" s="25" t="s">
        <v>202</v>
      </c>
      <c r="G1963" s="161"/>
      <c r="H1963" s="177">
        <v>205.0</v>
      </c>
      <c r="I1963" s="163">
        <v>5.0</v>
      </c>
      <c r="J1963" s="29" t="s">
        <v>81</v>
      </c>
      <c r="K1963" s="30">
        <v>0.150000000000003</v>
      </c>
      <c r="L1963" s="155">
        <f t="shared" si="7"/>
        <v>0.75</v>
      </c>
      <c r="M1963" s="31">
        <f t="shared" si="2"/>
        <v>4.25</v>
      </c>
      <c r="N1963" s="32">
        <f t="shared" si="8"/>
        <v>30.75</v>
      </c>
      <c r="O1963" s="32">
        <f t="shared" si="9"/>
        <v>174.25</v>
      </c>
      <c r="P1963" s="32">
        <f t="shared" si="5"/>
        <v>174.25</v>
      </c>
      <c r="Q1963" s="22">
        <v>0.0</v>
      </c>
      <c r="R1963" s="32">
        <f t="shared" si="6"/>
        <v>41</v>
      </c>
      <c r="S1963" s="33" t="s">
        <v>29</v>
      </c>
      <c r="T1963" s="33" t="s">
        <v>30</v>
      </c>
      <c r="U1963" s="180" t="s">
        <v>216</v>
      </c>
      <c r="V1963" s="57"/>
      <c r="W1963" s="7"/>
      <c r="X1963" s="7"/>
      <c r="Y1963" s="7"/>
      <c r="Z1963" s="7"/>
      <c r="AA1963" s="7"/>
    </row>
    <row r="1964" ht="18.75" customHeight="1">
      <c r="A1964" s="166" t="s">
        <v>1952</v>
      </c>
      <c r="B1964" s="166" t="s">
        <v>1028</v>
      </c>
      <c r="C1964" s="160" t="s">
        <v>1983</v>
      </c>
      <c r="D1964" s="167">
        <v>3178.0</v>
      </c>
      <c r="E1964" s="160" t="s">
        <v>1990</v>
      </c>
      <c r="F1964" s="11" t="s">
        <v>202</v>
      </c>
      <c r="G1964" s="168"/>
      <c r="H1964" s="178">
        <v>205.0</v>
      </c>
      <c r="I1964" s="170">
        <v>5.0</v>
      </c>
      <c r="J1964" s="15" t="s">
        <v>81</v>
      </c>
      <c r="K1964" s="16">
        <v>0.150000000000003</v>
      </c>
      <c r="L1964" s="164">
        <f t="shared" si="7"/>
        <v>0.75</v>
      </c>
      <c r="M1964" s="17">
        <f t="shared" si="2"/>
        <v>4.25</v>
      </c>
      <c r="N1964" s="18">
        <f t="shared" si="8"/>
        <v>30.75</v>
      </c>
      <c r="O1964" s="18">
        <f t="shared" si="9"/>
        <v>174.25</v>
      </c>
      <c r="P1964" s="18">
        <f t="shared" si="5"/>
        <v>174.25</v>
      </c>
      <c r="Q1964" s="8">
        <v>0.0</v>
      </c>
      <c r="R1964" s="18">
        <f t="shared" si="6"/>
        <v>41</v>
      </c>
      <c r="S1964" s="19" t="s">
        <v>29</v>
      </c>
      <c r="T1964" s="19" t="s">
        <v>30</v>
      </c>
      <c r="U1964" s="179" t="s">
        <v>216</v>
      </c>
      <c r="V1964" s="145"/>
      <c r="W1964" s="7"/>
      <c r="X1964" s="7"/>
      <c r="Y1964" s="7"/>
      <c r="Z1964" s="7"/>
      <c r="AA1964" s="7"/>
    </row>
    <row r="1965" ht="18.75" customHeight="1">
      <c r="A1965" s="113" t="s">
        <v>1952</v>
      </c>
      <c r="B1965" s="192" t="s">
        <v>1028</v>
      </c>
      <c r="C1965" s="157" t="s">
        <v>1983</v>
      </c>
      <c r="D1965" s="159">
        <v>3180.0</v>
      </c>
      <c r="E1965" s="157" t="s">
        <v>1991</v>
      </c>
      <c r="F1965" s="25" t="s">
        <v>202</v>
      </c>
      <c r="G1965" s="161"/>
      <c r="H1965" s="177">
        <v>3381.74</v>
      </c>
      <c r="I1965" s="163">
        <v>5.0</v>
      </c>
      <c r="J1965" s="29" t="s">
        <v>81</v>
      </c>
      <c r="K1965" s="30">
        <v>0.150000000000003</v>
      </c>
      <c r="L1965" s="155">
        <f t="shared" si="7"/>
        <v>0.75</v>
      </c>
      <c r="M1965" s="31">
        <f t="shared" si="2"/>
        <v>4.25</v>
      </c>
      <c r="N1965" s="32">
        <f t="shared" si="8"/>
        <v>507.261</v>
      </c>
      <c r="O1965" s="32">
        <f t="shared" si="9"/>
        <v>2874.479</v>
      </c>
      <c r="P1965" s="32">
        <f t="shared" si="5"/>
        <v>2874.479</v>
      </c>
      <c r="Q1965" s="22">
        <v>0.0</v>
      </c>
      <c r="R1965" s="32">
        <f t="shared" si="6"/>
        <v>676.348</v>
      </c>
      <c r="S1965" s="33" t="s">
        <v>29</v>
      </c>
      <c r="T1965" s="33" t="s">
        <v>30</v>
      </c>
      <c r="U1965" s="173" t="s">
        <v>767</v>
      </c>
      <c r="V1965" s="57"/>
      <c r="W1965" s="7"/>
      <c r="X1965" s="7"/>
      <c r="Y1965" s="7"/>
      <c r="Z1965" s="7"/>
      <c r="AA1965" s="7"/>
    </row>
    <row r="1966" ht="18.75" customHeight="1">
      <c r="A1966" s="166" t="s">
        <v>1952</v>
      </c>
      <c r="B1966" s="166" t="s">
        <v>1028</v>
      </c>
      <c r="C1966" s="160" t="s">
        <v>1980</v>
      </c>
      <c r="D1966" s="167">
        <v>3185.0</v>
      </c>
      <c r="E1966" s="160" t="s">
        <v>1992</v>
      </c>
      <c r="F1966" s="11" t="s">
        <v>202</v>
      </c>
      <c r="G1966" s="168"/>
      <c r="H1966" s="178">
        <v>576.47</v>
      </c>
      <c r="I1966" s="170">
        <v>5.0</v>
      </c>
      <c r="J1966" s="15" t="s">
        <v>81</v>
      </c>
      <c r="K1966" s="16">
        <v>0.150000000000003</v>
      </c>
      <c r="L1966" s="164">
        <f t="shared" si="7"/>
        <v>0.75</v>
      </c>
      <c r="M1966" s="17">
        <f t="shared" si="2"/>
        <v>4.25</v>
      </c>
      <c r="N1966" s="18">
        <f t="shared" si="8"/>
        <v>86.4705</v>
      </c>
      <c r="O1966" s="18">
        <f t="shared" si="9"/>
        <v>489.9995</v>
      </c>
      <c r="P1966" s="18">
        <f t="shared" si="5"/>
        <v>489.9995</v>
      </c>
      <c r="Q1966" s="8">
        <v>0.0</v>
      </c>
      <c r="R1966" s="18">
        <f t="shared" si="6"/>
        <v>115.294</v>
      </c>
      <c r="S1966" s="19" t="s">
        <v>29</v>
      </c>
      <c r="T1966" s="19" t="s">
        <v>30</v>
      </c>
      <c r="U1966" s="179" t="s">
        <v>114</v>
      </c>
      <c r="V1966" s="145"/>
      <c r="W1966" s="7"/>
      <c r="X1966" s="7"/>
      <c r="Y1966" s="7"/>
      <c r="Z1966" s="7"/>
      <c r="AA1966" s="7"/>
    </row>
    <row r="1967" ht="18.75" customHeight="1">
      <c r="A1967" s="113" t="s">
        <v>1952</v>
      </c>
      <c r="B1967" s="113" t="s">
        <v>1028</v>
      </c>
      <c r="C1967" s="157" t="s">
        <v>1982</v>
      </c>
      <c r="D1967" s="159">
        <v>3186.0</v>
      </c>
      <c r="E1967" s="157" t="s">
        <v>1992</v>
      </c>
      <c r="F1967" s="25" t="s">
        <v>202</v>
      </c>
      <c r="G1967" s="161"/>
      <c r="H1967" s="177">
        <v>576.47</v>
      </c>
      <c r="I1967" s="163">
        <v>5.0</v>
      </c>
      <c r="J1967" s="29" t="s">
        <v>81</v>
      </c>
      <c r="K1967" s="30">
        <v>0.150000000000003</v>
      </c>
      <c r="L1967" s="155">
        <f t="shared" si="7"/>
        <v>0.75</v>
      </c>
      <c r="M1967" s="31">
        <f t="shared" si="2"/>
        <v>4.25</v>
      </c>
      <c r="N1967" s="32">
        <f t="shared" si="8"/>
        <v>86.4705</v>
      </c>
      <c r="O1967" s="32">
        <f t="shared" si="9"/>
        <v>489.9995</v>
      </c>
      <c r="P1967" s="32">
        <f t="shared" si="5"/>
        <v>489.9995</v>
      </c>
      <c r="Q1967" s="22">
        <v>0.0</v>
      </c>
      <c r="R1967" s="32">
        <f t="shared" si="6"/>
        <v>115.294</v>
      </c>
      <c r="S1967" s="33" t="s">
        <v>29</v>
      </c>
      <c r="T1967" s="33" t="s">
        <v>30</v>
      </c>
      <c r="U1967" s="180" t="s">
        <v>114</v>
      </c>
      <c r="V1967" s="57"/>
      <c r="W1967" s="7"/>
      <c r="X1967" s="7"/>
      <c r="Y1967" s="7"/>
      <c r="Z1967" s="7"/>
      <c r="AA1967" s="7"/>
    </row>
    <row r="1968" ht="18.75" customHeight="1">
      <c r="A1968" s="166" t="s">
        <v>1952</v>
      </c>
      <c r="B1968" s="166" t="s">
        <v>1028</v>
      </c>
      <c r="C1968" s="160" t="s">
        <v>1982</v>
      </c>
      <c r="D1968" s="167">
        <v>3221.0</v>
      </c>
      <c r="E1968" s="160" t="s">
        <v>1993</v>
      </c>
      <c r="F1968" s="11" t="s">
        <v>202</v>
      </c>
      <c r="G1968" s="168"/>
      <c r="H1968" s="178">
        <v>205.0</v>
      </c>
      <c r="I1968" s="170">
        <v>5.0</v>
      </c>
      <c r="J1968" s="15" t="s">
        <v>81</v>
      </c>
      <c r="K1968" s="16">
        <v>0.150000000000003</v>
      </c>
      <c r="L1968" s="164">
        <f t="shared" si="7"/>
        <v>0.75</v>
      </c>
      <c r="M1968" s="17">
        <f t="shared" si="2"/>
        <v>4.25</v>
      </c>
      <c r="N1968" s="18">
        <f t="shared" si="8"/>
        <v>30.75</v>
      </c>
      <c r="O1968" s="18">
        <f t="shared" si="9"/>
        <v>174.25</v>
      </c>
      <c r="P1968" s="18">
        <f t="shared" si="5"/>
        <v>174.25</v>
      </c>
      <c r="Q1968" s="8">
        <v>0.0</v>
      </c>
      <c r="R1968" s="18">
        <f t="shared" si="6"/>
        <v>41</v>
      </c>
      <c r="S1968" s="19" t="s">
        <v>29</v>
      </c>
      <c r="T1968" s="19" t="s">
        <v>30</v>
      </c>
      <c r="U1968" s="179" t="s">
        <v>216</v>
      </c>
      <c r="V1968" s="145"/>
      <c r="W1968" s="7"/>
      <c r="X1968" s="7"/>
      <c r="Y1968" s="7"/>
      <c r="Z1968" s="7"/>
      <c r="AA1968" s="7"/>
    </row>
    <row r="1969" ht="18.75" customHeight="1">
      <c r="A1969" s="113" t="s">
        <v>1952</v>
      </c>
      <c r="B1969" s="113" t="s">
        <v>1028</v>
      </c>
      <c r="C1969" s="157" t="s">
        <v>626</v>
      </c>
      <c r="D1969" s="159">
        <v>3222.0</v>
      </c>
      <c r="E1969" s="157" t="s">
        <v>1993</v>
      </c>
      <c r="F1969" s="25" t="s">
        <v>202</v>
      </c>
      <c r="G1969" s="161"/>
      <c r="H1969" s="177">
        <v>205.0</v>
      </c>
      <c r="I1969" s="163">
        <v>5.0</v>
      </c>
      <c r="J1969" s="29" t="s">
        <v>81</v>
      </c>
      <c r="K1969" s="30">
        <v>0.150000000000003</v>
      </c>
      <c r="L1969" s="155">
        <f t="shared" si="7"/>
        <v>0.75</v>
      </c>
      <c r="M1969" s="31">
        <f t="shared" si="2"/>
        <v>4.25</v>
      </c>
      <c r="N1969" s="32">
        <f t="shared" si="8"/>
        <v>30.75</v>
      </c>
      <c r="O1969" s="32">
        <f t="shared" si="9"/>
        <v>174.25</v>
      </c>
      <c r="P1969" s="32">
        <f t="shared" si="5"/>
        <v>174.25</v>
      </c>
      <c r="Q1969" s="22">
        <v>0.0</v>
      </c>
      <c r="R1969" s="32">
        <f t="shared" si="6"/>
        <v>41</v>
      </c>
      <c r="S1969" s="33" t="s">
        <v>29</v>
      </c>
      <c r="T1969" s="33" t="s">
        <v>30</v>
      </c>
      <c r="U1969" s="180" t="s">
        <v>216</v>
      </c>
      <c r="V1969" s="57"/>
      <c r="W1969" s="7"/>
      <c r="X1969" s="7"/>
      <c r="Y1969" s="7"/>
      <c r="Z1969" s="7"/>
      <c r="AA1969" s="7"/>
    </row>
    <row r="1970" ht="18.75" customHeight="1">
      <c r="A1970" s="166" t="s">
        <v>1952</v>
      </c>
      <c r="B1970" s="166" t="s">
        <v>1028</v>
      </c>
      <c r="C1970" s="160" t="s">
        <v>1980</v>
      </c>
      <c r="D1970" s="167">
        <v>3224.0</v>
      </c>
      <c r="E1970" s="160" t="s">
        <v>1993</v>
      </c>
      <c r="F1970" s="11" t="s">
        <v>202</v>
      </c>
      <c r="G1970" s="168"/>
      <c r="H1970" s="178">
        <v>205.0</v>
      </c>
      <c r="I1970" s="170">
        <v>5.0</v>
      </c>
      <c r="J1970" s="15" t="s">
        <v>81</v>
      </c>
      <c r="K1970" s="16">
        <v>0.150000000000003</v>
      </c>
      <c r="L1970" s="164">
        <f t="shared" si="7"/>
        <v>0.75</v>
      </c>
      <c r="M1970" s="17">
        <f t="shared" si="2"/>
        <v>4.25</v>
      </c>
      <c r="N1970" s="18">
        <f t="shared" si="8"/>
        <v>30.75</v>
      </c>
      <c r="O1970" s="18">
        <f t="shared" si="9"/>
        <v>174.25</v>
      </c>
      <c r="P1970" s="18">
        <f t="shared" si="5"/>
        <v>174.25</v>
      </c>
      <c r="Q1970" s="8">
        <v>0.0</v>
      </c>
      <c r="R1970" s="18">
        <f t="shared" si="6"/>
        <v>41</v>
      </c>
      <c r="S1970" s="19" t="s">
        <v>29</v>
      </c>
      <c r="T1970" s="19" t="s">
        <v>30</v>
      </c>
      <c r="U1970" s="179" t="s">
        <v>216</v>
      </c>
      <c r="V1970" s="145"/>
      <c r="W1970" s="7"/>
      <c r="X1970" s="7"/>
      <c r="Y1970" s="7"/>
      <c r="Z1970" s="7"/>
      <c r="AA1970" s="7"/>
    </row>
    <row r="1971" ht="18.75" customHeight="1">
      <c r="A1971" s="113" t="s">
        <v>1952</v>
      </c>
      <c r="B1971" s="113" t="s">
        <v>1028</v>
      </c>
      <c r="C1971" s="157" t="s">
        <v>1982</v>
      </c>
      <c r="D1971" s="159">
        <v>3240.0</v>
      </c>
      <c r="E1971" s="157" t="s">
        <v>1977</v>
      </c>
      <c r="F1971" s="25" t="s">
        <v>202</v>
      </c>
      <c r="G1971" s="161"/>
      <c r="H1971" s="177">
        <v>205.0</v>
      </c>
      <c r="I1971" s="163">
        <v>5.0</v>
      </c>
      <c r="J1971" s="29" t="s">
        <v>81</v>
      </c>
      <c r="K1971" s="30">
        <v>0.150000000000003</v>
      </c>
      <c r="L1971" s="155">
        <f t="shared" si="7"/>
        <v>0.75</v>
      </c>
      <c r="M1971" s="31">
        <f t="shared" si="2"/>
        <v>4.25</v>
      </c>
      <c r="N1971" s="32">
        <f t="shared" si="8"/>
        <v>30.75</v>
      </c>
      <c r="O1971" s="32">
        <f t="shared" si="9"/>
        <v>174.25</v>
      </c>
      <c r="P1971" s="32">
        <f t="shared" si="5"/>
        <v>174.25</v>
      </c>
      <c r="Q1971" s="22">
        <v>0.0</v>
      </c>
      <c r="R1971" s="32">
        <f t="shared" si="6"/>
        <v>41</v>
      </c>
      <c r="S1971" s="33" t="s">
        <v>29</v>
      </c>
      <c r="T1971" s="33" t="s">
        <v>30</v>
      </c>
      <c r="U1971" s="180" t="s">
        <v>216</v>
      </c>
      <c r="V1971" s="57"/>
      <c r="W1971" s="7"/>
      <c r="X1971" s="7"/>
      <c r="Y1971" s="7"/>
      <c r="Z1971" s="7"/>
      <c r="AA1971" s="7"/>
    </row>
    <row r="1972" ht="18.75" customHeight="1">
      <c r="A1972" s="166" t="s">
        <v>1952</v>
      </c>
      <c r="B1972" s="166" t="s">
        <v>1028</v>
      </c>
      <c r="C1972" s="160" t="s">
        <v>626</v>
      </c>
      <c r="D1972" s="167">
        <v>3241.0</v>
      </c>
      <c r="E1972" s="160" t="s">
        <v>1977</v>
      </c>
      <c r="F1972" s="11" t="s">
        <v>202</v>
      </c>
      <c r="G1972" s="168"/>
      <c r="H1972" s="178">
        <v>205.0</v>
      </c>
      <c r="I1972" s="170">
        <v>5.0</v>
      </c>
      <c r="J1972" s="15" t="s">
        <v>81</v>
      </c>
      <c r="K1972" s="16">
        <v>0.150000000000003</v>
      </c>
      <c r="L1972" s="164">
        <f t="shared" si="7"/>
        <v>0.75</v>
      </c>
      <c r="M1972" s="17">
        <f t="shared" si="2"/>
        <v>4.25</v>
      </c>
      <c r="N1972" s="18">
        <f t="shared" si="8"/>
        <v>30.75</v>
      </c>
      <c r="O1972" s="18">
        <f t="shared" si="9"/>
        <v>174.25</v>
      </c>
      <c r="P1972" s="18">
        <f t="shared" si="5"/>
        <v>174.25</v>
      </c>
      <c r="Q1972" s="8">
        <v>0.0</v>
      </c>
      <c r="R1972" s="18">
        <f t="shared" si="6"/>
        <v>41</v>
      </c>
      <c r="S1972" s="19" t="s">
        <v>29</v>
      </c>
      <c r="T1972" s="19" t="s">
        <v>30</v>
      </c>
      <c r="U1972" s="179" t="s">
        <v>216</v>
      </c>
      <c r="V1972" s="145"/>
      <c r="W1972" s="7"/>
      <c r="X1972" s="7"/>
      <c r="Y1972" s="7"/>
      <c r="Z1972" s="7"/>
      <c r="AA1972" s="7"/>
    </row>
    <row r="1973" ht="18.75" customHeight="1">
      <c r="A1973" s="113" t="s">
        <v>1952</v>
      </c>
      <c r="B1973" s="113" t="s">
        <v>1028</v>
      </c>
      <c r="C1973" s="157" t="s">
        <v>1983</v>
      </c>
      <c r="D1973" s="159">
        <v>3242.0</v>
      </c>
      <c r="E1973" s="157" t="s">
        <v>1977</v>
      </c>
      <c r="F1973" s="25" t="s">
        <v>202</v>
      </c>
      <c r="G1973" s="161"/>
      <c r="H1973" s="177">
        <v>205.0</v>
      </c>
      <c r="I1973" s="163">
        <v>5.0</v>
      </c>
      <c r="J1973" s="29" t="s">
        <v>81</v>
      </c>
      <c r="K1973" s="30">
        <v>0.150000000000003</v>
      </c>
      <c r="L1973" s="155">
        <f t="shared" si="7"/>
        <v>0.75</v>
      </c>
      <c r="M1973" s="31">
        <f t="shared" si="2"/>
        <v>4.25</v>
      </c>
      <c r="N1973" s="32">
        <f t="shared" si="8"/>
        <v>30.75</v>
      </c>
      <c r="O1973" s="32">
        <f t="shared" si="9"/>
        <v>174.25</v>
      </c>
      <c r="P1973" s="32">
        <f t="shared" si="5"/>
        <v>174.25</v>
      </c>
      <c r="Q1973" s="22">
        <v>0.0</v>
      </c>
      <c r="R1973" s="32">
        <f t="shared" si="6"/>
        <v>41</v>
      </c>
      <c r="S1973" s="33" t="s">
        <v>29</v>
      </c>
      <c r="T1973" s="33" t="s">
        <v>30</v>
      </c>
      <c r="U1973" s="180" t="s">
        <v>216</v>
      </c>
      <c r="V1973" s="57"/>
      <c r="W1973" s="7"/>
      <c r="X1973" s="7"/>
      <c r="Y1973" s="7"/>
      <c r="Z1973" s="7"/>
      <c r="AA1973" s="7"/>
    </row>
    <row r="1974" ht="18.75" customHeight="1">
      <c r="A1974" s="166" t="s">
        <v>1952</v>
      </c>
      <c r="B1974" s="166" t="s">
        <v>1028</v>
      </c>
      <c r="C1974" s="160" t="s">
        <v>1980</v>
      </c>
      <c r="D1974" s="167">
        <v>3243.0</v>
      </c>
      <c r="E1974" s="160" t="s">
        <v>1977</v>
      </c>
      <c r="F1974" s="11" t="s">
        <v>202</v>
      </c>
      <c r="G1974" s="168"/>
      <c r="H1974" s="178">
        <v>205.0</v>
      </c>
      <c r="I1974" s="170">
        <v>5.0</v>
      </c>
      <c r="J1974" s="15" t="s">
        <v>81</v>
      </c>
      <c r="K1974" s="16">
        <v>0.150000000000004</v>
      </c>
      <c r="L1974" s="164">
        <f t="shared" si="7"/>
        <v>0.75</v>
      </c>
      <c r="M1974" s="17">
        <f t="shared" si="2"/>
        <v>4.25</v>
      </c>
      <c r="N1974" s="18">
        <f t="shared" si="8"/>
        <v>30.75</v>
      </c>
      <c r="O1974" s="18">
        <f t="shared" si="9"/>
        <v>174.25</v>
      </c>
      <c r="P1974" s="18">
        <f t="shared" si="5"/>
        <v>174.25</v>
      </c>
      <c r="Q1974" s="8">
        <v>0.0</v>
      </c>
      <c r="R1974" s="18">
        <f t="shared" si="6"/>
        <v>41</v>
      </c>
      <c r="S1974" s="19" t="s">
        <v>29</v>
      </c>
      <c r="T1974" s="19" t="s">
        <v>30</v>
      </c>
      <c r="U1974" s="179" t="s">
        <v>216</v>
      </c>
      <c r="V1974" s="145"/>
      <c r="W1974" s="7"/>
      <c r="X1974" s="7"/>
      <c r="Y1974" s="7"/>
      <c r="Z1974" s="7"/>
      <c r="AA1974" s="7"/>
    </row>
    <row r="1975" ht="18.75" customHeight="1">
      <c r="A1975" s="113" t="s">
        <v>1952</v>
      </c>
      <c r="B1975" s="113" t="s">
        <v>1028</v>
      </c>
      <c r="C1975" s="157" t="s">
        <v>626</v>
      </c>
      <c r="D1975" s="159">
        <v>3244.0</v>
      </c>
      <c r="E1975" s="157" t="s">
        <v>1977</v>
      </c>
      <c r="F1975" s="25" t="s">
        <v>202</v>
      </c>
      <c r="G1975" s="161"/>
      <c r="H1975" s="177">
        <v>205.0</v>
      </c>
      <c r="I1975" s="163">
        <v>5.0</v>
      </c>
      <c r="J1975" s="29" t="s">
        <v>81</v>
      </c>
      <c r="K1975" s="30">
        <v>0.150000000000004</v>
      </c>
      <c r="L1975" s="155">
        <f t="shared" si="7"/>
        <v>0.75</v>
      </c>
      <c r="M1975" s="31">
        <f t="shared" si="2"/>
        <v>4.25</v>
      </c>
      <c r="N1975" s="32">
        <f t="shared" si="8"/>
        <v>30.75</v>
      </c>
      <c r="O1975" s="32">
        <f t="shared" si="9"/>
        <v>174.25</v>
      </c>
      <c r="P1975" s="32">
        <f t="shared" si="5"/>
        <v>174.25</v>
      </c>
      <c r="Q1975" s="22">
        <v>0.0</v>
      </c>
      <c r="R1975" s="32">
        <f t="shared" si="6"/>
        <v>41</v>
      </c>
      <c r="S1975" s="33" t="s">
        <v>29</v>
      </c>
      <c r="T1975" s="33" t="s">
        <v>30</v>
      </c>
      <c r="U1975" s="180" t="s">
        <v>216</v>
      </c>
      <c r="V1975" s="57"/>
      <c r="W1975" s="7"/>
      <c r="X1975" s="7"/>
      <c r="Y1975" s="7"/>
      <c r="Z1975" s="7"/>
      <c r="AA1975" s="7"/>
    </row>
    <row r="1976" ht="18.75" customHeight="1">
      <c r="A1976" s="166" t="s">
        <v>1952</v>
      </c>
      <c r="B1976" s="166" t="s">
        <v>1028</v>
      </c>
      <c r="C1976" s="160" t="s">
        <v>1983</v>
      </c>
      <c r="D1976" s="167">
        <v>3245.0</v>
      </c>
      <c r="E1976" s="160" t="s">
        <v>1977</v>
      </c>
      <c r="F1976" s="11" t="s">
        <v>202</v>
      </c>
      <c r="G1976" s="168"/>
      <c r="H1976" s="178">
        <v>205.0</v>
      </c>
      <c r="I1976" s="170">
        <v>5.0</v>
      </c>
      <c r="J1976" s="15" t="s">
        <v>81</v>
      </c>
      <c r="K1976" s="16">
        <v>0.150000000000004</v>
      </c>
      <c r="L1976" s="164">
        <f t="shared" si="7"/>
        <v>0.75</v>
      </c>
      <c r="M1976" s="17">
        <f t="shared" si="2"/>
        <v>4.25</v>
      </c>
      <c r="N1976" s="18">
        <f t="shared" si="8"/>
        <v>30.75</v>
      </c>
      <c r="O1976" s="18">
        <f t="shared" si="9"/>
        <v>174.25</v>
      </c>
      <c r="P1976" s="18">
        <f t="shared" si="5"/>
        <v>174.25</v>
      </c>
      <c r="Q1976" s="8">
        <v>0.0</v>
      </c>
      <c r="R1976" s="18">
        <f t="shared" si="6"/>
        <v>41</v>
      </c>
      <c r="S1976" s="19" t="s">
        <v>29</v>
      </c>
      <c r="T1976" s="19" t="s">
        <v>30</v>
      </c>
      <c r="U1976" s="179" t="s">
        <v>216</v>
      </c>
      <c r="V1976" s="145"/>
      <c r="W1976" s="7"/>
      <c r="X1976" s="7"/>
      <c r="Y1976" s="7"/>
      <c r="Z1976" s="7"/>
      <c r="AA1976" s="7"/>
    </row>
    <row r="1977" ht="18.75" customHeight="1">
      <c r="A1977" s="113" t="s">
        <v>1952</v>
      </c>
      <c r="B1977" s="113" t="s">
        <v>1028</v>
      </c>
      <c r="C1977" s="157" t="s">
        <v>1957</v>
      </c>
      <c r="D1977" s="159">
        <v>3247.0</v>
      </c>
      <c r="E1977" s="157" t="s">
        <v>1977</v>
      </c>
      <c r="F1977" s="25" t="s">
        <v>202</v>
      </c>
      <c r="G1977" s="161"/>
      <c r="H1977" s="177">
        <v>205.0</v>
      </c>
      <c r="I1977" s="163">
        <v>5.0</v>
      </c>
      <c r="J1977" s="29" t="s">
        <v>81</v>
      </c>
      <c r="K1977" s="30">
        <v>0.150000000000004</v>
      </c>
      <c r="L1977" s="155">
        <f t="shared" si="7"/>
        <v>0.75</v>
      </c>
      <c r="M1977" s="31">
        <f t="shared" si="2"/>
        <v>4.25</v>
      </c>
      <c r="N1977" s="32">
        <f t="shared" si="8"/>
        <v>30.75</v>
      </c>
      <c r="O1977" s="32">
        <f t="shared" si="9"/>
        <v>174.25</v>
      </c>
      <c r="P1977" s="32">
        <f t="shared" si="5"/>
        <v>174.25</v>
      </c>
      <c r="Q1977" s="22">
        <v>0.0</v>
      </c>
      <c r="R1977" s="32">
        <f t="shared" si="6"/>
        <v>41</v>
      </c>
      <c r="S1977" s="33" t="s">
        <v>29</v>
      </c>
      <c r="T1977" s="33" t="s">
        <v>30</v>
      </c>
      <c r="U1977" s="180" t="s">
        <v>216</v>
      </c>
      <c r="V1977" s="57"/>
      <c r="W1977" s="7"/>
      <c r="X1977" s="7"/>
      <c r="Y1977" s="7"/>
      <c r="Z1977" s="7"/>
      <c r="AA1977" s="7"/>
    </row>
    <row r="1978" ht="18.75" customHeight="1">
      <c r="A1978" s="166" t="s">
        <v>1952</v>
      </c>
      <c r="B1978" s="166" t="s">
        <v>1028</v>
      </c>
      <c r="C1978" s="160" t="s">
        <v>1119</v>
      </c>
      <c r="D1978" s="167">
        <v>3263.0</v>
      </c>
      <c r="E1978" s="160" t="s">
        <v>1977</v>
      </c>
      <c r="F1978" s="11" t="s">
        <v>202</v>
      </c>
      <c r="G1978" s="168"/>
      <c r="H1978" s="178">
        <v>205.0</v>
      </c>
      <c r="I1978" s="170">
        <v>5.0</v>
      </c>
      <c r="J1978" s="15" t="s">
        <v>81</v>
      </c>
      <c r="K1978" s="16">
        <v>0.150000000000004</v>
      </c>
      <c r="L1978" s="164">
        <f t="shared" si="7"/>
        <v>0.75</v>
      </c>
      <c r="M1978" s="17">
        <f t="shared" si="2"/>
        <v>4.25</v>
      </c>
      <c r="N1978" s="18">
        <f t="shared" si="8"/>
        <v>30.75</v>
      </c>
      <c r="O1978" s="18">
        <f t="shared" si="9"/>
        <v>174.25</v>
      </c>
      <c r="P1978" s="18">
        <f t="shared" si="5"/>
        <v>174.25</v>
      </c>
      <c r="Q1978" s="8">
        <v>0.0</v>
      </c>
      <c r="R1978" s="18">
        <f t="shared" si="6"/>
        <v>41</v>
      </c>
      <c r="S1978" s="19" t="s">
        <v>29</v>
      </c>
      <c r="T1978" s="19" t="s">
        <v>30</v>
      </c>
      <c r="U1978" s="179" t="s">
        <v>216</v>
      </c>
      <c r="V1978" s="145"/>
      <c r="W1978" s="7"/>
      <c r="X1978" s="7"/>
      <c r="Y1978" s="7"/>
      <c r="Z1978" s="7"/>
      <c r="AA1978" s="7"/>
    </row>
    <row r="1979" ht="18.75" customHeight="1">
      <c r="A1979" s="113" t="s">
        <v>1952</v>
      </c>
      <c r="B1979" s="113" t="s">
        <v>1028</v>
      </c>
      <c r="C1979" s="157" t="s">
        <v>1954</v>
      </c>
      <c r="D1979" s="193" t="s">
        <v>1461</v>
      </c>
      <c r="E1979" s="157" t="s">
        <v>1994</v>
      </c>
      <c r="F1979" s="25" t="s">
        <v>202</v>
      </c>
      <c r="G1979" s="161"/>
      <c r="H1979" s="177">
        <v>205.0</v>
      </c>
      <c r="I1979" s="163">
        <v>5.0</v>
      </c>
      <c r="J1979" s="29" t="s">
        <v>38</v>
      </c>
      <c r="K1979" s="30">
        <v>0.5</v>
      </c>
      <c r="L1979" s="155">
        <f t="shared" si="7"/>
        <v>2.5</v>
      </c>
      <c r="M1979" s="31">
        <f t="shared" si="2"/>
        <v>2.5</v>
      </c>
      <c r="N1979" s="32">
        <f t="shared" si="8"/>
        <v>102.5</v>
      </c>
      <c r="O1979" s="32">
        <f t="shared" si="9"/>
        <v>102.5</v>
      </c>
      <c r="P1979" s="32">
        <f t="shared" si="5"/>
        <v>102.5</v>
      </c>
      <c r="Q1979" s="22">
        <v>0.0</v>
      </c>
      <c r="R1979" s="32">
        <f t="shared" si="6"/>
        <v>41</v>
      </c>
      <c r="S1979" s="33" t="s">
        <v>29</v>
      </c>
      <c r="T1979" s="33" t="s">
        <v>30</v>
      </c>
      <c r="U1979" s="180" t="s">
        <v>216</v>
      </c>
      <c r="V1979" s="57"/>
      <c r="W1979" s="7"/>
      <c r="X1979" s="7"/>
      <c r="Y1979" s="7"/>
      <c r="Z1979" s="7"/>
      <c r="AA1979" s="7"/>
    </row>
    <row r="1980" ht="18.75" customHeight="1">
      <c r="A1980" s="166" t="s">
        <v>1952</v>
      </c>
      <c r="B1980" s="166" t="s">
        <v>1028</v>
      </c>
      <c r="C1980" s="160" t="s">
        <v>1983</v>
      </c>
      <c r="D1980" s="193" t="s">
        <v>1461</v>
      </c>
      <c r="E1980" s="160" t="s">
        <v>1995</v>
      </c>
      <c r="F1980" s="11" t="s">
        <v>202</v>
      </c>
      <c r="G1980" s="168"/>
      <c r="H1980" s="178">
        <v>235.55</v>
      </c>
      <c r="I1980" s="170">
        <v>5.0</v>
      </c>
      <c r="J1980" s="15" t="s">
        <v>38</v>
      </c>
      <c r="K1980" s="16">
        <v>0.5</v>
      </c>
      <c r="L1980" s="164">
        <f t="shared" si="7"/>
        <v>2.5</v>
      </c>
      <c r="M1980" s="17">
        <f t="shared" si="2"/>
        <v>2.5</v>
      </c>
      <c r="N1980" s="18">
        <f t="shared" si="8"/>
        <v>117.775</v>
      </c>
      <c r="O1980" s="18">
        <f t="shared" si="9"/>
        <v>117.775</v>
      </c>
      <c r="P1980" s="18">
        <f t="shared" si="5"/>
        <v>117.775</v>
      </c>
      <c r="Q1980" s="8">
        <v>0.0</v>
      </c>
      <c r="R1980" s="18">
        <f t="shared" si="6"/>
        <v>47.11</v>
      </c>
      <c r="S1980" s="19" t="s">
        <v>29</v>
      </c>
      <c r="T1980" s="19" t="s">
        <v>30</v>
      </c>
      <c r="U1980" s="179" t="s">
        <v>157</v>
      </c>
      <c r="V1980" s="145"/>
      <c r="W1980" s="7"/>
      <c r="X1980" s="7"/>
      <c r="Y1980" s="7"/>
      <c r="Z1980" s="7"/>
      <c r="AA1980" s="7"/>
    </row>
    <row r="1981" ht="18.75" customHeight="1">
      <c r="A1981" s="113" t="s">
        <v>1952</v>
      </c>
      <c r="B1981" s="113" t="s">
        <v>1028</v>
      </c>
      <c r="C1981" s="157" t="s">
        <v>1953</v>
      </c>
      <c r="D1981" s="193" t="s">
        <v>1461</v>
      </c>
      <c r="E1981" s="157" t="s">
        <v>1996</v>
      </c>
      <c r="F1981" s="25" t="s">
        <v>202</v>
      </c>
      <c r="G1981" s="161"/>
      <c r="H1981" s="177">
        <v>235.55</v>
      </c>
      <c r="I1981" s="163">
        <v>5.0</v>
      </c>
      <c r="J1981" s="29" t="s">
        <v>38</v>
      </c>
      <c r="K1981" s="30">
        <v>0.5</v>
      </c>
      <c r="L1981" s="155">
        <f t="shared" si="7"/>
        <v>2.5</v>
      </c>
      <c r="M1981" s="31">
        <f t="shared" si="2"/>
        <v>2.5</v>
      </c>
      <c r="N1981" s="32">
        <f t="shared" si="8"/>
        <v>117.775</v>
      </c>
      <c r="O1981" s="32">
        <f t="shared" si="9"/>
        <v>117.775</v>
      </c>
      <c r="P1981" s="32">
        <f t="shared" si="5"/>
        <v>117.775</v>
      </c>
      <c r="Q1981" s="22">
        <v>0.0</v>
      </c>
      <c r="R1981" s="32">
        <f t="shared" si="6"/>
        <v>47.11</v>
      </c>
      <c r="S1981" s="33" t="s">
        <v>29</v>
      </c>
      <c r="T1981" s="33" t="s">
        <v>30</v>
      </c>
      <c r="U1981" s="180" t="s">
        <v>157</v>
      </c>
      <c r="V1981" s="57"/>
      <c r="W1981" s="7"/>
      <c r="X1981" s="7"/>
      <c r="Y1981" s="7"/>
      <c r="Z1981" s="7"/>
      <c r="AA1981" s="7"/>
    </row>
    <row r="1982" ht="18.75" customHeight="1">
      <c r="A1982" s="166" t="s">
        <v>1952</v>
      </c>
      <c r="B1982" s="166" t="s">
        <v>1028</v>
      </c>
      <c r="C1982" s="160" t="s">
        <v>1957</v>
      </c>
      <c r="D1982" s="193" t="s">
        <v>1461</v>
      </c>
      <c r="E1982" s="160" t="s">
        <v>1463</v>
      </c>
      <c r="F1982" s="11" t="s">
        <v>37</v>
      </c>
      <c r="G1982" s="168"/>
      <c r="H1982" s="178">
        <v>255.7</v>
      </c>
      <c r="I1982" s="170">
        <v>15.0</v>
      </c>
      <c r="J1982" s="15" t="s">
        <v>38</v>
      </c>
      <c r="K1982" s="16">
        <v>0.5</v>
      </c>
      <c r="L1982" s="164">
        <f t="shared" si="7"/>
        <v>7.5</v>
      </c>
      <c r="M1982" s="17">
        <f t="shared" si="2"/>
        <v>7.5</v>
      </c>
      <c r="N1982" s="18">
        <f t="shared" si="8"/>
        <v>127.85</v>
      </c>
      <c r="O1982" s="18">
        <f t="shared" si="9"/>
        <v>127.85</v>
      </c>
      <c r="P1982" s="18">
        <f t="shared" si="5"/>
        <v>127.85</v>
      </c>
      <c r="Q1982" s="8">
        <v>0.0</v>
      </c>
      <c r="R1982" s="18">
        <f t="shared" si="6"/>
        <v>17.04666667</v>
      </c>
      <c r="S1982" s="19" t="s">
        <v>29</v>
      </c>
      <c r="T1982" s="19" t="s">
        <v>30</v>
      </c>
      <c r="U1982" s="179" t="s">
        <v>300</v>
      </c>
      <c r="V1982" s="145"/>
      <c r="W1982" s="7"/>
      <c r="X1982" s="7"/>
      <c r="Y1982" s="7"/>
      <c r="Z1982" s="7"/>
      <c r="AA1982" s="7"/>
    </row>
    <row r="1983" ht="18.75" customHeight="1">
      <c r="A1983" s="113" t="s">
        <v>1952</v>
      </c>
      <c r="B1983" s="113" t="s">
        <v>1028</v>
      </c>
      <c r="C1983" s="157" t="s">
        <v>1034</v>
      </c>
      <c r="D1983" s="193" t="s">
        <v>1461</v>
      </c>
      <c r="E1983" s="157" t="s">
        <v>1997</v>
      </c>
      <c r="F1983" s="25" t="s">
        <v>37</v>
      </c>
      <c r="G1983" s="161"/>
      <c r="H1983" s="177">
        <v>255.7</v>
      </c>
      <c r="I1983" s="163">
        <v>15.0</v>
      </c>
      <c r="J1983" s="29" t="s">
        <v>38</v>
      </c>
      <c r="K1983" s="30">
        <v>0.5</v>
      </c>
      <c r="L1983" s="155">
        <f t="shared" si="7"/>
        <v>7.5</v>
      </c>
      <c r="M1983" s="31">
        <f t="shared" si="2"/>
        <v>7.5</v>
      </c>
      <c r="N1983" s="32">
        <f t="shared" si="8"/>
        <v>127.85</v>
      </c>
      <c r="O1983" s="32">
        <f t="shared" si="9"/>
        <v>127.85</v>
      </c>
      <c r="P1983" s="32">
        <f t="shared" si="5"/>
        <v>127.85</v>
      </c>
      <c r="Q1983" s="22">
        <v>0.0</v>
      </c>
      <c r="R1983" s="32">
        <f t="shared" si="6"/>
        <v>17.04666667</v>
      </c>
      <c r="S1983" s="33" t="s">
        <v>29</v>
      </c>
      <c r="T1983" s="33" t="s">
        <v>30</v>
      </c>
      <c r="U1983" s="180" t="s">
        <v>300</v>
      </c>
      <c r="V1983" s="57"/>
      <c r="W1983" s="7"/>
      <c r="X1983" s="7"/>
      <c r="Y1983" s="7"/>
      <c r="Z1983" s="7"/>
      <c r="AA1983" s="7"/>
    </row>
    <row r="1984" ht="18.75" customHeight="1">
      <c r="A1984" s="166" t="s">
        <v>1952</v>
      </c>
      <c r="B1984" s="166" t="s">
        <v>1028</v>
      </c>
      <c r="C1984" s="160" t="s">
        <v>1034</v>
      </c>
      <c r="D1984" s="193" t="s">
        <v>1461</v>
      </c>
      <c r="E1984" s="160" t="s">
        <v>1997</v>
      </c>
      <c r="F1984" s="11" t="s">
        <v>37</v>
      </c>
      <c r="G1984" s="168"/>
      <c r="H1984" s="178">
        <v>255.7</v>
      </c>
      <c r="I1984" s="170">
        <v>15.0</v>
      </c>
      <c r="J1984" s="15" t="s">
        <v>38</v>
      </c>
      <c r="K1984" s="16">
        <v>0.5</v>
      </c>
      <c r="L1984" s="164">
        <f t="shared" si="7"/>
        <v>7.5</v>
      </c>
      <c r="M1984" s="17">
        <f t="shared" si="2"/>
        <v>7.5</v>
      </c>
      <c r="N1984" s="18">
        <f t="shared" si="8"/>
        <v>127.85</v>
      </c>
      <c r="O1984" s="18">
        <f t="shared" si="9"/>
        <v>127.85</v>
      </c>
      <c r="P1984" s="18">
        <f t="shared" si="5"/>
        <v>127.85</v>
      </c>
      <c r="Q1984" s="8">
        <v>0.0</v>
      </c>
      <c r="R1984" s="18">
        <f t="shared" si="6"/>
        <v>17.04666667</v>
      </c>
      <c r="S1984" s="19" t="s">
        <v>29</v>
      </c>
      <c r="T1984" s="19" t="s">
        <v>30</v>
      </c>
      <c r="U1984" s="179" t="s">
        <v>300</v>
      </c>
      <c r="V1984" s="145"/>
      <c r="W1984" s="7"/>
      <c r="X1984" s="7"/>
      <c r="Y1984" s="7"/>
      <c r="Z1984" s="7"/>
      <c r="AA1984" s="7"/>
    </row>
    <row r="1985" ht="18.75" customHeight="1">
      <c r="A1985" s="113" t="s">
        <v>1952</v>
      </c>
      <c r="B1985" s="113" t="s">
        <v>1028</v>
      </c>
      <c r="C1985" s="157" t="s">
        <v>1954</v>
      </c>
      <c r="D1985" s="193" t="s">
        <v>1461</v>
      </c>
      <c r="E1985" s="157" t="s">
        <v>1998</v>
      </c>
      <c r="F1985" s="25" t="s">
        <v>202</v>
      </c>
      <c r="G1985" s="161"/>
      <c r="H1985" s="177">
        <v>450.0</v>
      </c>
      <c r="I1985" s="163">
        <v>5.0</v>
      </c>
      <c r="J1985" s="29" t="s">
        <v>38</v>
      </c>
      <c r="K1985" s="30">
        <v>0.5</v>
      </c>
      <c r="L1985" s="155">
        <f t="shared" si="7"/>
        <v>2.5</v>
      </c>
      <c r="M1985" s="31">
        <f t="shared" si="2"/>
        <v>2.5</v>
      </c>
      <c r="N1985" s="32">
        <f t="shared" si="8"/>
        <v>225</v>
      </c>
      <c r="O1985" s="32">
        <f t="shared" si="9"/>
        <v>225</v>
      </c>
      <c r="P1985" s="32">
        <f t="shared" si="5"/>
        <v>225</v>
      </c>
      <c r="Q1985" s="22">
        <v>0.0</v>
      </c>
      <c r="R1985" s="32">
        <f t="shared" si="6"/>
        <v>90</v>
      </c>
      <c r="S1985" s="33" t="s">
        <v>29</v>
      </c>
      <c r="T1985" s="33" t="s">
        <v>30</v>
      </c>
      <c r="U1985" s="180" t="s">
        <v>292</v>
      </c>
      <c r="V1985" s="57"/>
      <c r="W1985" s="7"/>
      <c r="X1985" s="7"/>
      <c r="Y1985" s="7"/>
      <c r="Z1985" s="7"/>
      <c r="AA1985" s="7"/>
    </row>
    <row r="1986" ht="18.75" customHeight="1">
      <c r="A1986" s="166" t="s">
        <v>1952</v>
      </c>
      <c r="B1986" s="166" t="s">
        <v>1028</v>
      </c>
      <c r="C1986" s="160" t="s">
        <v>1957</v>
      </c>
      <c r="D1986" s="193" t="s">
        <v>1461</v>
      </c>
      <c r="E1986" s="160" t="s">
        <v>1974</v>
      </c>
      <c r="F1986" s="11" t="s">
        <v>26</v>
      </c>
      <c r="G1986" s="168"/>
      <c r="H1986" s="178">
        <v>1178.73</v>
      </c>
      <c r="I1986" s="170">
        <v>10.0</v>
      </c>
      <c r="J1986" s="171" t="s">
        <v>54</v>
      </c>
      <c r="K1986" s="16">
        <v>0.3</v>
      </c>
      <c r="L1986" s="164">
        <f t="shared" si="7"/>
        <v>3</v>
      </c>
      <c r="M1986" s="17">
        <f t="shared" si="2"/>
        <v>7</v>
      </c>
      <c r="N1986" s="18">
        <f t="shared" si="8"/>
        <v>353.619</v>
      </c>
      <c r="O1986" s="18">
        <f t="shared" si="9"/>
        <v>825.111</v>
      </c>
      <c r="P1986" s="18">
        <f t="shared" si="5"/>
        <v>825.111</v>
      </c>
      <c r="Q1986" s="8">
        <v>0.0</v>
      </c>
      <c r="R1986" s="18">
        <f t="shared" si="6"/>
        <v>117.873</v>
      </c>
      <c r="S1986" s="19" t="s">
        <v>29</v>
      </c>
      <c r="T1986" s="19" t="s">
        <v>30</v>
      </c>
      <c r="U1986" s="179" t="s">
        <v>220</v>
      </c>
      <c r="V1986" s="145"/>
      <c r="W1986" s="7"/>
      <c r="X1986" s="7"/>
      <c r="Y1986" s="7"/>
      <c r="Z1986" s="7"/>
      <c r="AA1986" s="7"/>
    </row>
    <row r="1987" ht="18.75" customHeight="1">
      <c r="A1987" s="113" t="s">
        <v>1952</v>
      </c>
      <c r="B1987" s="113" t="s">
        <v>1028</v>
      </c>
      <c r="C1987" s="157" t="s">
        <v>1034</v>
      </c>
      <c r="D1987" s="193" t="s">
        <v>1461</v>
      </c>
      <c r="E1987" s="157" t="s">
        <v>1966</v>
      </c>
      <c r="F1987" s="25" t="s">
        <v>26</v>
      </c>
      <c r="G1987" s="161"/>
      <c r="H1987" s="177">
        <v>1178.73</v>
      </c>
      <c r="I1987" s="163">
        <v>10.0</v>
      </c>
      <c r="J1987" s="173" t="s">
        <v>54</v>
      </c>
      <c r="K1987" s="30">
        <v>0.3</v>
      </c>
      <c r="L1987" s="155">
        <f t="shared" si="7"/>
        <v>3</v>
      </c>
      <c r="M1987" s="31">
        <f t="shared" si="2"/>
        <v>7</v>
      </c>
      <c r="N1987" s="32">
        <f t="shared" si="8"/>
        <v>353.619</v>
      </c>
      <c r="O1987" s="32">
        <f t="shared" si="9"/>
        <v>825.111</v>
      </c>
      <c r="P1987" s="32">
        <f t="shared" si="5"/>
        <v>825.111</v>
      </c>
      <c r="Q1987" s="22">
        <v>0.0</v>
      </c>
      <c r="R1987" s="32">
        <f t="shared" si="6"/>
        <v>117.873</v>
      </c>
      <c r="S1987" s="33" t="s">
        <v>29</v>
      </c>
      <c r="T1987" s="33" t="s">
        <v>30</v>
      </c>
      <c r="U1987" s="180" t="s">
        <v>220</v>
      </c>
      <c r="V1987" s="57"/>
      <c r="W1987" s="7"/>
      <c r="X1987" s="7"/>
      <c r="Y1987" s="7"/>
      <c r="Z1987" s="7"/>
      <c r="AA1987" s="7"/>
    </row>
    <row r="1988" ht="18.75" customHeight="1">
      <c r="A1988" s="166" t="s">
        <v>1952</v>
      </c>
      <c r="B1988" s="166" t="s">
        <v>1028</v>
      </c>
      <c r="C1988" s="160" t="s">
        <v>1967</v>
      </c>
      <c r="D1988" s="193" t="s">
        <v>1461</v>
      </c>
      <c r="E1988" s="160" t="s">
        <v>1999</v>
      </c>
      <c r="F1988" s="11" t="s">
        <v>202</v>
      </c>
      <c r="G1988" s="168"/>
      <c r="H1988" s="178">
        <v>1478.0</v>
      </c>
      <c r="I1988" s="170">
        <v>5.0</v>
      </c>
      <c r="J1988" s="48" t="s">
        <v>63</v>
      </c>
      <c r="K1988" s="59">
        <v>0.700000000000009</v>
      </c>
      <c r="L1988" s="164">
        <f t="shared" si="7"/>
        <v>3.5</v>
      </c>
      <c r="M1988" s="17">
        <f t="shared" si="2"/>
        <v>1.5</v>
      </c>
      <c r="N1988" s="18">
        <f t="shared" si="8"/>
        <v>1034.6</v>
      </c>
      <c r="O1988" s="18">
        <f t="shared" si="9"/>
        <v>443.4</v>
      </c>
      <c r="P1988" s="18">
        <f t="shared" si="5"/>
        <v>443.4</v>
      </c>
      <c r="Q1988" s="8">
        <v>0.0</v>
      </c>
      <c r="R1988" s="18">
        <f t="shared" si="6"/>
        <v>295.6</v>
      </c>
      <c r="S1988" s="19" t="s">
        <v>29</v>
      </c>
      <c r="T1988" s="19" t="s">
        <v>30</v>
      </c>
      <c r="U1988" s="179" t="s">
        <v>264</v>
      </c>
      <c r="V1988" s="145"/>
      <c r="W1988" s="7"/>
      <c r="X1988" s="7"/>
      <c r="Y1988" s="7"/>
      <c r="Z1988" s="7"/>
      <c r="AA1988" s="7"/>
    </row>
    <row r="1989" ht="18.75" customHeight="1">
      <c r="A1989" s="113" t="s">
        <v>1952</v>
      </c>
      <c r="B1989" s="113" t="s">
        <v>1028</v>
      </c>
      <c r="C1989" s="157" t="s">
        <v>626</v>
      </c>
      <c r="D1989" s="193" t="s">
        <v>1461</v>
      </c>
      <c r="E1989" s="157" t="s">
        <v>1984</v>
      </c>
      <c r="F1989" s="25" t="s">
        <v>37</v>
      </c>
      <c r="G1989" s="161"/>
      <c r="H1989" s="177">
        <v>2014.8</v>
      </c>
      <c r="I1989" s="163">
        <v>10.0</v>
      </c>
      <c r="J1989" s="29" t="s">
        <v>81</v>
      </c>
      <c r="K1989" s="30">
        <v>0.150000000000004</v>
      </c>
      <c r="L1989" s="155">
        <f t="shared" si="7"/>
        <v>1.5</v>
      </c>
      <c r="M1989" s="31">
        <f t="shared" si="2"/>
        <v>8.5</v>
      </c>
      <c r="N1989" s="32">
        <f t="shared" si="8"/>
        <v>302.22</v>
      </c>
      <c r="O1989" s="32">
        <f t="shared" si="9"/>
        <v>1712.58</v>
      </c>
      <c r="P1989" s="32">
        <f t="shared" si="5"/>
        <v>1712.58</v>
      </c>
      <c r="Q1989" s="22">
        <v>0.0</v>
      </c>
      <c r="R1989" s="32">
        <f t="shared" si="6"/>
        <v>201.48</v>
      </c>
      <c r="S1989" s="33" t="s">
        <v>29</v>
      </c>
      <c r="T1989" s="33" t="s">
        <v>30</v>
      </c>
      <c r="U1989" s="173" t="s">
        <v>787</v>
      </c>
      <c r="V1989" s="57"/>
      <c r="W1989" s="7"/>
      <c r="X1989" s="7"/>
      <c r="Y1989" s="7"/>
      <c r="Z1989" s="7"/>
      <c r="AA1989" s="7"/>
    </row>
    <row r="1990" ht="18.75" customHeight="1">
      <c r="A1990" s="194"/>
      <c r="B1990" s="194"/>
      <c r="C1990" s="195"/>
      <c r="D1990" s="196"/>
      <c r="E1990" s="195"/>
      <c r="F1990" s="195"/>
      <c r="G1990" s="197"/>
      <c r="H1990" s="198">
        <f>SUM(H2:H1989)</f>
        <v>3148680.248</v>
      </c>
      <c r="I1990" s="147"/>
      <c r="J1990" s="99"/>
      <c r="K1990" s="199"/>
      <c r="L1990" s="200"/>
      <c r="M1990" s="201"/>
      <c r="N1990" s="202"/>
      <c r="O1990" s="203">
        <f t="shared" ref="O1990:P1990" si="10">SUM(O2:O1989)</f>
        <v>1892431.021</v>
      </c>
      <c r="P1990" s="203">
        <f t="shared" si="10"/>
        <v>1892431.021</v>
      </c>
      <c r="Q1990" s="145"/>
      <c r="R1990" s="202"/>
      <c r="S1990" s="204"/>
      <c r="T1990" s="204"/>
      <c r="U1990" s="195"/>
      <c r="V1990" s="145"/>
      <c r="W1990" s="7"/>
      <c r="X1990" s="7"/>
      <c r="Y1990" s="7"/>
      <c r="Z1990" s="7"/>
      <c r="AA1990" s="7"/>
    </row>
  </sheetData>
  <autoFilter ref="$A$1:$V$1990"/>
  <conditionalFormatting sqref="H2:H1620 H1622:H1990 O1990:P1990">
    <cfRule type="containsText" dxfId="1" priority="1" operator="containsText" text="SEM DADO">
      <formula>NOT(ISERROR(SEARCH(("SEM DADO"),(H2))))</formula>
    </cfRule>
  </conditionalFormatting>
  <hyperlinks>
    <hyperlink r:id="rId1" ref="U4"/>
    <hyperlink r:id="rId2" ref="U7"/>
    <hyperlink r:id="rId3" ref="U8"/>
    <hyperlink r:id="rId4" ref="U9"/>
    <hyperlink r:id="rId5" ref="U10"/>
    <hyperlink r:id="rId6" ref="U11"/>
    <hyperlink r:id="rId7" location="reviews" ref="U12"/>
    <hyperlink r:id="rId8" ref="U13"/>
    <hyperlink r:id="rId9" ref="U15"/>
    <hyperlink r:id="rId10" ref="U16"/>
    <hyperlink r:id="rId11" ref="U17"/>
    <hyperlink r:id="rId12" ref="U19"/>
    <hyperlink r:id="rId13" ref="U20"/>
    <hyperlink r:id="rId14" ref="U21"/>
    <hyperlink r:id="rId15" ref="U23"/>
    <hyperlink r:id="rId16" ref="U24"/>
    <hyperlink r:id="rId17" ref="U25"/>
    <hyperlink r:id="rId18" ref="U26"/>
    <hyperlink r:id="rId19" ref="U27"/>
    <hyperlink r:id="rId20" ref="U28"/>
    <hyperlink r:id="rId21" ref="U29"/>
    <hyperlink r:id="rId22" ref="U30"/>
    <hyperlink r:id="rId23" ref="U31"/>
    <hyperlink r:id="rId24" ref="U33"/>
    <hyperlink r:id="rId25" ref="U36"/>
    <hyperlink r:id="rId26" ref="U38"/>
    <hyperlink r:id="rId27" ref="U40"/>
    <hyperlink r:id="rId28" ref="U41"/>
    <hyperlink r:id="rId29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43"/>
    <hyperlink r:id="rId30" ref="U44"/>
    <hyperlink r:id="rId31" ref="U45"/>
    <hyperlink r:id="rId32" ref="U46"/>
    <hyperlink r:id="rId33" ref="U47"/>
    <hyperlink r:id="rId34" ref="U48"/>
    <hyperlink r:id="rId35" ref="U50"/>
    <hyperlink r:id="rId36" ref="U53"/>
    <hyperlink r:id="rId37" ref="U54"/>
    <hyperlink r:id="rId38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58"/>
    <hyperlink r:id="rId39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59"/>
    <hyperlink r:id="rId40" ref="U64"/>
    <hyperlink r:id="rId41" ref="U65"/>
    <hyperlink r:id="rId42" ref="U67"/>
    <hyperlink r:id="rId43" ref="U71"/>
    <hyperlink r:id="rId44" ref="U73"/>
    <hyperlink r:id="rId45" ref="U79"/>
    <hyperlink r:id="rId46" ref="U107"/>
    <hyperlink r:id="rId47" ref="U111"/>
    <hyperlink r:id="rId48" ref="U120"/>
    <hyperlink r:id="rId49" ref="U130"/>
    <hyperlink r:id="rId50" ref="U133"/>
    <hyperlink r:id="rId51" ref="U134"/>
    <hyperlink r:id="rId52" ref="U135"/>
    <hyperlink r:id="rId53" ref="U140"/>
    <hyperlink r:id="rId54" ref="U144"/>
    <hyperlink r:id="rId55" ref="U152"/>
    <hyperlink r:id="rId56" ref="U164"/>
    <hyperlink r:id="rId57" ref="U169"/>
    <hyperlink r:id="rId58" ref="U171"/>
    <hyperlink r:id="rId59" ref="U172"/>
    <hyperlink r:id="rId60" ref="U173"/>
    <hyperlink r:id="rId61" ref="U178"/>
    <hyperlink r:id="rId62" ref="U184"/>
    <hyperlink r:id="rId63" ref="U186"/>
    <hyperlink r:id="rId64" ref="U192"/>
    <hyperlink r:id="rId65" ref="U193"/>
    <hyperlink r:id="rId66" ref="U202"/>
    <hyperlink r:id="rId67" ref="U205"/>
    <hyperlink r:id="rId68" ref="U206"/>
    <hyperlink r:id="rId69" ref="U207"/>
    <hyperlink r:id="rId70" ref="U208"/>
    <hyperlink r:id="rId71" ref="U217"/>
    <hyperlink r:id="rId72" ref="U218"/>
    <hyperlink r:id="rId73" ref="U219"/>
    <hyperlink r:id="rId74" ref="U222"/>
    <hyperlink r:id="rId75" ref="U228"/>
    <hyperlink r:id="rId76" ref="U229"/>
    <hyperlink r:id="rId77" ref="U230"/>
    <hyperlink r:id="rId78" ref="U231"/>
    <hyperlink r:id="rId79" ref="U232"/>
    <hyperlink r:id="rId80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233"/>
    <hyperlink r:id="rId81" ref="U234"/>
    <hyperlink r:id="rId82" ref="U235"/>
    <hyperlink r:id="rId83" ref="U236"/>
    <hyperlink r:id="rId84" ref="U238"/>
    <hyperlink r:id="rId85" location="reviews" ref="U239"/>
    <hyperlink r:id="rId86" ref="U240"/>
    <hyperlink r:id="rId87" ref="U241"/>
    <hyperlink r:id="rId88" ref="U244"/>
    <hyperlink r:id="rId89" ref="U245"/>
    <hyperlink r:id="rId90" ref="U247"/>
    <hyperlink r:id="rId91" ref="U248"/>
    <hyperlink r:id="rId92" ref="U249"/>
    <hyperlink r:id="rId93" ref="U250"/>
    <hyperlink r:id="rId94" ref="U252"/>
    <hyperlink r:id="rId95" ref="U253"/>
    <hyperlink r:id="rId96" ref="U254"/>
    <hyperlink r:id="rId97" ref="U255"/>
    <hyperlink r:id="rId98" ref="U256"/>
    <hyperlink r:id="rId99" ref="U257"/>
    <hyperlink r:id="rId100" ref="U260"/>
    <hyperlink r:id="rId101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261"/>
    <hyperlink r:id="rId102" ref="U262"/>
    <hyperlink r:id="rId103" ref="U263"/>
    <hyperlink r:id="rId104" ref="U265"/>
    <hyperlink r:id="rId105" ref="U266"/>
    <hyperlink r:id="rId106" ref="U267"/>
    <hyperlink r:id="rId107" ref="U268"/>
    <hyperlink r:id="rId108" ref="U269"/>
    <hyperlink r:id="rId109" ref="U270"/>
    <hyperlink r:id="rId110" ref="U274"/>
    <hyperlink r:id="rId111" ref="U275"/>
    <hyperlink r:id="rId112" ref="U277"/>
    <hyperlink r:id="rId113" ref="U279"/>
    <hyperlink r:id="rId114" ref="U280"/>
    <hyperlink r:id="rId115" ref="U281"/>
    <hyperlink r:id="rId116" ref="U286"/>
    <hyperlink r:id="rId117" ref="U289"/>
    <hyperlink r:id="rId118" ref="U290"/>
    <hyperlink r:id="rId119" ref="U291"/>
    <hyperlink r:id="rId120" ref="U292"/>
    <hyperlink r:id="rId121" ref="U293"/>
    <hyperlink r:id="rId122" ref="U294"/>
    <hyperlink r:id="rId123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306"/>
    <hyperlink r:id="rId124" ref="U307"/>
    <hyperlink r:id="rId125" ref="U308"/>
    <hyperlink r:id="rId126" ref="U309"/>
    <hyperlink r:id="rId127" ref="U310"/>
    <hyperlink r:id="rId128" ref="U311"/>
    <hyperlink r:id="rId129" ref="U313"/>
    <hyperlink r:id="rId130" ref="U315"/>
    <hyperlink r:id="rId131" ref="U316"/>
    <hyperlink r:id="rId132" ref="U317"/>
    <hyperlink r:id="rId133" ref="U319"/>
    <hyperlink r:id="rId134" ref="U323"/>
    <hyperlink r:id="rId135" ref="U326"/>
    <hyperlink r:id="rId136" ref="U327"/>
    <hyperlink r:id="rId137" ref="U328"/>
    <hyperlink r:id="rId138" ref="U329"/>
    <hyperlink r:id="rId139" ref="U330"/>
    <hyperlink r:id="rId140" ref="U337"/>
    <hyperlink r:id="rId141" ref="U344"/>
    <hyperlink r:id="rId142" ref="U345"/>
    <hyperlink r:id="rId143" ref="U356"/>
    <hyperlink r:id="rId144" ref="U360"/>
    <hyperlink r:id="rId145" ref="U362"/>
    <hyperlink r:id="rId146" ref="U363"/>
    <hyperlink r:id="rId147" ref="U368"/>
    <hyperlink r:id="rId148" ref="U370"/>
    <hyperlink r:id="rId149" ref="U373"/>
    <hyperlink r:id="rId150" ref="U374"/>
    <hyperlink r:id="rId151" ref="U376"/>
    <hyperlink r:id="rId152" ref="U378"/>
    <hyperlink r:id="rId153" ref="U380"/>
    <hyperlink r:id="rId154" ref="U381"/>
    <hyperlink r:id="rId155" ref="U382"/>
    <hyperlink r:id="rId156" ref="U384"/>
    <hyperlink r:id="rId157" ref="U392"/>
    <hyperlink r:id="rId158" ref="U393"/>
    <hyperlink r:id="rId159" ref="U394"/>
    <hyperlink r:id="rId160" ref="U400"/>
    <hyperlink r:id="rId161" ref="U401"/>
    <hyperlink r:id="rId162" ref="U403"/>
    <hyperlink r:id="rId163" ref="U404"/>
    <hyperlink r:id="rId164" ref="U409"/>
    <hyperlink r:id="rId165" ref="U414"/>
    <hyperlink r:id="rId166" ref="U421"/>
    <hyperlink r:id="rId167" ref="U424"/>
    <hyperlink r:id="rId168" ref="U429"/>
    <hyperlink r:id="rId169" ref="U432"/>
    <hyperlink r:id="rId170" ref="U435"/>
    <hyperlink r:id="rId171" ref="U437"/>
    <hyperlink r:id="rId172" ref="U438"/>
    <hyperlink r:id="rId173" ref="U439"/>
    <hyperlink r:id="rId174" ref="U440"/>
    <hyperlink r:id="rId175" ref="U441"/>
    <hyperlink r:id="rId176" ref="U442"/>
    <hyperlink r:id="rId177" ref="U449"/>
    <hyperlink r:id="rId178" ref="U450"/>
    <hyperlink r:id="rId179" ref="U451"/>
    <hyperlink r:id="rId180" ref="U452"/>
    <hyperlink r:id="rId181" ref="U455"/>
    <hyperlink r:id="rId182" ref="U456"/>
    <hyperlink r:id="rId183" ref="U457"/>
    <hyperlink r:id="rId184" ref="U458"/>
    <hyperlink r:id="rId185" ref="U463"/>
    <hyperlink r:id="rId186" ref="U464"/>
    <hyperlink r:id="rId187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465"/>
    <hyperlink r:id="rId188" ref="U466"/>
    <hyperlink r:id="rId189" location="reviews" ref="U467"/>
    <hyperlink r:id="rId190" ref="U468"/>
    <hyperlink r:id="rId191" ref="U470"/>
    <hyperlink r:id="rId192" ref="U472"/>
    <hyperlink r:id="rId193" ref="U473"/>
    <hyperlink r:id="rId194" ref="U474"/>
    <hyperlink r:id="rId195" ref="U478"/>
    <hyperlink r:id="rId196" ref="U479"/>
    <hyperlink r:id="rId197" ref="U481"/>
    <hyperlink r:id="rId198" ref="U483"/>
    <hyperlink r:id="rId199" ref="U484"/>
    <hyperlink r:id="rId200" ref="U485"/>
    <hyperlink r:id="rId201" ref="U487"/>
    <hyperlink r:id="rId202" ref="U489"/>
    <hyperlink r:id="rId203" ref="U493"/>
    <hyperlink r:id="rId204" ref="U495"/>
    <hyperlink r:id="rId205" ref="U498"/>
    <hyperlink r:id="rId206" ref="U499"/>
    <hyperlink r:id="rId207" ref="U500"/>
    <hyperlink r:id="rId208" ref="U501"/>
    <hyperlink r:id="rId209" ref="U502"/>
    <hyperlink r:id="rId210" ref="U503"/>
    <hyperlink r:id="rId211" ref="U507"/>
    <hyperlink r:id="rId212" ref="U508"/>
    <hyperlink r:id="rId213" ref="U510"/>
    <hyperlink r:id="rId214" ref="U511"/>
    <hyperlink r:id="rId215" ref="U515"/>
    <hyperlink r:id="rId216" ref="U516"/>
    <hyperlink r:id="rId217" ref="U518"/>
    <hyperlink r:id="rId218" location="reviews" ref="U519"/>
    <hyperlink r:id="rId219" ref="U520"/>
    <hyperlink r:id="rId220" ref="U524"/>
    <hyperlink r:id="rId221" ref="U525"/>
    <hyperlink r:id="rId222" ref="U526"/>
    <hyperlink r:id="rId223" ref="U527"/>
    <hyperlink r:id="rId224" ref="U529"/>
    <hyperlink r:id="rId225" ref="U533"/>
    <hyperlink r:id="rId226" ref="U536"/>
    <hyperlink r:id="rId227" ref="U537"/>
    <hyperlink r:id="rId228" ref="U539"/>
    <hyperlink r:id="rId229" ref="U540"/>
    <hyperlink r:id="rId230" ref="U541"/>
    <hyperlink r:id="rId231" ref="U543"/>
    <hyperlink r:id="rId232" ref="U545"/>
    <hyperlink r:id="rId233" ref="U546"/>
    <hyperlink r:id="rId234" ref="U547"/>
    <hyperlink r:id="rId235" ref="U550"/>
    <hyperlink r:id="rId236" ref="U553"/>
    <hyperlink r:id="rId237" ref="U556"/>
    <hyperlink r:id="rId238" ref="U558"/>
    <hyperlink r:id="rId239" ref="U559"/>
    <hyperlink r:id="rId240" ref="U560"/>
    <hyperlink r:id="rId241" ref="U561"/>
    <hyperlink r:id="rId242" ref="U564"/>
    <hyperlink r:id="rId243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565"/>
    <hyperlink r:id="rId244" ref="U568"/>
    <hyperlink r:id="rId245" ref="U569"/>
    <hyperlink r:id="rId246" ref="U570"/>
    <hyperlink r:id="rId247" ref="U572"/>
    <hyperlink r:id="rId248" ref="U575"/>
    <hyperlink r:id="rId249" ref="U577"/>
    <hyperlink r:id="rId250" ref="U580"/>
    <hyperlink r:id="rId251" ref="U581"/>
    <hyperlink r:id="rId252" ref="U582"/>
    <hyperlink r:id="rId253" ref="U585"/>
    <hyperlink r:id="rId254" ref="U588"/>
    <hyperlink r:id="rId255" ref="U591"/>
    <hyperlink r:id="rId256" ref="U592"/>
    <hyperlink r:id="rId257" ref="U595"/>
    <hyperlink r:id="rId258" ref="U597"/>
    <hyperlink r:id="rId259" ref="U600"/>
    <hyperlink r:id="rId260" ref="U602"/>
    <hyperlink r:id="rId261" ref="U603"/>
    <hyperlink r:id="rId262" ref="U604"/>
    <hyperlink r:id="rId263" ref="U605"/>
    <hyperlink r:id="rId264" ref="U606"/>
    <hyperlink r:id="rId265" ref="U607"/>
    <hyperlink r:id="rId266" ref="U611"/>
    <hyperlink r:id="rId267" ref="U612"/>
    <hyperlink r:id="rId268" ref="U614"/>
    <hyperlink r:id="rId269" ref="U617"/>
    <hyperlink r:id="rId270" ref="U618"/>
    <hyperlink r:id="rId271" ref="U620"/>
    <hyperlink r:id="rId272" ref="U621"/>
    <hyperlink r:id="rId273" ref="U623"/>
    <hyperlink r:id="rId274" ref="U624"/>
    <hyperlink r:id="rId275" ref="U625"/>
    <hyperlink r:id="rId276" ref="U626"/>
    <hyperlink r:id="rId277" ref="U627"/>
    <hyperlink r:id="rId278" ref="U628"/>
    <hyperlink r:id="rId279" ref="U629"/>
    <hyperlink r:id="rId280" ref="U630"/>
    <hyperlink r:id="rId281" ref="U631"/>
    <hyperlink r:id="rId282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632"/>
    <hyperlink r:id="rId283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633"/>
    <hyperlink r:id="rId284" ref="U634"/>
    <hyperlink r:id="rId285" ref="U635"/>
    <hyperlink r:id="rId286" ref="U636"/>
    <hyperlink r:id="rId287" ref="U637"/>
    <hyperlink r:id="rId288" ref="U638"/>
    <hyperlink r:id="rId289" ref="U639"/>
    <hyperlink r:id="rId290" ref="U642"/>
    <hyperlink r:id="rId291" ref="U643"/>
    <hyperlink r:id="rId292" ref="U644"/>
    <hyperlink r:id="rId293" ref="U645"/>
    <hyperlink r:id="rId294" ref="U646"/>
    <hyperlink r:id="rId295" ref="U647"/>
    <hyperlink r:id="rId296" ref="U648"/>
    <hyperlink r:id="rId297" ref="U649"/>
    <hyperlink r:id="rId298" ref="U650"/>
    <hyperlink r:id="rId299" ref="U653"/>
    <hyperlink r:id="rId300" ref="U655"/>
    <hyperlink r:id="rId301" ref="U656"/>
    <hyperlink r:id="rId302" ref="U660"/>
    <hyperlink r:id="rId303" ref="U662"/>
    <hyperlink r:id="rId304" ref="U664"/>
    <hyperlink r:id="rId305" ref="U670"/>
    <hyperlink r:id="rId306" ref="U671"/>
    <hyperlink r:id="rId307" ref="U674"/>
    <hyperlink r:id="rId308" ref="U676"/>
    <hyperlink r:id="rId309" ref="U681"/>
    <hyperlink r:id="rId310" ref="U682"/>
    <hyperlink r:id="rId311" ref="U683"/>
    <hyperlink r:id="rId312" ref="U690"/>
    <hyperlink r:id="rId313" ref="U691"/>
    <hyperlink r:id="rId314" ref="U694"/>
    <hyperlink r:id="rId315" ref="U698"/>
    <hyperlink r:id="rId316" ref="U699"/>
    <hyperlink r:id="rId317" location="reviews" ref="U700"/>
    <hyperlink r:id="rId318" ref="U701"/>
    <hyperlink r:id="rId319" ref="U702"/>
    <hyperlink r:id="rId320" ref="U704"/>
    <hyperlink r:id="rId321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706"/>
    <hyperlink r:id="rId322" ref="U707"/>
    <hyperlink r:id="rId323" ref="U709"/>
    <hyperlink r:id="rId324" ref="U713"/>
    <hyperlink r:id="rId325" ref="U714"/>
    <hyperlink r:id="rId326" ref="U715"/>
    <hyperlink r:id="rId327" ref="U716"/>
    <hyperlink r:id="rId328" ref="U721"/>
    <hyperlink r:id="rId329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722"/>
    <hyperlink r:id="rId330" ref="U723"/>
    <hyperlink r:id="rId331" ref="U724"/>
    <hyperlink r:id="rId332" ref="U725"/>
    <hyperlink r:id="rId333" ref="U728"/>
    <hyperlink r:id="rId334" ref="U729"/>
    <hyperlink r:id="rId335" ref="U732"/>
    <hyperlink r:id="rId336" ref="U733"/>
    <hyperlink r:id="rId337" ref="U734"/>
    <hyperlink r:id="rId338" ref="U735"/>
    <hyperlink r:id="rId339" ref="U736"/>
    <hyperlink r:id="rId340" ref="U737"/>
    <hyperlink r:id="rId341" ref="U741"/>
    <hyperlink r:id="rId342" ref="U743"/>
    <hyperlink r:id="rId343" ref="U748"/>
    <hyperlink r:id="rId344" ref="U749"/>
    <hyperlink r:id="rId345" ref="U751"/>
    <hyperlink r:id="rId346" ref="U752"/>
    <hyperlink r:id="rId347" ref="U757"/>
    <hyperlink r:id="rId348" ref="U760"/>
    <hyperlink r:id="rId349" ref="U761"/>
    <hyperlink r:id="rId350" ref="U762"/>
    <hyperlink r:id="rId351" ref="U770"/>
    <hyperlink r:id="rId352" ref="U771"/>
    <hyperlink r:id="rId353" ref="U773"/>
    <hyperlink r:id="rId354" ref="U774"/>
    <hyperlink r:id="rId355" ref="U776"/>
    <hyperlink r:id="rId356" ref="U777"/>
    <hyperlink r:id="rId357" ref="U778"/>
    <hyperlink r:id="rId358" ref="U779"/>
    <hyperlink r:id="rId359" ref="U780"/>
    <hyperlink r:id="rId360" ref="U782"/>
    <hyperlink r:id="rId361" ref="U783"/>
    <hyperlink r:id="rId362" ref="U788"/>
    <hyperlink r:id="rId363" ref="U789"/>
    <hyperlink r:id="rId364" ref="U790"/>
    <hyperlink r:id="rId365" ref="U791"/>
    <hyperlink r:id="rId366" ref="U792"/>
    <hyperlink r:id="rId367" ref="U793"/>
    <hyperlink r:id="rId368" ref="U794"/>
    <hyperlink r:id="rId369" ref="U795"/>
    <hyperlink r:id="rId370" ref="U797"/>
    <hyperlink r:id="rId371" ref="U798"/>
    <hyperlink r:id="rId372" ref="U800"/>
    <hyperlink r:id="rId373" ref="U801"/>
    <hyperlink r:id="rId374" ref="U802"/>
    <hyperlink r:id="rId375" ref="U803"/>
    <hyperlink r:id="rId376" ref="U804"/>
    <hyperlink r:id="rId377" ref="U807"/>
    <hyperlink r:id="rId378" ref="U817"/>
    <hyperlink r:id="rId379" ref="U819"/>
    <hyperlink r:id="rId380" ref="U820"/>
    <hyperlink r:id="rId381" ref="U821"/>
    <hyperlink r:id="rId382" ref="U822"/>
    <hyperlink r:id="rId383" ref="U825"/>
    <hyperlink r:id="rId384" ref="U828"/>
    <hyperlink r:id="rId385" ref="U830"/>
    <hyperlink r:id="rId386" ref="U834"/>
    <hyperlink r:id="rId387" ref="U842"/>
    <hyperlink r:id="rId388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843"/>
    <hyperlink r:id="rId389" ref="U846"/>
    <hyperlink r:id="rId390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847"/>
    <hyperlink r:id="rId391" ref="U848"/>
    <hyperlink r:id="rId392" ref="U849"/>
    <hyperlink r:id="rId393" ref="U853"/>
    <hyperlink r:id="rId394" ref="U856"/>
    <hyperlink r:id="rId395" ref="U860"/>
    <hyperlink r:id="rId396" ref="U861"/>
    <hyperlink r:id="rId397" ref="U866"/>
    <hyperlink r:id="rId398" ref="U867"/>
    <hyperlink r:id="rId399" ref="U868"/>
    <hyperlink r:id="rId400" ref="U872"/>
    <hyperlink r:id="rId401" ref="U873"/>
    <hyperlink r:id="rId402" ref="U877"/>
    <hyperlink r:id="rId403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879"/>
    <hyperlink r:id="rId404" ref="U880"/>
    <hyperlink r:id="rId405" ref="U881"/>
    <hyperlink r:id="rId406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882"/>
    <hyperlink r:id="rId407" ref="U884"/>
    <hyperlink r:id="rId408" ref="U886"/>
    <hyperlink r:id="rId409" ref="U887"/>
    <hyperlink r:id="rId410" ref="U888"/>
    <hyperlink r:id="rId411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889"/>
    <hyperlink r:id="rId412" ref="U892"/>
    <hyperlink r:id="rId413" ref="U893"/>
    <hyperlink r:id="rId414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895"/>
    <hyperlink r:id="rId415" ref="U896"/>
    <hyperlink r:id="rId416" ref="U897"/>
    <hyperlink r:id="rId417" ref="U898"/>
    <hyperlink r:id="rId418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899"/>
    <hyperlink r:id="rId419" ref="U901"/>
    <hyperlink r:id="rId420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902"/>
    <hyperlink r:id="rId421" ref="U903"/>
    <hyperlink r:id="rId422" ref="U904"/>
    <hyperlink r:id="rId423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909"/>
    <hyperlink r:id="rId424" ref="U910"/>
    <hyperlink r:id="rId425" ref="U911"/>
    <hyperlink r:id="rId426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912"/>
    <hyperlink r:id="rId427" ref="U914"/>
    <hyperlink r:id="rId428" ref="U915"/>
    <hyperlink r:id="rId429" ref="U916"/>
    <hyperlink r:id="rId430" ref="U917"/>
    <hyperlink r:id="rId431" ref="U918"/>
    <hyperlink r:id="rId432" ref="U919"/>
    <hyperlink r:id="rId433" ref="U920"/>
    <hyperlink r:id="rId434" ref="U921"/>
    <hyperlink r:id="rId435" ref="U922"/>
    <hyperlink r:id="rId436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923"/>
    <hyperlink r:id="rId437" ref="U924"/>
    <hyperlink r:id="rId438" ref="U925"/>
    <hyperlink r:id="rId439" ref="U926"/>
    <hyperlink r:id="rId440" ref="U927"/>
    <hyperlink r:id="rId441" ref="U929"/>
    <hyperlink r:id="rId442" ref="U930"/>
    <hyperlink r:id="rId443" ref="U931"/>
    <hyperlink r:id="rId444" ref="U932"/>
    <hyperlink r:id="rId445" ref="U953"/>
    <hyperlink r:id="rId446" ref="U955"/>
    <hyperlink r:id="rId447" ref="U956"/>
    <hyperlink r:id="rId448" ref="U957"/>
    <hyperlink r:id="rId449" ref="U958"/>
    <hyperlink r:id="rId450" ref="U959"/>
    <hyperlink r:id="rId451" ref="U960"/>
    <hyperlink r:id="rId452" ref="U961"/>
    <hyperlink r:id="rId453" ref="U962"/>
    <hyperlink r:id="rId454" ref="U963"/>
    <hyperlink r:id="rId455" ref="U965"/>
    <hyperlink r:id="rId456" ref="U966"/>
    <hyperlink r:id="rId457" ref="U967"/>
    <hyperlink r:id="rId458" ref="U968"/>
    <hyperlink r:id="rId459" ref="U969"/>
    <hyperlink r:id="rId460" ref="U970"/>
    <hyperlink r:id="rId461" ref="U971"/>
    <hyperlink r:id="rId462" ref="U972"/>
    <hyperlink r:id="rId463" ref="U973"/>
    <hyperlink r:id="rId464" ref="G974"/>
    <hyperlink r:id="rId465" ref="U974"/>
    <hyperlink r:id="rId466" ref="U975"/>
    <hyperlink r:id="rId467" ref="U976"/>
    <hyperlink r:id="rId468" ref="G977"/>
    <hyperlink r:id="rId469" ref="U977"/>
    <hyperlink r:id="rId470" ref="G978"/>
    <hyperlink r:id="rId471" ref="U978"/>
    <hyperlink r:id="rId472" ref="G979"/>
    <hyperlink r:id="rId473" ref="U979"/>
    <hyperlink r:id="rId474" ref="G980"/>
    <hyperlink r:id="rId475" ref="U980"/>
    <hyperlink r:id="rId476" ref="G981"/>
    <hyperlink r:id="rId477" ref="U981"/>
    <hyperlink r:id="rId478" ref="G982"/>
    <hyperlink r:id="rId479" ref="U982"/>
    <hyperlink r:id="rId480" ref="U983"/>
    <hyperlink r:id="rId481" ref="U984"/>
    <hyperlink r:id="rId482" ref="U985"/>
    <hyperlink r:id="rId483" ref="U986"/>
    <hyperlink r:id="rId484" ref="U987"/>
    <hyperlink r:id="rId485" ref="U988"/>
    <hyperlink r:id="rId486" ref="U989"/>
    <hyperlink r:id="rId487" ref="U990"/>
    <hyperlink r:id="rId488" ref="U991"/>
    <hyperlink r:id="rId489" ref="U992"/>
    <hyperlink r:id="rId490" ref="U993"/>
    <hyperlink r:id="rId491" ref="U994"/>
    <hyperlink r:id="rId492" ref="U995"/>
    <hyperlink r:id="rId493" ref="U996"/>
    <hyperlink r:id="rId494" ref="U997"/>
    <hyperlink r:id="rId495" ref="U998"/>
    <hyperlink r:id="rId496" ref="U999"/>
    <hyperlink r:id="rId497" ref="U1000"/>
    <hyperlink r:id="rId498" ref="U1001"/>
    <hyperlink r:id="rId499" ref="U1002"/>
    <hyperlink r:id="rId500" ref="U1003"/>
    <hyperlink r:id="rId501" ref="U1004"/>
    <hyperlink r:id="rId502" ref="U1005"/>
    <hyperlink r:id="rId503" ref="U1006"/>
    <hyperlink r:id="rId504" ref="U1007"/>
    <hyperlink r:id="rId505" ref="U1008"/>
    <hyperlink r:id="rId506" ref="U1011"/>
    <hyperlink r:id="rId507" ref="U1012"/>
    <hyperlink r:id="rId508" ref="U1013"/>
    <hyperlink r:id="rId509" ref="U1014"/>
    <hyperlink r:id="rId510" ref="U1015"/>
    <hyperlink r:id="rId511" ref="U1016"/>
    <hyperlink r:id="rId512" ref="U1017"/>
    <hyperlink r:id="rId513" ref="U1018"/>
    <hyperlink r:id="rId514" ref="U1019"/>
    <hyperlink r:id="rId515" ref="U1020"/>
    <hyperlink r:id="rId516" ref="U1021"/>
    <hyperlink r:id="rId517" ref="U1029"/>
    <hyperlink r:id="rId518" ref="U1030"/>
    <hyperlink r:id="rId519" ref="U1031"/>
    <hyperlink r:id="rId520" ref="U1032"/>
    <hyperlink r:id="rId521" ref="U1043"/>
    <hyperlink r:id="rId522" ref="U1044"/>
    <hyperlink r:id="rId523" ref="U1058"/>
    <hyperlink r:id="rId524" ref="U1065"/>
    <hyperlink r:id="rId525" ref="U1066"/>
    <hyperlink r:id="rId526" ref="U1067"/>
    <hyperlink r:id="rId527" ref="U1068"/>
    <hyperlink r:id="rId528" ref="U1069"/>
    <hyperlink r:id="rId529" ref="U1070"/>
    <hyperlink r:id="rId530" ref="U1071"/>
    <hyperlink r:id="rId531" ref="U1073"/>
    <hyperlink r:id="rId532" ref="U1074"/>
    <hyperlink r:id="rId533" ref="U1075"/>
    <hyperlink r:id="rId534" ref="U1076"/>
    <hyperlink r:id="rId535" ref="U1081"/>
    <hyperlink r:id="rId536" ref="U1083"/>
    <hyperlink r:id="rId537" ref="U1084"/>
    <hyperlink r:id="rId538" ref="U1085"/>
    <hyperlink r:id="rId539" ref="U1086"/>
    <hyperlink r:id="rId540" ref="U1087"/>
    <hyperlink r:id="rId541" ref="U1088"/>
    <hyperlink r:id="rId542" ref="U1089"/>
    <hyperlink r:id="rId543" ref="U1090"/>
    <hyperlink r:id="rId544" ref="U1096"/>
    <hyperlink r:id="rId545" ref="U1097"/>
    <hyperlink r:id="rId546" ref="U1102"/>
    <hyperlink r:id="rId547" ref="U1103"/>
    <hyperlink r:id="rId548" ref="U1104"/>
    <hyperlink r:id="rId549" ref="U1105"/>
    <hyperlink r:id="rId550" ref="U1106"/>
    <hyperlink r:id="rId551" ref="U1107"/>
    <hyperlink r:id="rId552" ref="U1108"/>
    <hyperlink r:id="rId553" ref="U1109"/>
    <hyperlink r:id="rId554" ref="U1110"/>
    <hyperlink r:id="rId555" ref="U1111"/>
    <hyperlink r:id="rId556" ref="U1112"/>
    <hyperlink r:id="rId557" ref="U1113"/>
    <hyperlink r:id="rId558" ref="U1114"/>
    <hyperlink r:id="rId559" ref="U1115"/>
    <hyperlink r:id="rId560" ref="U1116"/>
    <hyperlink r:id="rId561" ref="U1123"/>
    <hyperlink r:id="rId562" ref="U1124"/>
    <hyperlink r:id="rId563" ref="U1125"/>
    <hyperlink r:id="rId564" ref="U1126"/>
    <hyperlink r:id="rId565" ref="U1127"/>
    <hyperlink r:id="rId566" ref="U1128"/>
    <hyperlink r:id="rId567" ref="U1129"/>
    <hyperlink r:id="rId568" ref="U1130"/>
    <hyperlink r:id="rId569" ref="U1131"/>
    <hyperlink r:id="rId570" ref="U1132"/>
    <hyperlink r:id="rId571" ref="U1133"/>
    <hyperlink r:id="rId572" ref="U1134"/>
    <hyperlink r:id="rId573" ref="U1135"/>
    <hyperlink r:id="rId574" ref="U1155"/>
    <hyperlink r:id="rId575" ref="U1156"/>
    <hyperlink r:id="rId576" ref="U1157"/>
    <hyperlink r:id="rId577" ref="U1158"/>
    <hyperlink r:id="rId578" ref="U1159"/>
    <hyperlink r:id="rId579" ref="U1160"/>
    <hyperlink r:id="rId580" ref="U1161"/>
    <hyperlink r:id="rId581" ref="U1166"/>
    <hyperlink r:id="rId582" ref="U1168"/>
    <hyperlink r:id="rId583" ref="U1169"/>
    <hyperlink r:id="rId584" ref="U1172"/>
    <hyperlink r:id="rId585" ref="U1175"/>
    <hyperlink r:id="rId586" ref="U1176"/>
    <hyperlink r:id="rId587" ref="U1177"/>
    <hyperlink r:id="rId588" ref="U1183"/>
    <hyperlink r:id="rId589" ref="U1184"/>
    <hyperlink r:id="rId590" ref="U1185"/>
    <hyperlink r:id="rId591" ref="U1186"/>
    <hyperlink r:id="rId592" ref="U1187"/>
    <hyperlink r:id="rId593" ref="U1188"/>
    <hyperlink r:id="rId594" ref="U1189"/>
    <hyperlink r:id="rId595" ref="U1192"/>
    <hyperlink r:id="rId596" ref="U1193"/>
    <hyperlink r:id="rId597" ref="U1194"/>
    <hyperlink r:id="rId598" ref="U1200"/>
    <hyperlink r:id="rId599" ref="U1201"/>
    <hyperlink r:id="rId600" ref="U1334"/>
    <hyperlink r:id="rId601" ref="U1335"/>
    <hyperlink r:id="rId602" ref="U1340"/>
    <hyperlink r:id="rId603" ref="U1341"/>
    <hyperlink r:id="rId604" ref="U1343"/>
    <hyperlink r:id="rId605" ref="U1344"/>
    <hyperlink r:id="rId606" ref="U1347"/>
    <hyperlink r:id="rId607" ref="U1348"/>
    <hyperlink r:id="rId608" ref="U1349"/>
    <hyperlink r:id="rId609" ref="U1350"/>
    <hyperlink r:id="rId610" ref="U1351"/>
    <hyperlink r:id="rId611" ref="U1352"/>
    <hyperlink r:id="rId612" ref="U1353"/>
    <hyperlink r:id="rId613" ref="U1355"/>
    <hyperlink r:id="rId614" ref="U1356"/>
    <hyperlink r:id="rId615" ref="U1357"/>
    <hyperlink r:id="rId616" ref="U1358"/>
    <hyperlink r:id="rId617" ref="U1359"/>
    <hyperlink r:id="rId618" ref="U1360"/>
    <hyperlink r:id="rId619" ref="U1361"/>
    <hyperlink r:id="rId620" ref="U1365"/>
    <hyperlink r:id="rId621" ref="U1366"/>
    <hyperlink r:id="rId622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1367"/>
    <hyperlink r:id="rId623" ref="U1368"/>
    <hyperlink r:id="rId624" ref="U1369"/>
    <hyperlink r:id="rId625" ref="U1372"/>
    <hyperlink r:id="rId626" ref="U1374"/>
    <hyperlink r:id="rId627" ref="U1385"/>
    <hyperlink r:id="rId628" ref="U1386"/>
    <hyperlink r:id="rId629" ref="U1387"/>
    <hyperlink r:id="rId630" ref="U1389"/>
    <hyperlink r:id="rId631" ref="U1390"/>
    <hyperlink r:id="rId632" ref="U1393"/>
    <hyperlink r:id="rId633" ref="U1394"/>
    <hyperlink r:id="rId634" ref="U1397"/>
    <hyperlink r:id="rId635" ref="U1401"/>
    <hyperlink r:id="rId636" ref="U1404"/>
    <hyperlink r:id="rId637" ref="U1406"/>
    <hyperlink r:id="rId638" ref="U1407"/>
    <hyperlink r:id="rId639" ref="U1409"/>
    <hyperlink r:id="rId640" ref="U1412"/>
    <hyperlink r:id="rId641" ref="U1414"/>
    <hyperlink r:id="rId642" ref="U1415"/>
    <hyperlink r:id="rId643" ref="U1416"/>
    <hyperlink r:id="rId644" ref="U1417"/>
    <hyperlink r:id="rId645" ref="U1418"/>
    <hyperlink r:id="rId646" ref="U1419"/>
    <hyperlink r:id="rId647" ref="U1420"/>
    <hyperlink r:id="rId648" ref="U1422"/>
    <hyperlink r:id="rId649" ref="U1423"/>
    <hyperlink r:id="rId650" ref="U1424"/>
    <hyperlink r:id="rId651" ref="U1425"/>
    <hyperlink r:id="rId652" ref="U1426"/>
    <hyperlink r:id="rId653" ref="U1427"/>
    <hyperlink r:id="rId654" ref="U1428"/>
    <hyperlink r:id="rId655" ref="U1429"/>
    <hyperlink r:id="rId656" ref="U1430"/>
    <hyperlink r:id="rId657" ref="U1432"/>
    <hyperlink r:id="rId658" ref="U1435"/>
    <hyperlink r:id="rId659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1436"/>
    <hyperlink r:id="rId660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1437"/>
    <hyperlink r:id="rId661" ref="U1438"/>
    <hyperlink r:id="rId662" ref="U1439"/>
    <hyperlink r:id="rId663" ref="U1440"/>
    <hyperlink r:id="rId664" ref="U1442"/>
    <hyperlink r:id="rId665" ref="U1443"/>
    <hyperlink r:id="rId666" ref="U1444"/>
    <hyperlink r:id="rId667" ref="U1445"/>
    <hyperlink r:id="rId668" ref="U1446"/>
    <hyperlink r:id="rId669" ref="U1447"/>
    <hyperlink r:id="rId670" ref="U1448"/>
    <hyperlink r:id="rId671" ref="U1452"/>
    <hyperlink r:id="rId672" ref="U1453"/>
    <hyperlink r:id="rId673" ref="U1454"/>
    <hyperlink r:id="rId674" ref="U1455"/>
    <hyperlink r:id="rId675" ref="U1456"/>
    <hyperlink r:id="rId676" ref="U1458"/>
    <hyperlink r:id="rId677" ref="U1460"/>
    <hyperlink r:id="rId678" ref="U1463"/>
    <hyperlink r:id="rId679" ref="U1465"/>
    <hyperlink r:id="rId680" ref="U1466"/>
    <hyperlink r:id="rId681" ref="U1467"/>
    <hyperlink r:id="rId682" ref="U1468"/>
    <hyperlink r:id="rId683" ref="U1469"/>
    <hyperlink r:id="rId684" ref="U1470"/>
    <hyperlink r:id="rId685" ref="U1471"/>
    <hyperlink r:id="rId686" ref="U1472"/>
    <hyperlink r:id="rId687" ref="U1474"/>
    <hyperlink r:id="rId688" ref="U1482"/>
    <hyperlink r:id="rId689" ref="U1485"/>
    <hyperlink r:id="rId690" ref="U1487"/>
    <hyperlink r:id="rId691" ref="U1489"/>
    <hyperlink r:id="rId692" ref="U1490"/>
    <hyperlink r:id="rId693" ref="U1493"/>
    <hyperlink r:id="rId694" ref="U1494"/>
    <hyperlink r:id="rId695" ref="U1495"/>
    <hyperlink r:id="rId696" ref="U1496"/>
    <hyperlink r:id="rId697" ref="U1497"/>
    <hyperlink r:id="rId698" ref="U1499"/>
    <hyperlink r:id="rId699" ref="U1500"/>
    <hyperlink r:id="rId700" ref="U1501"/>
    <hyperlink r:id="rId701" ref="U1502"/>
    <hyperlink r:id="rId702" ref="U1503"/>
    <hyperlink r:id="rId703" ref="U1504"/>
    <hyperlink r:id="rId704" location="is_advertising=true&amp;searchVariation=MLB47404975&amp;backend_model=search-backend&amp;position=2&amp;search_layout=grid&amp;type=pad&amp;tracking_id=9af1d4b7-8dcd-4f84-8da5-6d00273f25f8&amp;ad_domain=VQCATCORE_LST&amp;ad_position=2&amp;ad_click_id=Y2M1NmZjMTUtY2U0Ni00YWUzLWEwNWYtZWUwNTU2NjBiZGUz" ref="U1507"/>
    <hyperlink r:id="rId705" ref="U1508"/>
    <hyperlink r:id="rId706" ref="U1510"/>
    <hyperlink r:id="rId707" ref="U1511"/>
    <hyperlink r:id="rId708" ref="U1512"/>
    <hyperlink r:id="rId709" ref="U1517"/>
    <hyperlink r:id="rId710" ref="U1519"/>
    <hyperlink r:id="rId711" ref="U1522"/>
    <hyperlink r:id="rId712" ref="U1523"/>
    <hyperlink r:id="rId713" ref="U1524"/>
    <hyperlink r:id="rId714" ref="U1525"/>
    <hyperlink r:id="rId715" ref="U1527"/>
    <hyperlink r:id="rId716" ref="U1533"/>
    <hyperlink r:id="rId717" ref="U1534"/>
    <hyperlink r:id="rId718" ref="U1535"/>
    <hyperlink r:id="rId719" ref="U1538"/>
    <hyperlink r:id="rId720" ref="U1539"/>
    <hyperlink r:id="rId721" ref="U1540"/>
    <hyperlink r:id="rId722" ref="U1541"/>
    <hyperlink r:id="rId723" ref="U1544"/>
    <hyperlink r:id="rId724" ref="U1547"/>
    <hyperlink r:id="rId725" ref="U1548"/>
    <hyperlink r:id="rId726" ref="U1551"/>
    <hyperlink r:id="rId727" ref="U1552"/>
    <hyperlink r:id="rId728" ref="U1553"/>
    <hyperlink r:id="rId729" ref="U1556"/>
    <hyperlink r:id="rId730" ref="U1557"/>
    <hyperlink r:id="rId731" ref="U1561"/>
    <hyperlink r:id="rId732" ref="U1562"/>
    <hyperlink r:id="rId733" ref="U1564"/>
    <hyperlink r:id="rId734" ref="U1565"/>
    <hyperlink r:id="rId735" ref="U1568"/>
    <hyperlink r:id="rId736" ref="U1570"/>
    <hyperlink r:id="rId737" ref="U1571"/>
    <hyperlink r:id="rId738" ref="U1576"/>
    <hyperlink r:id="rId739" ref="U1578"/>
    <hyperlink r:id="rId740" ref="U1579"/>
    <hyperlink r:id="rId741" ref="U1580"/>
    <hyperlink r:id="rId742" ref="U1581"/>
    <hyperlink r:id="rId743" ref="U1582"/>
    <hyperlink r:id="rId744" ref="U1583"/>
    <hyperlink r:id="rId745" ref="U1584"/>
    <hyperlink r:id="rId746" ref="U1586"/>
    <hyperlink r:id="rId747" ref="U1589"/>
    <hyperlink r:id="rId748" ref="U1590"/>
    <hyperlink r:id="rId749" ref="U1594"/>
    <hyperlink r:id="rId750" ref="U1595"/>
    <hyperlink r:id="rId751" ref="U1596"/>
    <hyperlink r:id="rId752" ref="U1598"/>
    <hyperlink r:id="rId753" ref="U1599"/>
    <hyperlink r:id="rId754" ref="U1600"/>
    <hyperlink r:id="rId755" ref="U1602"/>
    <hyperlink r:id="rId756" ref="U1606"/>
    <hyperlink r:id="rId757" ref="U1607"/>
    <hyperlink r:id="rId758" location="polycard_client=recommendations_pdp-v2p&amp;reco_backend=ranker_retrieval_online_vpp_v2p&amp;reco_model=rk_online_v5_retsys_rabbit_hole&amp;reco_client=pdp-v2p&amp;reco_item_pos=0&amp;reco_backend_type=low_level&amp;reco_id=84681e5b-201d-4f2a-928d-9b6f65daef44&amp;wid=MLB4268117601&amp;sid=recos" ref="U1608"/>
    <hyperlink r:id="rId759" ref="U1610"/>
    <hyperlink r:id="rId760" ref="U1611"/>
    <hyperlink r:id="rId761" ref="U1616"/>
    <hyperlink r:id="rId762" ref="U1619"/>
    <hyperlink r:id="rId763" ref="U1621"/>
    <hyperlink r:id="rId764" ref="U1623"/>
    <hyperlink r:id="rId765" ref="U1626"/>
    <hyperlink r:id="rId766" ref="U1627"/>
    <hyperlink r:id="rId767" ref="U1628"/>
    <hyperlink r:id="rId768" ref="U1629"/>
    <hyperlink r:id="rId769" ref="U1633"/>
    <hyperlink r:id="rId770" ref="U1634"/>
    <hyperlink r:id="rId771" ref="U1637"/>
    <hyperlink r:id="rId772" ref="U1638"/>
    <hyperlink r:id="rId773" ref="U1640"/>
    <hyperlink r:id="rId774" ref="U1642"/>
    <hyperlink r:id="rId775" ref="U1643"/>
    <hyperlink r:id="rId776" ref="U1645"/>
    <hyperlink r:id="rId777" ref="U1646"/>
    <hyperlink r:id="rId778" ref="U1649"/>
    <hyperlink r:id="rId779" ref="U1651"/>
    <hyperlink r:id="rId780" ref="U1655"/>
    <hyperlink r:id="rId781" ref="U1657"/>
    <hyperlink r:id="rId782" ref="U1658"/>
    <hyperlink r:id="rId783" ref="U1659"/>
    <hyperlink r:id="rId784" ref="U1662"/>
    <hyperlink r:id="rId785" ref="U1663"/>
    <hyperlink r:id="rId786" ref="U1665"/>
    <hyperlink r:id="rId787" ref="U1666"/>
    <hyperlink r:id="rId788" ref="U1667"/>
    <hyperlink r:id="rId789" ref="U1668"/>
    <hyperlink r:id="rId790" ref="U1669"/>
    <hyperlink r:id="rId791" ref="U1671"/>
    <hyperlink r:id="rId792" ref="U1673"/>
    <hyperlink r:id="rId793" ref="U1674"/>
    <hyperlink r:id="rId794" ref="U1677"/>
    <hyperlink r:id="rId795" ref="U1682"/>
    <hyperlink r:id="rId796" ref="U1683"/>
    <hyperlink r:id="rId797" ref="U1684"/>
    <hyperlink r:id="rId798" ref="U1690"/>
    <hyperlink r:id="rId799" ref="U1691"/>
    <hyperlink r:id="rId800" ref="U1693"/>
    <hyperlink r:id="rId801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1695"/>
    <hyperlink r:id="rId802" ref="U1696"/>
    <hyperlink r:id="rId803" ref="U1697"/>
    <hyperlink r:id="rId804" ref="U1699"/>
    <hyperlink r:id="rId805" ref="U1701"/>
    <hyperlink r:id="rId806" ref="U1705"/>
    <hyperlink r:id="rId807" ref="U1707"/>
    <hyperlink r:id="rId808" ref="U1710"/>
    <hyperlink r:id="rId809" ref="U1711"/>
    <hyperlink r:id="rId810" ref="U1712"/>
    <hyperlink r:id="rId811" ref="U1714"/>
    <hyperlink r:id="rId812" ref="U1715"/>
    <hyperlink r:id="rId813" ref="U1716"/>
    <hyperlink r:id="rId814" ref="U1720"/>
    <hyperlink r:id="rId815" ref="U1721"/>
    <hyperlink r:id="rId816" ref="U1723"/>
    <hyperlink r:id="rId817" ref="U1724"/>
    <hyperlink r:id="rId818" ref="U1725"/>
    <hyperlink r:id="rId819" ref="U1726"/>
    <hyperlink r:id="rId820" ref="U1727"/>
    <hyperlink r:id="rId821" ref="U1729"/>
    <hyperlink r:id="rId822" ref="U1730"/>
    <hyperlink r:id="rId823" ref="U1731"/>
    <hyperlink r:id="rId824" ref="U1732"/>
    <hyperlink r:id="rId825" ref="U1733"/>
    <hyperlink r:id="rId826" ref="U1734"/>
    <hyperlink r:id="rId827" ref="U1735"/>
    <hyperlink r:id="rId828" ref="U1736"/>
    <hyperlink r:id="rId829" ref="U1737"/>
    <hyperlink r:id="rId830" ref="U1738"/>
    <hyperlink r:id="rId831" ref="U1739"/>
    <hyperlink r:id="rId832" ref="U1743"/>
    <hyperlink r:id="rId833" ref="U1744"/>
    <hyperlink r:id="rId834" ref="U1747"/>
    <hyperlink r:id="rId835" ref="U1748"/>
    <hyperlink r:id="rId836" ref="U1750"/>
    <hyperlink r:id="rId837" ref="U1752"/>
    <hyperlink r:id="rId838" ref="U1754"/>
    <hyperlink r:id="rId839" ref="U1761"/>
    <hyperlink r:id="rId840" ref="U1762"/>
    <hyperlink r:id="rId841" ref="U1763"/>
    <hyperlink r:id="rId842" ref="U1764"/>
    <hyperlink r:id="rId843" ref="U1765"/>
    <hyperlink r:id="rId844" ref="U1766"/>
    <hyperlink r:id="rId845" ref="U1769"/>
    <hyperlink r:id="rId846" ref="U1770"/>
    <hyperlink r:id="rId847" ref="U1771"/>
    <hyperlink r:id="rId848" ref="U1772"/>
    <hyperlink r:id="rId849" location="polycard_client=recommendations_vip-seller_items-above&amp;reco_backend=ranker-retsys-same-seller&amp;reco_model=rk_entity_sameseller&amp;reco_client=vip-seller_items-above&amp;reco_item_pos=0&amp;reco_backend_type=low_level&amp;reco_id=f78844be-45b3-4a84-b814-4d98a6b0b047&amp;wid=MLB3326050129&amp;sid=recos" ref="U1773"/>
    <hyperlink r:id="rId850" ref="U1774"/>
    <hyperlink r:id="rId851" ref="U1775"/>
    <hyperlink r:id="rId852" ref="U1776"/>
    <hyperlink r:id="rId853" ref="U1777"/>
    <hyperlink r:id="rId854" ref="U1778"/>
    <hyperlink r:id="rId855" ref="U1779"/>
    <hyperlink r:id="rId856" ref="U1780"/>
    <hyperlink r:id="rId857" ref="U1781"/>
    <hyperlink r:id="rId858" ref="U1785"/>
    <hyperlink r:id="rId859" ref="U1786"/>
    <hyperlink r:id="rId860" ref="U1787"/>
    <hyperlink r:id="rId861" ref="U1788"/>
    <hyperlink r:id="rId862" ref="U1790"/>
    <hyperlink r:id="rId863" ref="U1791"/>
    <hyperlink r:id="rId864" ref="U1795"/>
    <hyperlink r:id="rId865" ref="U1796"/>
    <hyperlink r:id="rId866" ref="U1797"/>
    <hyperlink r:id="rId867" ref="U1799"/>
    <hyperlink r:id="rId868" ref="U1801"/>
    <hyperlink r:id="rId869" ref="U1802"/>
    <hyperlink r:id="rId870" ref="U1803"/>
    <hyperlink r:id="rId871" ref="U1804"/>
    <hyperlink r:id="rId872" ref="U1806"/>
    <hyperlink r:id="rId873" ref="U1807"/>
    <hyperlink r:id="rId874" ref="U1808"/>
    <hyperlink r:id="rId875" ref="U1809"/>
    <hyperlink r:id="rId876" ref="U1810"/>
    <hyperlink r:id="rId877" ref="U1811"/>
    <hyperlink r:id="rId878" ref="U1812"/>
    <hyperlink r:id="rId879" ref="U1813"/>
    <hyperlink r:id="rId880" ref="U1814"/>
    <hyperlink r:id="rId881" ref="U1815"/>
    <hyperlink r:id="rId882" ref="U1816"/>
    <hyperlink r:id="rId883" ref="U1817"/>
    <hyperlink r:id="rId884" ref="U1818"/>
    <hyperlink r:id="rId885" ref="U1819"/>
    <hyperlink r:id="rId886" ref="U1820"/>
    <hyperlink r:id="rId887" ref="U1821"/>
    <hyperlink r:id="rId888" ref="U1824"/>
    <hyperlink r:id="rId889" ref="U1825"/>
    <hyperlink r:id="rId890" ref="U1826"/>
    <hyperlink r:id="rId891" ref="U1827"/>
    <hyperlink r:id="rId892" ref="U1829"/>
    <hyperlink r:id="rId893" ref="U1831"/>
    <hyperlink r:id="rId894" ref="U1832"/>
    <hyperlink r:id="rId895" ref="U1833"/>
    <hyperlink r:id="rId896" ref="U1835"/>
    <hyperlink r:id="rId897" ref="U1841"/>
    <hyperlink r:id="rId898" ref="U1842"/>
    <hyperlink r:id="rId899" ref="U1843"/>
    <hyperlink r:id="rId900" ref="U1844"/>
    <hyperlink r:id="rId901" ref="U1845"/>
    <hyperlink r:id="rId902" ref="U1846"/>
    <hyperlink r:id="rId903" ref="U1847"/>
    <hyperlink r:id="rId904" ref="U1848"/>
    <hyperlink r:id="rId905" ref="U1851"/>
    <hyperlink r:id="rId906" ref="U1853"/>
    <hyperlink r:id="rId907" ref="U1855"/>
    <hyperlink r:id="rId908" ref="U1856"/>
    <hyperlink r:id="rId909" ref="U1858"/>
    <hyperlink r:id="rId910" ref="U1859"/>
    <hyperlink r:id="rId911" ref="U1860"/>
    <hyperlink r:id="rId912" ref="U1865"/>
    <hyperlink r:id="rId913" ref="U1866"/>
    <hyperlink r:id="rId914" ref="U1867"/>
    <hyperlink r:id="rId915" ref="U1868"/>
    <hyperlink r:id="rId916" ref="U1869"/>
    <hyperlink r:id="rId917" ref="U1870"/>
    <hyperlink r:id="rId918" ref="U1871"/>
    <hyperlink r:id="rId919" ref="U1872"/>
    <hyperlink r:id="rId920" ref="U1873"/>
    <hyperlink r:id="rId921" ref="U1874"/>
    <hyperlink r:id="rId922" ref="U1876"/>
    <hyperlink r:id="rId923" ref="U1877"/>
    <hyperlink r:id="rId924" ref="U1878"/>
    <hyperlink r:id="rId925" ref="U1879"/>
    <hyperlink r:id="rId926" ref="U1880"/>
    <hyperlink r:id="rId927" ref="U1884"/>
    <hyperlink r:id="rId928" ref="U1886"/>
    <hyperlink r:id="rId929" ref="U1887"/>
    <hyperlink r:id="rId930" ref="U1888"/>
    <hyperlink r:id="rId931" ref="U1889"/>
    <hyperlink r:id="rId932" ref="U1890"/>
    <hyperlink r:id="rId933" ref="U1891"/>
    <hyperlink r:id="rId934" ref="U1892"/>
    <hyperlink r:id="rId935" ref="U1893"/>
    <hyperlink r:id="rId936" ref="U1894"/>
    <hyperlink r:id="rId937" ref="U1896"/>
    <hyperlink r:id="rId938" ref="U1897"/>
    <hyperlink r:id="rId939" ref="U1898"/>
    <hyperlink r:id="rId940" ref="U1899"/>
    <hyperlink r:id="rId941" ref="U1900"/>
    <hyperlink r:id="rId942" ref="U1901"/>
    <hyperlink r:id="rId943" ref="U1903"/>
    <hyperlink r:id="rId944" ref="U1904"/>
    <hyperlink r:id="rId945" ref="U1927"/>
    <hyperlink r:id="rId946" ref="U1928"/>
    <hyperlink r:id="rId947" ref="U1929"/>
    <hyperlink r:id="rId948" ref="U1943"/>
    <hyperlink r:id="rId949" ref="U1944"/>
    <hyperlink r:id="rId950" ref="U1949"/>
    <hyperlink r:id="rId951" ref="U1950"/>
    <hyperlink r:id="rId952" ref="U1956"/>
    <hyperlink r:id="rId953" ref="U1959"/>
    <hyperlink r:id="rId954" ref="U1960"/>
    <hyperlink r:id="rId955" ref="U1961"/>
    <hyperlink r:id="rId956" ref="U1962"/>
    <hyperlink r:id="rId957" ref="U1963"/>
    <hyperlink r:id="rId958" ref="U1964"/>
    <hyperlink r:id="rId959" ref="U1966"/>
    <hyperlink r:id="rId960" ref="U1967"/>
    <hyperlink r:id="rId961" ref="U1968"/>
    <hyperlink r:id="rId962" ref="U1969"/>
    <hyperlink r:id="rId963" ref="U1970"/>
    <hyperlink r:id="rId964" ref="U1971"/>
    <hyperlink r:id="rId965" ref="U1972"/>
    <hyperlink r:id="rId966" ref="U1973"/>
    <hyperlink r:id="rId967" ref="U1974"/>
    <hyperlink r:id="rId968" ref="U1975"/>
    <hyperlink r:id="rId969" ref="U1976"/>
    <hyperlink r:id="rId970" ref="U1977"/>
    <hyperlink r:id="rId971" ref="U1978"/>
    <hyperlink r:id="rId972" ref="U1979"/>
    <hyperlink r:id="rId973" ref="U1980"/>
    <hyperlink r:id="rId974" ref="U1981"/>
    <hyperlink r:id="rId975" ref="U1982"/>
    <hyperlink r:id="rId976" ref="U1983"/>
    <hyperlink r:id="rId977" ref="U1984"/>
    <hyperlink r:id="rId978" ref="U1985"/>
    <hyperlink r:id="rId979" ref="U1986"/>
    <hyperlink r:id="rId980" ref="U1987"/>
    <hyperlink r:id="rId981" ref="U1988"/>
  </hyperlinks>
  <printOptions/>
  <pageMargins bottom="0.787401575" footer="0.0" header="0.0" left="0.511811024" right="0.511811024" top="0.787401575"/>
  <pageSetup orientation="landscape"/>
  <drawing r:id="rId98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8.25"/>
    <col customWidth="1" min="3" max="3" width="62.88"/>
    <col customWidth="1" min="4" max="4" width="35.25"/>
    <col customWidth="1" min="5" max="26" width="8.63"/>
  </cols>
  <sheetData>
    <row r="1">
      <c r="A1" s="205" t="s">
        <v>2000</v>
      </c>
      <c r="B1" s="206">
        <v>0.05</v>
      </c>
      <c r="C1" s="205" t="s">
        <v>2001</v>
      </c>
      <c r="D1" s="205" t="s">
        <v>2002</v>
      </c>
    </row>
    <row r="2">
      <c r="A2" s="207" t="s">
        <v>81</v>
      </c>
      <c r="B2" s="206">
        <v>0.15</v>
      </c>
      <c r="C2" s="205" t="s">
        <v>2003</v>
      </c>
      <c r="D2" s="205" t="s">
        <v>2004</v>
      </c>
    </row>
    <row r="3">
      <c r="A3" s="207" t="s">
        <v>54</v>
      </c>
      <c r="B3" s="208">
        <v>0.3</v>
      </c>
      <c r="C3" s="205" t="s">
        <v>2005</v>
      </c>
      <c r="D3" s="205" t="s">
        <v>2006</v>
      </c>
    </row>
    <row r="4">
      <c r="A4" s="207" t="s">
        <v>28</v>
      </c>
      <c r="B4" s="208">
        <v>0.4</v>
      </c>
      <c r="C4" s="205" t="s">
        <v>2007</v>
      </c>
      <c r="D4" s="205" t="s">
        <v>2008</v>
      </c>
    </row>
    <row r="5">
      <c r="A5" s="207" t="s">
        <v>38</v>
      </c>
      <c r="B5" s="208">
        <v>0.5</v>
      </c>
      <c r="C5" s="205" t="s">
        <v>2009</v>
      </c>
      <c r="D5" s="205" t="s">
        <v>2010</v>
      </c>
    </row>
    <row r="6">
      <c r="A6" s="207" t="s">
        <v>2011</v>
      </c>
      <c r="B6" s="208">
        <v>0.7</v>
      </c>
      <c r="C6" s="205" t="s">
        <v>2012</v>
      </c>
      <c r="D6" s="205" t="s">
        <v>2008</v>
      </c>
    </row>
    <row r="7">
      <c r="A7" s="207" t="s">
        <v>154</v>
      </c>
      <c r="B7" s="208">
        <v>0.8</v>
      </c>
      <c r="C7" s="205" t="s">
        <v>2013</v>
      </c>
      <c r="D7" s="205" t="s">
        <v>2014</v>
      </c>
    </row>
    <row r="8">
      <c r="A8" s="207" t="s">
        <v>289</v>
      </c>
      <c r="B8" s="208">
        <v>0.95</v>
      </c>
      <c r="C8" s="205" t="s">
        <v>2015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2025-12-07T16:21:18Z</dcterms:created>
  <dc:creator>JOAO</dc:creator>
</cp:coreProperties>
</file>